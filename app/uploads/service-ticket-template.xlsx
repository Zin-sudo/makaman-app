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d.docs.live.net/a72f61e2548d86da/Documents/Makaman Files/Drafts/"/>
    </mc:Choice>
  </mc:AlternateContent>
  <xr:revisionPtr revIDLastSave="19" documentId="8_{6094E04D-09F2-4A08-8FA2-8F80569B1DE2}" xr6:coauthVersionLast="47" xr6:coauthVersionMax="47" xr10:uidLastSave="{64588272-8B95-45B9-BBAF-416585B0322E}"/>
  <bookViews>
    <workbookView xWindow="2220" yWindow="1275" windowWidth="25350" windowHeight="12600" tabRatio="868" activeTab="1" xr2:uid="{4C31F27D-90C3-40BD-8F72-F0F05E3256C1}"/>
  </bookViews>
  <sheets>
    <sheet name="Service Ticket (Original)" sheetId="8" r:id="rId1"/>
    <sheet name="Service Ticket (Copy)" sheetId="10" r:id="rId2"/>
    <sheet name="Job Log (Original)" sheetId="9" r:id="rId3"/>
    <sheet name="Job Log (Copy)" sheetId="11" r:id="rId4"/>
  </sheets>
  <definedNames>
    <definedName name="_xlnm.Print_Area" localSheetId="3">'Job Log (Copy)'!$A$1:$I$48</definedName>
    <definedName name="_xlnm.Print_Area" localSheetId="2">'Job Log (Original)'!$A$1:$I$48</definedName>
    <definedName name="_xlnm.Print_Area" localSheetId="1">'Service Ticket (Copy)'!$A$1:$F$50</definedName>
    <definedName name="_xlnm.Print_Area" localSheetId="0">'Service Ticket (Original)'!$A$1:$F$50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<sst xmlns="http://schemas.openxmlformats.org/spreadsheetml/2006/main" count="5583" uniqueCount="2638">
  <si>
    <t>Official Price List</t>
  </si>
  <si>
    <t>All prices in USD. Prices exclusive of taxes and duties. Terms and conditions per master service agreement.</t>
  </si>
  <si>
    <t>Client:</t>
  </si>
  <si>
    <t>Date:</t>
  </si>
  <si>
    <t>A.  FISHING &amp; SPECIAL TOOLS</t>
  </si>
  <si>
    <t>← Contents</t>
  </si>
  <si>
    <t>Personnel &amp; Transportation — Daily Rates</t>
  </si>
  <si>
    <t>Item Code</t>
  </si>
  <si>
    <t>Description</t>
  </si>
  <si>
    <t>Unit</t>
  </si>
  <si>
    <t>Price (USD)</t>
  </si>
  <si>
    <t>Baskets — Junk</t>
  </si>
  <si>
    <t>First Day</t>
  </si>
  <si>
    <t>Additional Day</t>
  </si>
  <si>
    <t>Baskets — Reverse Circulating Jet, Tungsten Carbide Dressed</t>
  </si>
  <si>
    <t>Baskets — Junk (Poor Boy, Drag Tooth)</t>
  </si>
  <si>
    <t>Impression Blocks</t>
  </si>
  <si>
    <t>Boxes — Metal</t>
  </si>
  <si>
    <t>Washpipe Spears — Triple Connection or Canfield</t>
  </si>
  <si>
    <t>Safety or Control Bushings</t>
  </si>
  <si>
    <t>Clamps — Safety, Drill Collar</t>
  </si>
  <si>
    <t>Minimum 4 Days</t>
  </si>
  <si>
    <t>Jars — Fishing, Hydraulic or Mechanical</t>
  </si>
  <si>
    <t>First 8 Hours</t>
  </si>
  <si>
    <t>Additional Hour</t>
  </si>
  <si>
    <t>Jars — Bumper Sub</t>
  </si>
  <si>
    <t>Mills — Dressed with Tungsten Carbide</t>
  </si>
  <si>
    <t>First 30 ft</t>
  </si>
  <si>
    <t>Milling Sections</t>
  </si>
  <si>
    <t>Mills — Cement, Junk or Bladed</t>
  </si>
  <si>
    <t>Mills — Cement, Concave or Flat Bottom</t>
  </si>
  <si>
    <t>Mills — Packer, Pilot or Tapered</t>
  </si>
  <si>
    <t>Overshots — Series 150 Rotary</t>
  </si>
  <si>
    <t>Overshots — Series 70 Short Catch</t>
  </si>
  <si>
    <t>Overshot Guides — Mill Type, Tungsten Carbide</t>
  </si>
  <si>
    <t>Overshot Extensions</t>
  </si>
  <si>
    <t>Guides — Oversize</t>
  </si>
  <si>
    <t>Guides — Wall Book</t>
  </si>
  <si>
    <t>Pipe — Washover</t>
  </si>
  <si>
    <t>Pipe — Washover Extensions</t>
  </si>
  <si>
    <t>Bull Nose</t>
  </si>
  <si>
    <t>Lift Subs (Used with Washpipe)</t>
  </si>
  <si>
    <t>Reamers — 3 &amp; 4 Blade, Conventional Fishing, Dressed</t>
  </si>
  <si>
    <t>Saw — Pneumatic Casing</t>
  </si>
  <si>
    <t>Casing Scrapers</t>
  </si>
  <si>
    <t>Shoes — Rotary or Washpipe, Crushed Tungsten Carbide</t>
  </si>
  <si>
    <t>Rollers — Casing</t>
  </si>
  <si>
    <t>Shock Tools</t>
  </si>
  <si>
    <t>First 5 Days</t>
  </si>
  <si>
    <t>Spears — Rope Center, Multi-Prong</t>
  </si>
  <si>
    <t>Spears — Rotary Releasing and "J"-Type, Full</t>
  </si>
  <si>
    <t>Spear Extensions</t>
  </si>
  <si>
    <t>Spear Pack-Off</t>
  </si>
  <si>
    <t>Lift Subs — Drill Collar</t>
  </si>
  <si>
    <t>Spear Stop Subs</t>
  </si>
  <si>
    <t>Stabilizers — Welded Blade, Fixed Blade</t>
  </si>
  <si>
    <t>Subs — Rotary</t>
  </si>
  <si>
    <t>Taps — Screw In / Cut-Lip</t>
  </si>
  <si>
    <t>Swages — Casing (Swaging Tool)</t>
  </si>
  <si>
    <t>Die Collars &amp; Tapered Taps</t>
  </si>
  <si>
    <t>B.  TESTING TOOLS — PACKERS, BRIDGE PLUGS &amp; SETTING TOOLS</t>
  </si>
  <si>
    <t>Transportation &amp; Personnel</t>
  </si>
  <si>
    <t>Retrievable Test, Treat and Squeeze Packer</t>
  </si>
  <si>
    <t>Retrievable Bridge Plug (Run Separately)</t>
  </si>
  <si>
    <t>Retrievable Bridge Plug (Run with Another MAKAMAN Libya Tool)</t>
  </si>
  <si>
    <t>Setting Tools &amp; Accessories</t>
  </si>
  <si>
    <t>C.  SALES — DRILLABLE CEMENT RETAINERS &amp; BRIDGE PLUG PACKERS</t>
  </si>
  <si>
    <t>Drillable Cement Retainers &amp; Drillable Bridge Plug Packers</t>
  </si>
  <si>
    <t>D.  GENERAL CONDITIONS &amp; SURCHARGES</t>
  </si>
  <si>
    <t>Sale, Damaged or Lost Tools</t>
  </si>
  <si>
    <t>Customer's Equipment</t>
  </si>
  <si>
    <t>Destructive Well Fluids &amp; Surcharges</t>
  </si>
  <si>
    <t>Official Price List — Tools and Testing</t>
  </si>
  <si>
    <t>All prices in USD ($). Prices subject to surcharges per Terms &amp; Conditions. Quotation only — not a contract.</t>
  </si>
  <si>
    <t>A.  TOOLS SERVICES</t>
  </si>
  <si>
    <t>Price</t>
  </si>
  <si>
    <t>Job cancellation: when called to location and the job is not run due to circumstances beyond our control, personnel charges are in addition.</t>
  </si>
  <si>
    <t>Retrievable Test, Treat &amp; Squeeze Packer — First 8 Hours or Fraction</t>
  </si>
  <si>
    <t>Price is determined by size and depth packer set. Job time begins when the tool starts in the well and ends when recovered. Additional zone charge applies when the tool is moved to another zone for any purpose (excludes looking for casing leaks).</t>
  </si>
  <si>
    <t>Retrievable Bridge Plug (run with another Makaman packer) — First 8 Hours or Fraction</t>
  </si>
  <si>
    <t>Retrievable Bridge Plug (run separately) — First 8 Hours or Fraction</t>
  </si>
  <si>
    <t>Drill Cement Retainers &amp; Drillable Bridge Plug — Special Tools Service</t>
  </si>
  <si>
    <t>Sales — per Casing OD</t>
  </si>
  <si>
    <t>B.  DRILLING TOOLS &amp; FILTRATION</t>
  </si>
  <si>
    <t>Drilling Tools — Stabilizers, Jars &amp; Casing Scrapers</t>
  </si>
  <si>
    <t>Per Day</t>
  </si>
  <si>
    <t>Add. Day</t>
  </si>
  <si>
    <t>Stand-By</t>
  </si>
  <si>
    <t>Filtration Services</t>
  </si>
  <si>
    <t>C.  PUMPING &amp; STIMULATION SERVICES</t>
  </si>
  <si>
    <t>500 HP Pump</t>
  </si>
  <si>
    <t>1,000 HP Pump</t>
  </si>
  <si>
    <t>2,000 HP Pump</t>
  </si>
  <si>
    <t>Volume Charge</t>
  </si>
  <si>
    <t>High Pressure Treating Line — 2" H.P. Iron</t>
  </si>
  <si>
    <t>High Pressure Flexible Hoses</t>
  </si>
  <si>
    <t>Acid Mixing &amp; Holding Tanks (Lined)</t>
  </si>
  <si>
    <t>Acid Transport Tanks (Lined)</t>
  </si>
  <si>
    <t>Acid Road Tanker (Lined)</t>
  </si>
  <si>
    <t>Fluid Mixing &amp; Holding Tanks (Unlined)</t>
  </si>
  <si>
    <t>Fluid Mixing &amp; Holding Tanks (Lined)</t>
  </si>
  <si>
    <t>Batch Mixers c/w Diesel Engine</t>
  </si>
  <si>
    <t>Suction Pressure &amp; Fluid Transfer Pumps — Centrifugal</t>
  </si>
  <si>
    <t>Suction / Discharge Hoses</t>
  </si>
  <si>
    <t>Stimulation Fluid Mixing</t>
  </si>
  <si>
    <t>D.  DRILL STEM TESTING SERVICES</t>
  </si>
  <si>
    <t>Conventional Bottom Hole or Straddle Tests (Cased or Open Hole) — First 24 Hours</t>
  </si>
  <si>
    <t>Depth in Feet</t>
  </si>
  <si>
    <t>Charges are for the first 24 hours from the time the packers are run through the rotary table into the well until they return to surface; additional hours are charged for. Standard conventional tools included: 30 ft perforated anchor, 2 sets open-hole packer assembly, Lee Mason hydraulic jars, shut-in tool, reverse circulating subs, drop-bar assembly, 5 joints of chicksan, bull nose, bypass pipe, Walter's safety joint, hydraulic main valve, analysis kit, bubble head and hoses.</t>
  </si>
  <si>
    <t>Auxiliary Charges</t>
  </si>
  <si>
    <t>Corrosive service charge (H₂S, CO₂ or acid) and desert surcharge each add 20%.</t>
  </si>
  <si>
    <t>Optional Equipment Charges (at customer's request)</t>
  </si>
  <si>
    <t>Pressure &amp; Temperature Recorders</t>
  </si>
  <si>
    <t>Recorders, Reports &amp; Data Analysis</t>
  </si>
  <si>
    <t>Sale of Damaged Open Hole Packer Rubbers</t>
  </si>
  <si>
    <t>Sale of Casing Packer Redress Kits</t>
  </si>
  <si>
    <t>Sale of Damaged Packer Rubber Supports (Inserts)</t>
  </si>
  <si>
    <t>E.  FISHING SERVICES</t>
  </si>
  <si>
    <t>Fishing Services — Personnel &amp; Mobilisation</t>
  </si>
  <si>
    <t>Last Day</t>
  </si>
  <si>
    <t>Reverse Circulating Jet &amp; Junk Baskets (Poor Boy / Drag Tooth)</t>
  </si>
  <si>
    <t>Per Run</t>
  </si>
  <si>
    <t>Impression Blocks &amp; Metal Boxes</t>
  </si>
  <si>
    <t>Triple Connection / Canfield Washpipe</t>
  </si>
  <si>
    <t>Safety / Control Bushing</t>
  </si>
  <si>
    <t>Safety Clamps — Drill Collar or Wireline (min. 4 days)</t>
  </si>
  <si>
    <t>Cutters — Inside &amp; Outside Casing (Mechanical / Hydraulic)</t>
  </si>
  <si>
    <t>Per Cut</t>
  </si>
  <si>
    <t>Inside Casing Hydraulic Pressure Cutter</t>
  </si>
  <si>
    <t>Drilling &amp; Fishing Jars, Bumper Subs</t>
  </si>
  <si>
    <t>First 8 Hrs</t>
  </si>
  <si>
    <t>Add. Hr</t>
  </si>
  <si>
    <t>Rotary Safety, J-Type Safety, Magnets &amp; Fishing Jars</t>
  </si>
  <si>
    <t>Mills — Dressed with Tungsten Carbide Inserts</t>
  </si>
  <si>
    <t>Mills — Cement, Junk, Bladed &amp; Packer/Pilot Types</t>
  </si>
  <si>
    <t>Overshots — Series 150, Rotary Releasing &amp; Pack-off (Small)</t>
  </si>
  <si>
    <t>Overshots — Series 150, Rotary Releasing &amp; Pack-off (Large)</t>
  </si>
  <si>
    <t>Overshot Guides — Mill Type (Tungsten Carbide Dressed)</t>
  </si>
  <si>
    <t>Guides — Oversize, Donut, Extra &amp; Wall Hook</t>
  </si>
  <si>
    <t>Washover Pipe</t>
  </si>
  <si>
    <t>First Day ($/ft)</t>
  </si>
  <si>
    <t>Add. Day ($/ft)</t>
  </si>
  <si>
    <t>Washover Pipe Extensions</t>
  </si>
  <si>
    <t>Bull Nose &amp; Lift Subs</t>
  </si>
  <si>
    <t>Reamers, Saws, Casing Scrapers &amp; Shoes</t>
  </si>
  <si>
    <t>Cable Spear</t>
  </si>
  <si>
    <t>Rope Center / Multi-Prong &amp; Rotary Releasing J-Type Spears</t>
  </si>
  <si>
    <t>Spear Extensions &amp; Pack-off Assemblies</t>
  </si>
  <si>
    <t>Lift — Drill Collar</t>
  </si>
  <si>
    <t>Stabilizers — Welded / Fixed Blade</t>
  </si>
  <si>
    <t>Per Job</t>
  </si>
  <si>
    <t>Subs — Rotary &amp; Bit (Sucker Rod Conn.)</t>
  </si>
  <si>
    <t>Subs — Rotary &amp; Bit (Sucker Rod Conn.), per Day</t>
  </si>
  <si>
    <t>Swages — Casing, Die Collars &amp; Tapered</t>
  </si>
  <si>
    <t>F.  CUSTOMER'S EQUIPMENT &amp; TERMS</t>
  </si>
  <si>
    <t>Customer's Equipment — Surcharges</t>
  </si>
  <si>
    <t>Surcharge</t>
  </si>
  <si>
    <t>Damaged or Lost Tool Services: Tools lost/damaged in transit, lost-in-hole, or damaged beyond repair are charged at Makaman Libya landed cost plus 50%, plus 100% of accrued rental. Parts to recondition a tool: landed cost plus 50%. Tools cut/welded/modified at customer's request are considered damaged beyond repair. Landed cost = manufacturer's export price plus 35%. Corrosive-environment surcharge: 50%. Desert/Marine surcharge (add to all invoices): plus 20%.</t>
  </si>
  <si>
    <t>Oil Service Incorporated — Tools &amp; Testing / Special Tools Service   ·   All prices in USD ($)   ·   Rates per unit as noted</t>
  </si>
  <si>
    <t>A.  TRANSPORTATION &amp; PERSONNEL</t>
  </si>
  <si>
    <t>Transportation &amp; Personnel — Daily Rates</t>
  </si>
  <si>
    <t>per KM</t>
  </si>
  <si>
    <t>per day</t>
  </si>
  <si>
    <t>B.  RETRIEVABLE PACKERS, BRIDGE PLUGS &amp; SETTING TOOLS</t>
  </si>
  <si>
    <t>Retrievable Test, Treat &amp; Squeeze Packer</t>
  </si>
  <si>
    <t>Size thru 7"</t>
  </si>
  <si>
    <t>Size thru 9 5/8"</t>
  </si>
  <si>
    <t>Size 13 3/8"</t>
  </si>
  <si>
    <t>Retrievable Bridge Plug — Run Separately</t>
  </si>
  <si>
    <t>Retrievable Bridge Plug — Run With Another MAKAMAN Packer</t>
  </si>
  <si>
    <t>per job</t>
  </si>
  <si>
    <t>per run</t>
  </si>
  <si>
    <t>C.  DRILLABLE CEMENT RETAINERS &amp; BRIDGE PLUGS — SALES</t>
  </si>
  <si>
    <t>Drillable Cement Retainers &amp; Drillable Bridge Plug Packer — by Casing OD (Sale)</t>
  </si>
  <si>
    <t>per unit</t>
  </si>
  <si>
    <t>D.  FISHING SUPERVISION &amp; BASKETS</t>
  </si>
  <si>
    <t>Fishing Supervision &amp; Transport</t>
  </si>
  <si>
    <t>Junk Baskets</t>
  </si>
  <si>
    <t>$/day</t>
  </si>
  <si>
    <t>Reverse-Circulating Jet Baskets (Tungsten)</t>
  </si>
  <si>
    <t>Junk Baskets — Poor-Boy / Drag-Tooth</t>
  </si>
  <si>
    <t>Impression Block — 8" OD &amp; smaller</t>
  </si>
  <si>
    <t>Impression Block — over 8"</t>
  </si>
  <si>
    <t>Boxes, Metal — all sizes</t>
  </si>
  <si>
    <t>E.  WASHPIPE ACCESSORIES, BUSHINGS &amp; CLAMPS</t>
  </si>
  <si>
    <t>Washpipe Spears / Wasphip Pin</t>
  </si>
  <si>
    <t>Safety / Control Bushings</t>
  </si>
  <si>
    <t>Safety Clamps — Drill Collar or Wireline</t>
  </si>
  <si>
    <t>$/day (min 4)</t>
  </si>
  <si>
    <t>F.  CUTTERS</t>
  </si>
  <si>
    <t>Inside Casing Cutters — Mechanical</t>
  </si>
  <si>
    <t>per cut</t>
  </si>
  <si>
    <t>Outside Cutters — Casing, Drill or Tubing</t>
  </si>
  <si>
    <t>Inside Casing Cutters — Hydraulic Pressure (Conventional Gridded)</t>
  </si>
  <si>
    <t>G.  JARS &amp; BUMPER SUBS</t>
  </si>
  <si>
    <t>Fishing Jars (Hydraulic or Mechanical) &amp; Bumper Subs</t>
  </si>
  <si>
    <t>Fishing Jar — Thru 6-1/2" OD</t>
  </si>
  <si>
    <t>Fishing Jar — Thru 8" OD</t>
  </si>
  <si>
    <t>Bumper Sub — 4-1/4" OD</t>
  </si>
  <si>
    <t>Bumper Sub — 6-1/4" OD</t>
  </si>
  <si>
    <t>H.  SAFETY SUBS &amp; MAGNETS</t>
  </si>
  <si>
    <t>Rotary Safety, "J"-Type &amp; Shear-Pin Subs — Drill Pipe &amp; Tubing</t>
  </si>
  <si>
    <t>Rotary Safety — 3-1/2" conn.</t>
  </si>
  <si>
    <t>Rotary Safety — 6-5/8" conn. &amp; smaller</t>
  </si>
  <si>
    <t>"J"-Type / Shear-Pin — 6-5/8" conn. &amp; smaller</t>
  </si>
  <si>
    <t>Magnets</t>
  </si>
  <si>
    <t>Ditch Magnet — all sizes</t>
  </si>
  <si>
    <t>Fishing Magnet — Thru 2-1/2" OD</t>
  </si>
  <si>
    <t>Fishing Magnet — Thru 4-1/2" OD</t>
  </si>
  <si>
    <t>Fishing Magnet — Thru 6-1/2" OD</t>
  </si>
  <si>
    <t>Fishing Magnet — Thru 8-1/2" OD</t>
  </si>
  <si>
    <t>Fishing Magnet — Thru 11-1/2" OD</t>
  </si>
  <si>
    <t>I.  MILLS</t>
  </si>
  <si>
    <t>Mills — Dressed with Tungsten Carbide / Milling Section</t>
  </si>
  <si>
    <t>First 30 Days</t>
  </si>
  <si>
    <t>Dressed w/Tungsten — Thru 10 3/4" OD</t>
  </si>
  <si>
    <t>per tool</t>
  </si>
  <si>
    <t>Dressed w/Tungsten — Thru 13 3/8" OD</t>
  </si>
  <si>
    <t>Milling Section — Thru 8 5/8" OD</t>
  </si>
  <si>
    <t>Milling Section — Thru 10 3/4" OD</t>
  </si>
  <si>
    <t>Milling Section — Thru 13 3/8" OD</t>
  </si>
  <si>
    <t>Milling Section — Thru 20" OD</t>
  </si>
  <si>
    <t>Mills — Cement, Junk, Bladed, Concave, Packer, Pilot &amp; Watermelon</t>
  </si>
  <si>
    <t>Cement, Junk or Bladed Type — all sizes</t>
  </si>
  <si>
    <t>Cement/Concave/Flat/Hollow — Thru 12" OD</t>
  </si>
  <si>
    <t>Cement/Concave/Flat/Hollow — Thru 15" OD</t>
  </si>
  <si>
    <t>Cement/Concave/Flat/Hollow — Thru 20" OD</t>
  </si>
  <si>
    <t>Cement/Concave/Flat/Hollow — Thru 24" OD</t>
  </si>
  <si>
    <t>Cement/Concave/Flat/Hollow — Thru 26" OD</t>
  </si>
  <si>
    <t>Packer, Pilot, Tapered or Watermelon — Thru 15" OD</t>
  </si>
  <si>
    <t>Packer, Pilot, Tapered or Watermelon — Thru 20" OD</t>
  </si>
  <si>
    <t>Packer, Pilot, Tapered or Watermelon — Thru 24" OD</t>
  </si>
  <si>
    <t>Packer, Pilot, Tapered or Watermelon — Thru 26" OD</t>
  </si>
  <si>
    <t>Packer, Pilot, Tapered or Watermelon — Thru 30" OD</t>
  </si>
  <si>
    <t>J.  OVERSHOTS, GUIDES &amp; EXTENSIONS</t>
  </si>
  <si>
    <t>Overshots — Series 150 (Rotary Releasing &amp; Pack-off)</t>
  </si>
  <si>
    <t>First Days</t>
  </si>
  <si>
    <t>Overshots — Series 70 (Short Catch)</t>
  </si>
  <si>
    <t>Guides — Oversize / Donut / Extra &amp; Wall Hook</t>
  </si>
  <si>
    <t>Oversize/Donut — Thru 7" OD</t>
  </si>
  <si>
    <t>Oversize/Donut — Thru 11" OD</t>
  </si>
  <si>
    <t>Oversize/Donut — Thru 16-18" OD</t>
  </si>
  <si>
    <t>Oversize/Donut — Thru 20" OD</t>
  </si>
  <si>
    <t>Oversize/Donut — Thru 24" OD</t>
  </si>
  <si>
    <t>Wall Hook — Thru 7-7/8" OD</t>
  </si>
  <si>
    <t>Wall Hook — Thru 20-3/4" OD</t>
  </si>
  <si>
    <t>K.  WASHOVER PIPE, EXTENSIONS &amp; BULL NOSES</t>
  </si>
  <si>
    <t>Washover Pipe (Rotary Shoe Dressed)</t>
  </si>
  <si>
    <t>$/ft</t>
  </si>
  <si>
    <t>Bull Noses &amp; Lift Subs</t>
  </si>
  <si>
    <t>Bull Nose — Thru 3-1/2" joint size</t>
  </si>
  <si>
    <t>Bull Nose — Thru 4-1/2" joint size</t>
  </si>
  <si>
    <t>Bull Nose — Thru 5-1/2" joint size</t>
  </si>
  <si>
    <t>Bull Nose — Thru 6-5/8" joint size</t>
  </si>
  <si>
    <t>Lift Sub (used with washpipe) — Thru 5-3/4" OD</t>
  </si>
  <si>
    <t>Lift Sub (used with washpipe) — Thru 10-3/4" OD</t>
  </si>
  <si>
    <t>Lift Sub (used with washpipe) — Thru 20" OD</t>
  </si>
  <si>
    <t>L.  REAMERS, SAWS, CASING SCRAPERS, SHOES &amp; ROLLERS</t>
  </si>
  <si>
    <t>Reamers (3 &amp; 4 Blade), Saw &amp; Casing Scrapers</t>
  </si>
  <si>
    <t>Reamer, Conventional Fishing Dressed — Thru 15" OD</t>
  </si>
  <si>
    <t>Reamer, Conventional Fishing Dressed — Thru 24" OD</t>
  </si>
  <si>
    <t>Reamer, Conventional Fishing Dressed — Thru 30" OD</t>
  </si>
  <si>
    <t>Pneumatic Casing Saw — 4" to 12"</t>
  </si>
  <si>
    <t>Casing Scraper — Thru 5" OD</t>
  </si>
  <si>
    <t>Casing Scraper — Thru 7" OD</t>
  </si>
  <si>
    <t>Casing Scraper — Thru 9 5/8" OD</t>
  </si>
  <si>
    <t>Casing Scraper — Thru 10 3/4" OD</t>
  </si>
  <si>
    <t>Casing Scraper — Thru 13 3/8" OD</t>
  </si>
  <si>
    <t>Casing Scraper — Thru 16" OD</t>
  </si>
  <si>
    <t>Casing Scraper — Thru 20" OD</t>
  </si>
  <si>
    <t>Rotary/Washpipe Shoe (Crushed Tungsten Carbide) — Thru 7 1/2" OD</t>
  </si>
  <si>
    <t>Rotary/Washpipe Shoe (Crushed Tungsten Carbide) — Thru 12 3/4" OD</t>
  </si>
  <si>
    <t>Casing Rollers</t>
  </si>
  <si>
    <t>M.  SHOCK TOOLS &amp; ROPE SOCKETS</t>
  </si>
  <si>
    <t>Shock Tools (Bumper Jars)</t>
  </si>
  <si>
    <t>Rope Sockets</t>
  </si>
  <si>
    <t>Rope Center Multi-Prong, Sucker Rod Conn.</t>
  </si>
  <si>
    <t>Rope Center Multi-Prong — 2 7/8" Conn.</t>
  </si>
  <si>
    <t>Rope Center Multi-Prong — 3 1/2" Conn.</t>
  </si>
  <si>
    <t>Rope Center Multi-Prong — 4 1/2" Conn.</t>
  </si>
  <si>
    <t>Rope Center Multi-Prong — 5 1/2" Conn.</t>
  </si>
  <si>
    <t>Rope Center Multi-Prong — 6 5/8" Conn.</t>
  </si>
  <si>
    <t>Rope Center Multi-Prong — 7 5/8" Conn.</t>
  </si>
  <si>
    <t>Rotary Releasing &amp; "J"-Type (Full) — 2 7/8" OD</t>
  </si>
  <si>
    <t>Rotary Releasing &amp; "J"-Type (Full) — 5" OD</t>
  </si>
  <si>
    <t>Rotary Releasing &amp; "J"-Type (Full) — 6 5/8" OD</t>
  </si>
  <si>
    <t>Rotary Releasing &amp; "J"-Type (Full) — 8 5/8" OD</t>
  </si>
  <si>
    <t>Rotary Releasing &amp; "J"-Type (Full) — 13 3/8" OD</t>
  </si>
  <si>
    <t>Rotary Releasing &amp; "J"-Type (Full) — 16" OD</t>
  </si>
  <si>
    <t>Rotary Releasing &amp; "J"-Type (Full) — 20" OD</t>
  </si>
  <si>
    <t>Rotary Releasing &amp; "J"-Type (Full) — 36" OD</t>
  </si>
  <si>
    <t>N.  SPEARS, STOP SUBS &amp; STABILIZERS</t>
  </si>
  <si>
    <t>Spear Extensions &amp; Pack-Off Assemblies</t>
  </si>
  <si>
    <t>Spear Extension — 2 7/8" Conn.</t>
  </si>
  <si>
    <t>Spear Extension — 3 1/2" Conn.</t>
  </si>
  <si>
    <t>Spear Extension — 4 1/2" Conn.</t>
  </si>
  <si>
    <t>Spear Extension — 6 5/8" Conn.</t>
  </si>
  <si>
    <t>Spear Pack-Off Assembly — 2 7/8" OD</t>
  </si>
  <si>
    <t>Spear Pack-Off Assembly — 4" OD</t>
  </si>
  <si>
    <t>Spear Pack-Off Assembly — 5" OD</t>
  </si>
  <si>
    <t>Spear Pack-Off Assembly — 7" OD</t>
  </si>
  <si>
    <t>Spear Pack-Off Assembly — 9 5/8" OD</t>
  </si>
  <si>
    <t>Spear Pack-Off Assembly — 13 3/8" OD</t>
  </si>
  <si>
    <t>Spear Pack-Off Assembly — 16" OD</t>
  </si>
  <si>
    <t>Lift Drill Collar</t>
  </si>
  <si>
    <t>Lift Drill Collar — 4 1/2" Conn.</t>
  </si>
  <si>
    <t>Lift Drill Collar — 6 5/8" Conn.</t>
  </si>
  <si>
    <t>Spear Stop Subs &amp; Stabilizers</t>
  </si>
  <si>
    <t>Spear Stop Sub — 2 7/8" Conn.</t>
  </si>
  <si>
    <t>Spear Stop Sub — 4 1/2" Conn.</t>
  </si>
  <si>
    <t>Spear Stop Sub — 6 5/8" Conn.</t>
  </si>
  <si>
    <t>Spear Stop Sub — 7 5/8" Conn.</t>
  </si>
  <si>
    <t>Spear Stop Sub — 8 5/8" Conn.</t>
  </si>
  <si>
    <t>Stabilizer, Welded/Fixed Blade — Thru 7-3/8" OD</t>
  </si>
  <si>
    <t>Stabilizer, Welded/Fixed Blade — Thru 13-3/8" OD</t>
  </si>
  <si>
    <t>Stabilizer, Welded/Fixed Blade — Thru 18" OD</t>
  </si>
  <si>
    <t>O.  SUBS, SWAGES &amp; DIE COLLARS</t>
  </si>
  <si>
    <t>Subs — Rotary &amp; Bit</t>
  </si>
  <si>
    <t>Sub (Rotary &amp; Bit) — Sucker Rod Conn.</t>
  </si>
  <si>
    <t>Sub (Rotary &amp; Bit) — 2 7/8" Conn.</t>
  </si>
  <si>
    <t>Sub (Rotary &amp; Bit) — 3 1/2" Conn.</t>
  </si>
  <si>
    <t>Sub (Rotary &amp; Bit) — 4 1/2" Conn.</t>
  </si>
  <si>
    <t>Sub (Rotary &amp; Bit) — 6 5/8" Conn.</t>
  </si>
  <si>
    <t>Sub (Rotary &amp; Bit) — 7 5/8" Conn.</t>
  </si>
  <si>
    <t>Screw-In / Cut-Lip Subs</t>
  </si>
  <si>
    <t>Screw-In / Cut-Lip — 2 7/8" Conn. &amp; smaller</t>
  </si>
  <si>
    <t>Screw-In / Cut-Lip — 3 1/2" Conn. &amp; smaller</t>
  </si>
  <si>
    <t>Screw-In / Cut-Lip — 4 1/2" Conn.</t>
  </si>
  <si>
    <t>Screw-In / Cut-Lip — 5 1/2" Conn.</t>
  </si>
  <si>
    <t>Screw-In / Cut-Lip — 6 5/8" Conn.</t>
  </si>
  <si>
    <t>Screw-In / Cut-Lip — 7 5/8" Conn.</t>
  </si>
  <si>
    <t>Swages &amp; Die Collars</t>
  </si>
  <si>
    <t>Swage, Casing (Swaging Tool) — All Sizes</t>
  </si>
  <si>
    <t>Die Collar &amp; Tapered — Thru 2 1/2" OD</t>
  </si>
  <si>
    <t>Die Collar &amp; Tapered — Thru 3 3/4" OD</t>
  </si>
  <si>
    <t>Die Collar &amp; Tapered — Thru 4 3/4" OD</t>
  </si>
  <si>
    <t>Die Collar &amp; Tapered — Thru 5 3/4" OD</t>
  </si>
  <si>
    <t>Die Collar &amp; Tapered — Thru 6 3/4" OD</t>
  </si>
  <si>
    <t>Die Collar &amp; Tapered — Thru 7 5/8" OD</t>
  </si>
  <si>
    <t>Die Collar &amp; Tapered — Thru 9 5/8" OD</t>
  </si>
  <si>
    <t>Die Collar &amp; Tapered — Thru 10 3/4" OD</t>
  </si>
  <si>
    <t>All prices are in USD. Rental rates are per unit as noted (per day / first day + additional day). Prices subject to change without notice. Freight, redress and lost-in-hole charges are billed separately.</t>
  </si>
  <si>
    <t>All prices in US Dollars (US$). Terms and conditions of Makaman Libya Company apply.</t>
  </si>
  <si>
    <t>Fishing Jar &amp; Bumper Sub Redress Charges</t>
  </si>
  <si>
    <t>Price (US$)</t>
  </si>
  <si>
    <t>Impression Block, Junk Basket &amp; Washover Pipe Redress</t>
  </si>
  <si>
    <t>Mills &amp; Mill Refills</t>
  </si>
  <si>
    <t>First Day (US$)</t>
  </si>
  <si>
    <t>Additional Day (US$)</t>
  </si>
  <si>
    <t>Cable Spears, Overshot Redress Kits &amp; Tool Inspection</t>
  </si>
  <si>
    <t>Bailers, Sand Pumps, Clamps, Elevators &amp; Workshop Labour</t>
  </si>
  <si>
    <t>Magnets, Grapples &amp; Near-Bit Stabilizers</t>
  </si>
  <si>
    <t>Jar Intensifiers, Releasing Spears &amp; Taper Mills</t>
  </si>
  <si>
    <t>Technical Personnel — Daily Rates</t>
  </si>
  <si>
    <t>Swab Cups, Machine Rental &amp; Workshop Charges</t>
  </si>
  <si>
    <t>B.  DRILLING TOOLS &amp; MOTORS</t>
  </si>
  <si>
    <t>Drilling Jars</t>
  </si>
  <si>
    <t>Per Day (US$)</t>
  </si>
  <si>
    <t>Redress Charge (US$)</t>
  </si>
  <si>
    <t>Non-Magnetic Drill Collars</t>
  </si>
  <si>
    <t>3-Day Minimum (US$)</t>
  </si>
  <si>
    <t>Each Additional Day (US$)</t>
  </si>
  <si>
    <t>Hole Openers</t>
  </si>
  <si>
    <t>5-Day Minimum (US$)</t>
  </si>
  <si>
    <t>Stabilizers</t>
  </si>
  <si>
    <t>1st Day (US$)</t>
  </si>
  <si>
    <t>Non-Magnetic Stabilizers</t>
  </si>
  <si>
    <t>Rotary Subs (Substitutes)</t>
  </si>
  <si>
    <t>Rotary Subs — Operating &amp; Redress Rates by OD</t>
  </si>
  <si>
    <t>Directional Drilling Personnel</t>
  </si>
  <si>
    <t>Charge per Day (US$)</t>
  </si>
  <si>
    <t>Performance Motors</t>
  </si>
  <si>
    <t>Size (OD)</t>
  </si>
  <si>
    <t>Daily Rental / Motor (US$)</t>
  </si>
  <si>
    <t>Operating per Foot (US$)</t>
  </si>
  <si>
    <t>Daily Rental / Sleeve (US$)</t>
  </si>
  <si>
    <t>Redress per Used Motor (US$)</t>
  </si>
  <si>
    <t>Cross-Over Subs</t>
  </si>
  <si>
    <t>Size Connection</t>
  </si>
  <si>
    <t>Operating Price (US$)</t>
  </si>
  <si>
    <t>Rental Price (US$)</t>
  </si>
  <si>
    <t>Integral Blade Stabilizers</t>
  </si>
  <si>
    <t>Hole Size (OD)</t>
  </si>
  <si>
    <t>C.  CORING SERVICES</t>
  </si>
  <si>
    <t>Conventional Coring Assemblies &amp; Footage Charges</t>
  </si>
  <si>
    <t>Core Inner Tubes</t>
  </si>
  <si>
    <t>Core Handling &amp; Cutting Equipment</t>
  </si>
  <si>
    <t>Coring Personnel — Daily Rates</t>
  </si>
  <si>
    <t>Lost-in-Hole — Conventional Coring Equipment</t>
  </si>
  <si>
    <t>8" (US$)</t>
  </si>
  <si>
    <t>6 3/4" (US$)</t>
  </si>
  <si>
    <t>4 3/4" (US$)</t>
  </si>
  <si>
    <t>Core Heads — Sales Prices</t>
  </si>
  <si>
    <t>Core Head Notes &amp; Formation Selection Guide</t>
  </si>
  <si>
    <t>Core Stabilization — Gypsum, Resin &amp; Foam</t>
  </si>
  <si>
    <t>foot</t>
  </si>
  <si>
    <t>Core Gamma Logging</t>
  </si>
  <si>
    <t>Core Plugging &amp; Preservation</t>
  </si>
  <si>
    <t>Unconsolidated Core Plugging &amp; Sampling</t>
  </si>
  <si>
    <t>Core Freezing &amp; Cooled Transport</t>
  </si>
  <si>
    <t>Core Reports &amp; Analysis</t>
  </si>
  <si>
    <t>Coring — Rate Application Notes</t>
  </si>
  <si>
    <t>D.  CEMENTING &amp; STIMULATION CHEMICALS</t>
  </si>
  <si>
    <t>Class "G" Cement (94 lbs/cuft) by Field</t>
  </si>
  <si>
    <t>UOM</t>
  </si>
  <si>
    <t>Additional Cement Types — Lite/Heavyweight &amp; Microfine</t>
  </si>
  <si>
    <t>Cement Accelerators</t>
  </si>
  <si>
    <t>Cement Fluid-Loss Additives</t>
  </si>
  <si>
    <t>Cement Dispersants</t>
  </si>
  <si>
    <t>Cement Retarders</t>
  </si>
  <si>
    <t>Antifoam &amp; Defoamers</t>
  </si>
  <si>
    <t>Special Cement Additives</t>
  </si>
  <si>
    <t>Other Cementing Materials</t>
  </si>
  <si>
    <t>Hydrochloric Acid</t>
  </si>
  <si>
    <t>Mud Acid</t>
  </si>
  <si>
    <t>Special Acids</t>
  </si>
  <si>
    <t>Gellant Breakers</t>
  </si>
  <si>
    <t>Bridging Agents</t>
  </si>
  <si>
    <t>Proprietary Chemicals</t>
  </si>
  <si>
    <t>Foaming Agents &amp; Stabilizers</t>
  </si>
  <si>
    <t>Mutual Solvents</t>
  </si>
  <si>
    <t>Iron Sequestering Agents</t>
  </si>
  <si>
    <t>Gelling Agents</t>
  </si>
  <si>
    <t>Corrosion Inhibitors</t>
  </si>
  <si>
    <t>Inhibitor Intensifiers</t>
  </si>
  <si>
    <t>Surfactants</t>
  </si>
  <si>
    <t>Stimulation Fluid-Loss Additives</t>
  </si>
  <si>
    <t>Friction Reducers</t>
  </si>
  <si>
    <t>Diverting Agents</t>
  </si>
  <si>
    <t>Clay Stabilizing Agents</t>
  </si>
  <si>
    <t>Paraffin &amp; Asphaltene Solvents</t>
  </si>
  <si>
    <t>Demulsifiers &amp; Anti-Sludge</t>
  </si>
  <si>
    <t>E.  POWER TONG SERVICES</t>
  </si>
  <si>
    <t>Power Tong Equipment Rental (Tongs &amp; Power Unit)</t>
  </si>
  <si>
    <t>Power Tong Footage Charges</t>
  </si>
  <si>
    <t>Power Tong Personnel</t>
  </si>
  <si>
    <t>Power Tong Stand-By Charges</t>
  </si>
  <si>
    <t>Power Tong — Other &amp; Cancellation Charges</t>
  </si>
  <si>
    <t>F.  PACKER REDRESS KITS</t>
  </si>
  <si>
    <t>Packer Redress Kits — Mechanical &amp; Hydraulic</t>
  </si>
  <si>
    <t>9 5/8" (US$)</t>
  </si>
  <si>
    <t>7" (US$)</t>
  </si>
  <si>
    <t>5 1/2" (US$)</t>
  </si>
  <si>
    <t>5" (US$)</t>
  </si>
  <si>
    <t>G.  DOWNHOLE CASING EQUIPMENT &amp; ACCESSORIES</t>
  </si>
  <si>
    <t>Guide Shoes</t>
  </si>
  <si>
    <t>Float Shoes</t>
  </si>
  <si>
    <t>Stab-In Float Shoes</t>
  </si>
  <si>
    <t>Float Collars</t>
  </si>
  <si>
    <t>Stab-In Float Collar</t>
  </si>
  <si>
    <t>Cementing Plugs, Casing Stabilizers &amp; Welded Centralizers</t>
  </si>
  <si>
    <t>Non-Welded Positive Centralizers</t>
  </si>
  <si>
    <t>Stop Collars with Locking Nails</t>
  </si>
  <si>
    <t>Solid Cement Baskets</t>
  </si>
  <si>
    <t>Thread Compounds</t>
  </si>
  <si>
    <t>Casing Scrapers (Monthly Rate)</t>
  </si>
  <si>
    <t>Liner Hangers, Running Tools &amp; Personnel</t>
  </si>
  <si>
    <t>H.  GYRO SURVEY SERVICES</t>
  </si>
  <si>
    <t>DMS North-Seeking Gyro — Multishot</t>
  </si>
  <si>
    <t>DMS North-Seeking Gyro — Single Shot</t>
  </si>
  <si>
    <t>DMS Electronic Magnetic Gyro — Multishot</t>
  </si>
  <si>
    <t>Gyro Survey Personnel &amp; Transport</t>
  </si>
  <si>
    <t>Gyro Equipment — Lost-in-Hole &amp; Replacement Charges</t>
  </si>
  <si>
    <t>I.  WELL-HEAD SERVICES</t>
  </si>
  <si>
    <t>Well-Head Construction Services</t>
  </si>
  <si>
    <t>Well-Head Maintenance &amp; Remedial Services</t>
  </si>
  <si>
    <t>Well-Head Insulation Personnel</t>
  </si>
  <si>
    <t>J.  CASING EXIT / WHIP-STOCK</t>
  </si>
  <si>
    <t>Casing Exit Whip-Stock Systems</t>
  </si>
  <si>
    <t>K.  LOGGING &amp; INTERVENTION SERVICES</t>
  </si>
  <si>
    <t>Logging &amp; Intervention Services</t>
  </si>
  <si>
    <t>TRANSPORTATION &amp; PERSONNEL</t>
  </si>
  <si>
    <t xml:space="preserve">Price </t>
  </si>
  <si>
    <t>MKN-0001</t>
  </si>
  <si>
    <t xml:space="preserve"> Pick-up with tools traveling to wells, per KM. </t>
  </si>
  <si>
    <t>MKN-0002</t>
  </si>
  <si>
    <t xml:space="preserve"> Tool operator, per day or fraction</t>
  </si>
  <si>
    <t>MKN-0003</t>
  </si>
  <si>
    <t>Assistant Tool Operator, per day or fraction</t>
  </si>
  <si>
    <t>MKN-0004</t>
  </si>
  <si>
    <t xml:space="preserve">Supervisor or Engineer, per day or fraction </t>
  </si>
  <si>
    <t>MKN-0005</t>
  </si>
  <si>
    <t>Helper, per day or fraction</t>
  </si>
  <si>
    <t>MKN-0006</t>
  </si>
  <si>
    <t>STAND-BY             FRIST SIX HOURS after arriving on location</t>
  </si>
  <si>
    <t>No charge</t>
  </si>
  <si>
    <t>After the Frist Six 06) Hours, STAND-BY, PER HOUR OR FRACTION until job started per tool, until PERSONNEL CHARGES will be in addition.</t>
  </si>
  <si>
    <t>MKN-0007</t>
  </si>
  <si>
    <t xml:space="preserve"> JOB CANCELITION When called to location and the job is not run,</t>
  </si>
  <si>
    <t xml:space="preserve"> due to circumstances beyond our control. PERSONNEL CHARGES are in addition.</t>
  </si>
  <si>
    <t xml:space="preserve">RETRIVEVABLE TEST, TREAT AND SQUEEZE PACKER. </t>
  </si>
  <si>
    <t xml:space="preserve">Price is determined by size and depth packer set. Time of job begins when tool starts in well and time end when recovered from well. </t>
  </si>
  <si>
    <t>FRIST-EIGHT (8) HOURS or Fraction</t>
  </si>
  <si>
    <t>MKN-0008</t>
  </si>
  <si>
    <t>"Size thru 7</t>
  </si>
  <si>
    <t>MKN-0009</t>
  </si>
  <si>
    <t>AFTER FIRST DAY size 7"</t>
  </si>
  <si>
    <t>MKN-0010</t>
  </si>
  <si>
    <t xml:space="preserve"> "Size thru 95/8. </t>
  </si>
  <si>
    <t>MKN-0011</t>
  </si>
  <si>
    <t>AFTER FIRST DAY size 9 5/8"</t>
  </si>
  <si>
    <t>MKN-0012</t>
  </si>
  <si>
    <t xml:space="preserve"> "Size 13 3/8.</t>
  </si>
  <si>
    <t>MKN-0013</t>
  </si>
  <si>
    <t>AFTER FIRST DAY size 13 3/8"</t>
  </si>
  <si>
    <t>MKN-0014</t>
  </si>
  <si>
    <t>All sizes, above 15,000 ft. per 100 ft. or fraction add</t>
  </si>
  <si>
    <t>MKN-0015</t>
  </si>
  <si>
    <t>ADDITIONAL ZONE. Each ADDITIONAL ZONE on same run in well, any depth:</t>
  </si>
  <si>
    <t xml:space="preserve"> (This change applies when tool is moved to another zone for any purpose. </t>
  </si>
  <si>
    <t xml:space="preserve"> It does not include 'looking for casing leaks')</t>
  </si>
  <si>
    <t>MKN-0016</t>
  </si>
  <si>
    <t>Unsuccessful run.</t>
  </si>
  <si>
    <t>MKN-0017</t>
  </si>
  <si>
    <t xml:space="preserve"> Each Reset Packer For All Sizes</t>
  </si>
  <si>
    <t>RETRIEVABLE BRIDGE PLUG</t>
  </si>
  <si>
    <t>"RETRIEVABLE BRIDG PLUG (WHEN RUN SEPARATELY)
PRICE IS DETERMINED BY SIZE AND DEPTHPACKER.SET. TIME OF JOB BEGINS WHEN TOOL STARTS IN WELL AND TIME END WHEN RECOVERED FROM WELL
.FRIST-EIGHT (8) HOURS OR FRACTION"</t>
  </si>
  <si>
    <t>MKN-0018</t>
  </si>
  <si>
    <t>Size thru 7" : first day</t>
  </si>
  <si>
    <t>MKN-0019</t>
  </si>
  <si>
    <t>Size thru 7" : after first day</t>
  </si>
  <si>
    <t>MKN-0020</t>
  </si>
  <si>
    <t>Size thru 9 5/8" : first day</t>
  </si>
  <si>
    <t>MKN-0021</t>
  </si>
  <si>
    <t>Size thru 9 5/8" : after first day</t>
  </si>
  <si>
    <t>MKN-0022</t>
  </si>
  <si>
    <t>Size 13 3/8" : first day</t>
  </si>
  <si>
    <t>MKN-0023</t>
  </si>
  <si>
    <t>Size 13 3/8" : after first day</t>
  </si>
  <si>
    <t>MKN-0024</t>
  </si>
  <si>
    <t>All sizes above 15,000 ft. per 100 ft. or fraction: add</t>
  </si>
  <si>
    <t>MKN-0025</t>
  </si>
  <si>
    <t>ADDITIONAL TIME. Each additional consecutive 8-hour or fraction</t>
  </si>
  <si>
    <t>MKN-0026</t>
  </si>
  <si>
    <t>Frac sand (M.E.) 20–40 per pound</t>
  </si>
  <si>
    <t>MKN-0027</t>
  </si>
  <si>
    <t>Unsuccessful run</t>
  </si>
  <si>
    <t>RETRIEVABLE BRIDGE PLUG (When run with another MAKAMAN LIBYA CO. packer)</t>
  </si>
  <si>
    <t>Price is determined by size and depth packer set.</t>
  </si>
  <si>
    <t xml:space="preserve"> Time of job begins when tool starts in well and time end when recovered from well. </t>
  </si>
  <si>
    <t>FIRST EIGHT (8) HOURS or Fraction</t>
  </si>
  <si>
    <t>MKN-0028</t>
  </si>
  <si>
    <t>MKN-0029</t>
  </si>
  <si>
    <t>MKN-0030</t>
  </si>
  <si>
    <t>MKN-0031</t>
  </si>
  <si>
    <t>MKN-0032</t>
  </si>
  <si>
    <t>MKN-0033</t>
  </si>
  <si>
    <t>MKN-0034</t>
  </si>
  <si>
    <t>MKN-0035</t>
  </si>
  <si>
    <t>MKN-0036</t>
  </si>
  <si>
    <t>Each reset on ADDITIONAL ZONE</t>
  </si>
  <si>
    <t>MKN-0037</t>
  </si>
  <si>
    <t>MKN-0038</t>
  </si>
  <si>
    <t>Crossover subs, per sub, per job</t>
  </si>
  <si>
    <t>SETTING TOOLS &amp; ACCESSORIES</t>
  </si>
  <si>
    <t>MKN-0039</t>
  </si>
  <si>
    <t>MECHANICAL SETTING TOOL, per run</t>
  </si>
  <si>
    <t>MKN-0040</t>
  </si>
  <si>
    <t>Wire line kit for cement Retainer/Bridge plug, Per run</t>
  </si>
  <si>
    <t>MKN-0041</t>
  </si>
  <si>
    <t>Tubing Stinger Coupling/ (SSA), Per job</t>
  </si>
  <si>
    <t>MKN-0042</t>
  </si>
  <si>
    <t>Tubing Centralizer ,Per job</t>
  </si>
  <si>
    <t>DRILL CEMENT RETAINERS AND Drillable BRIDGE PLUG PACKER Per CSG OD</t>
  </si>
  <si>
    <t>MKN-0043</t>
  </si>
  <si>
    <t>4  1/2"</t>
  </si>
  <si>
    <t>MKN-0044</t>
  </si>
  <si>
    <t>5"</t>
  </si>
  <si>
    <t>MKN-0045</t>
  </si>
  <si>
    <t>5  1/2"</t>
  </si>
  <si>
    <t>MKN-0046</t>
  </si>
  <si>
    <t>7"</t>
  </si>
  <si>
    <t>MKN-0047</t>
  </si>
  <si>
    <t>9 5/8"</t>
  </si>
  <si>
    <t>MKN-0048</t>
  </si>
  <si>
    <t>13  3/8"</t>
  </si>
  <si>
    <t>STABILIZERS</t>
  </si>
  <si>
    <t>PER DAY</t>
  </si>
  <si>
    <t>STAND BY RATE</t>
  </si>
  <si>
    <t>MKN-0049</t>
  </si>
  <si>
    <t>STABILIZER Thru 6 1/8"</t>
  </si>
  <si>
    <t>MKN-0050</t>
  </si>
  <si>
    <t>STABILIZER Thru 8 5/8"</t>
  </si>
  <si>
    <t>MKN-0051</t>
  </si>
  <si>
    <t>STABILIZER Thru 12 1/4"</t>
  </si>
  <si>
    <t>MKN-0052</t>
  </si>
  <si>
    <t>STABILIZER Thru 17 1/2"</t>
  </si>
  <si>
    <t>MKN-0053</t>
  </si>
  <si>
    <t>HYDROLIC DRILLING JAR 4 3/4" OD &amp; UNDER</t>
  </si>
  <si>
    <t>MKN-0054</t>
  </si>
  <si>
    <t>HYDROLIC DRILLING JAR THRU 5 3/4" OD</t>
  </si>
  <si>
    <t>MKN-0055</t>
  </si>
  <si>
    <t>HYDROLIC DRILLING JAR THRU 6 1/4" OD</t>
  </si>
  <si>
    <t>MKN-0056</t>
  </si>
  <si>
    <t>HYDROLIC DRILLING JAR THRU 7 3/4" OD</t>
  </si>
  <si>
    <t>MKN-0057</t>
  </si>
  <si>
    <t>CASING SCRAPER 5" &amp; 5 1/2"</t>
  </si>
  <si>
    <t>MKN-0058</t>
  </si>
  <si>
    <t>CASING SCRAPER 7"</t>
  </si>
  <si>
    <t>MKN-0059</t>
  </si>
  <si>
    <t>CASING SCRAPER 9 5/8"</t>
  </si>
  <si>
    <t>FILTRATION</t>
  </si>
  <si>
    <t>MKN-0060</t>
  </si>
  <si>
    <t>SERVICE SUPERVISOR FILTRATION UNIT</t>
  </si>
  <si>
    <t>MKN-0061</t>
  </si>
  <si>
    <t>HELPER</t>
  </si>
  <si>
    <t>MKN-0062</t>
  </si>
  <si>
    <t>FILTRATION UNIT AND C-PUMP TRANSPORT</t>
  </si>
  <si>
    <t>MKN-0063</t>
  </si>
  <si>
    <t>FRAC TANK</t>
  </si>
  <si>
    <t>PER JOB</t>
  </si>
  <si>
    <t>MKN-0064</t>
  </si>
  <si>
    <t>CENTER FUGAL PUMP</t>
  </si>
  <si>
    <t>MKN-0065</t>
  </si>
  <si>
    <t>FILTRATION UNIT</t>
  </si>
  <si>
    <t>MKN-0066</t>
  </si>
  <si>
    <t>FILTRATION CATRIDGES</t>
  </si>
  <si>
    <t>PER EACH</t>
  </si>
  <si>
    <t>PUMPING &amp; STIMULATION SERVICES</t>
  </si>
  <si>
    <t>400 HP PUMP</t>
  </si>
  <si>
    <t>MKN-0067</t>
  </si>
  <si>
    <t>500 HP PUMP, rental or standby per pump</t>
  </si>
  <si>
    <t>DAY</t>
  </si>
  <si>
    <t>MKN-0068</t>
  </si>
  <si>
    <t>500 HP PUMP, 0 to 5,000 psi, operating, first 4 hours</t>
  </si>
  <si>
    <t>4 HRS</t>
  </si>
  <si>
    <t>MKN-0069</t>
  </si>
  <si>
    <t>500 HP PUMP, 0 to 5,000 psi, operating, additional hours</t>
  </si>
  <si>
    <t>HOUR</t>
  </si>
  <si>
    <t>MKN-0070</t>
  </si>
  <si>
    <t>500 HP PUMP, 5,001 to 10,000 psi, operating, first 4 hours</t>
  </si>
  <si>
    <t>MKN-0071</t>
  </si>
  <si>
    <t>500 HP PUMP, 5,001 to 10,000 psi, operating, additional hours</t>
  </si>
  <si>
    <t>1,000 HP PUMP</t>
  </si>
  <si>
    <t>MKN-0072</t>
  </si>
  <si>
    <t>1000 HP PUMP, rental or standby per pump</t>
  </si>
  <si>
    <t>MKN-0073</t>
  </si>
  <si>
    <t>1000 HP PUMP, 0 to 5,000 psi, operating, first 4 hours</t>
  </si>
  <si>
    <t>MKN-0074</t>
  </si>
  <si>
    <t>1000 HP PUMP, 0 to 5,000 psi, operating, additional hours</t>
  </si>
  <si>
    <t>MKN-0075</t>
  </si>
  <si>
    <t>1000 HP PUMP, 5,001 to 10,000 psi, operating, first 4 hours</t>
  </si>
  <si>
    <t>MKN-0076</t>
  </si>
  <si>
    <t>1000 HP PUMP, 5,001 to 10,000 psi, operating, additional hours</t>
  </si>
  <si>
    <t>2,000 HP PUMP</t>
  </si>
  <si>
    <t>MKN-0077</t>
  </si>
  <si>
    <t>2,000 HP PUMP, rental or standby per pump</t>
  </si>
  <si>
    <t>MKN-0078</t>
  </si>
  <si>
    <t>2,000 HP PUMP, 0 to 5,000 psi, operating, first 4 hours</t>
  </si>
  <si>
    <t>MKN-0079</t>
  </si>
  <si>
    <t>2,000 HP PUMP, 0 to 5,000 psi, operating, additional hours</t>
  </si>
  <si>
    <t>MKN-0080</t>
  </si>
  <si>
    <t>2,000 HP PUMP, 5,001 to 7,500 psi, operating, first 4 hours</t>
  </si>
  <si>
    <t>MKN-0081</t>
  </si>
  <si>
    <t>2,000 HP PUMP, 5,001 to 7,500 psi, operating, additional hours</t>
  </si>
  <si>
    <t>MKN-0082</t>
  </si>
  <si>
    <t>2,000 HP PUMP, 7,501 to 10,000 psi, operating, first 4 hours</t>
  </si>
  <si>
    <t>MKN-0083</t>
  </si>
  <si>
    <t>2,000 HP PUMP, 7,501 to 10,000 psi, operating, additional hours</t>
  </si>
  <si>
    <t>MKN-0084</t>
  </si>
  <si>
    <t>2,000 HP PUMP, 10,001 to 12,500 psi, operating, First 4 hours</t>
  </si>
  <si>
    <t>MKN-0085</t>
  </si>
  <si>
    <t>2,000 HP PUMP, 10,001 to 12,500 psi, operating, Additional hours</t>
  </si>
  <si>
    <t>MKN-0086</t>
  </si>
  <si>
    <t>2,000 HP PUMP, 12,501 to 15,000 psi, operating, first 4 hours</t>
  </si>
  <si>
    <t>MKN-0087</t>
  </si>
  <si>
    <t>2,000 HP PUMP, 12,501 to 15,000 psi, operating, additional hours</t>
  </si>
  <si>
    <t>FLUID &amp; SLURRY PUMPING - ADDITIONAL CHARGES</t>
  </si>
  <si>
    <t>VOLUME CHARGE</t>
  </si>
  <si>
    <t>MKN-0088</t>
  </si>
  <si>
    <t>Non-corrosive fluids</t>
  </si>
  <si>
    <t>GAL</t>
  </si>
  <si>
    <t>MKN-0089</t>
  </si>
  <si>
    <t>corrosive or abrasive fluids, additional</t>
  </si>
  <si>
    <t>HIGH PRESSURE TREATING LINE</t>
  </si>
  <si>
    <t>2" HIGH PRESSURE IRON</t>
  </si>
  <si>
    <t>MKN-0090</t>
  </si>
  <si>
    <t>2" H.P Plug Valve , each</t>
  </si>
  <si>
    <t>MKN-0091</t>
  </si>
  <si>
    <t>2" H.P Check Valve , each</t>
  </si>
  <si>
    <t>MKN-0092</t>
  </si>
  <si>
    <t xml:space="preserve">2" H.P Straight Joints per foot </t>
  </si>
  <si>
    <t>MKN-0093</t>
  </si>
  <si>
    <t>2" H.P Chicksans , each</t>
  </si>
  <si>
    <t>MKN-0094</t>
  </si>
  <si>
    <t>2" H.P Loops , each</t>
  </si>
  <si>
    <t>MKN-0095</t>
  </si>
  <si>
    <t>2" H.P Lateral , each</t>
  </si>
  <si>
    <t>MKN-0096</t>
  </si>
  <si>
    <t>2" H.P Flow Tee , each</t>
  </si>
  <si>
    <t>MKN-0097</t>
  </si>
  <si>
    <t>2" H.P Crossover , each</t>
  </si>
  <si>
    <t>HIGH PRESSURE FLEXIBLE HOSES</t>
  </si>
  <si>
    <t>MKN-0098</t>
  </si>
  <si>
    <t>2" Coflexip high pressure flexible hose, each, rental or standby</t>
  </si>
  <si>
    <t>MKN-0099</t>
  </si>
  <si>
    <t>2" Coflexip high pressure flexible hose, each, job charge</t>
  </si>
  <si>
    <t>JOB</t>
  </si>
  <si>
    <t>MKN-0100</t>
  </si>
  <si>
    <t>3" Coflexip high pressure flexible hose, each, rental or stand by</t>
  </si>
  <si>
    <t>MKN-0101</t>
  </si>
  <si>
    <t>3" Coflexip high pressure flexible hose, each, job charge</t>
  </si>
  <si>
    <t>MKN-0102</t>
  </si>
  <si>
    <t>4" Coflexip high pressure flexible hose, each, rental or standby</t>
  </si>
  <si>
    <t>MKN-0103</t>
  </si>
  <si>
    <t>4" Coflexip high pressure flexible hose, each, job charge</t>
  </si>
  <si>
    <t>MKN-0104</t>
  </si>
  <si>
    <t>Quick disconnect, rental or standby</t>
  </si>
  <si>
    <t>MKN-0105</t>
  </si>
  <si>
    <t>Quick disconnect, job charge</t>
  </si>
  <si>
    <t>FLUID MIXING, HOLDING &amp; TRANSPORT TANKS</t>
  </si>
  <si>
    <t>ACID MIXING &amp; HOLDING TANKS, LINED</t>
  </si>
  <si>
    <t>MKN-0106</t>
  </si>
  <si>
    <t>Acid mixing &amp; holding tanks, to 4,000 gal, rental or standby</t>
  </si>
  <si>
    <t>MKN-0107</t>
  </si>
  <si>
    <t>Acid mixing &amp; holding tanks, to 4,000 gal, job charge</t>
  </si>
  <si>
    <t>MKN-0108</t>
  </si>
  <si>
    <t>Acid mixing &amp; holding tanks, 4,001 to 8000 gal, rental or standby</t>
  </si>
  <si>
    <t>MKN-0109</t>
  </si>
  <si>
    <t>Acid mixing &amp; holding tanks, 4,001 to 8000 gal, job charge</t>
  </si>
  <si>
    <t>MKN-0110</t>
  </si>
  <si>
    <t>Acid mixing &amp; holding tanks, 8,001 to 12,000 gal, rental or standby</t>
  </si>
  <si>
    <t>MKN-0111</t>
  </si>
  <si>
    <t>Acid mixing &amp; holding tanks, 8,001 to 12,000 gal, job charge</t>
  </si>
  <si>
    <t>ACID TRANSPORT TANKS, LINED</t>
  </si>
  <si>
    <t>MKN-0112</t>
  </si>
  <si>
    <t>Acid transport container 1,300 gal capacity, rental or standby</t>
  </si>
  <si>
    <t>MKN-0113</t>
  </si>
  <si>
    <t>Acid transport container 1,300 gal capacity, job charge</t>
  </si>
  <si>
    <t>MKN-0114</t>
  </si>
  <si>
    <t>Acid transport container 2,000 gal capacity, rental or standby</t>
  </si>
  <si>
    <t>MKN-0115</t>
  </si>
  <si>
    <t>Acid transport container 2,000 gal capacity, job charge</t>
  </si>
  <si>
    <t>MKN-0116</t>
  </si>
  <si>
    <t>Acid transport container 5,000 gal capacity, rental or standby</t>
  </si>
  <si>
    <t>MKN-0117</t>
  </si>
  <si>
    <t>Acid transport container 5,000 gal capacity, job charge</t>
  </si>
  <si>
    <t>ACID ROAD TANKER, LINED</t>
  </si>
  <si>
    <t>MKN-0118</t>
  </si>
  <si>
    <t>Acid road tanker 7,500 gal capacity, rental or standby</t>
  </si>
  <si>
    <t>MKN-0119</t>
  </si>
  <si>
    <t>Acid road tanker 7,500 gal capacity, operation charge</t>
  </si>
  <si>
    <t>FLUID MIXING &amp; HOLDING TANKS, UNLINED</t>
  </si>
  <si>
    <t>MKN-0120</t>
  </si>
  <si>
    <t>Fluid mixing &amp; holding tanks, below 5,000 gal, rental or standby</t>
  </si>
  <si>
    <t>MKN-0121</t>
  </si>
  <si>
    <t>Fluid mixing &amp; holding tanks, below 5,000 gal, job charge</t>
  </si>
  <si>
    <t>MKN-0122</t>
  </si>
  <si>
    <t>Fluid mixing &amp; holding tanks, below 5,000 to 10,000 gal, rental or standby</t>
  </si>
  <si>
    <t>MKN-0123</t>
  </si>
  <si>
    <t>Fluid mixing &amp; holding tanks, below 5,000 to 10,000 gal, job charge</t>
  </si>
  <si>
    <t>MKN-0124</t>
  </si>
  <si>
    <t>fluid holding tank, 300 bbl, rental or standby</t>
  </si>
  <si>
    <t>MKN-0125</t>
  </si>
  <si>
    <t>fluid holding tank, 300 bbl, rental or job charge</t>
  </si>
  <si>
    <t>MKN-0126</t>
  </si>
  <si>
    <t>fluid holding tank, 500 bbl, rental or standby</t>
  </si>
  <si>
    <t>MKN-0127</t>
  </si>
  <si>
    <t>fluid holding tank, 500 bbl, job charge</t>
  </si>
  <si>
    <t>FLUID MIXING &amp; HOLDING TANKS, LINED</t>
  </si>
  <si>
    <t>MKN-0128</t>
  </si>
  <si>
    <t>Fluid mixing &amp; holding tanks, 500 bbl, rental or standby</t>
  </si>
  <si>
    <t>MKN-0129</t>
  </si>
  <si>
    <t>Fluid mixing &amp; holding tanks, 500 bbl, job charge</t>
  </si>
  <si>
    <t>BATCH MIXERS C/W DIESEL ENGINE</t>
  </si>
  <si>
    <t>MKN-0130</t>
  </si>
  <si>
    <t>Batch mixer w/ engine, below 50 bbl, rental or standby</t>
  </si>
  <si>
    <t>MKN-0131</t>
  </si>
  <si>
    <t>Batch mixer w/ engine, below 50 bbl, operating, first 4 hours</t>
  </si>
  <si>
    <t>4HRS</t>
  </si>
  <si>
    <t>MKN-0132</t>
  </si>
  <si>
    <t>Batch mixer w/ engine, below 50 bbl, operating, additional hours</t>
  </si>
  <si>
    <t>MKN-0133</t>
  </si>
  <si>
    <t>Batch mixer w/ engine, 50 to 100 bbl, rental or standby</t>
  </si>
  <si>
    <t>MKN-0134</t>
  </si>
  <si>
    <t>Batch mixer w/ engine, 50 to 100 bbl, operating, first 4 hours</t>
  </si>
  <si>
    <t>MKN-0135</t>
  </si>
  <si>
    <t>Batch mixer w/ engine, 50 to 100 bbl, operating, additional hours</t>
  </si>
  <si>
    <t>SUCTION PRESSURE &amp; FLUID TRANSFER PUMPS</t>
  </si>
  <si>
    <t>CENTRIFUGAL PUMPS</t>
  </si>
  <si>
    <t>MKN-0136</t>
  </si>
  <si>
    <t>Centrifugal pump skid, rental or standby</t>
  </si>
  <si>
    <t>MKN-0137</t>
  </si>
  <si>
    <t>Centrifugal pump skid, job charge</t>
  </si>
  <si>
    <t>MKN-0138</t>
  </si>
  <si>
    <t>Acid Transfer Pump, rental or standby</t>
  </si>
  <si>
    <t>MKN-0139</t>
  </si>
  <si>
    <t>Acid Transfer Pump, job charge</t>
  </si>
  <si>
    <t>SUCTION/DISCHARGES HOSES</t>
  </si>
  <si>
    <t>MKN-0140</t>
  </si>
  <si>
    <t>2" L.P Suction/Discharge Hose, per 15ft section, each</t>
  </si>
  <si>
    <t>MKN-0141</t>
  </si>
  <si>
    <t>3" L.P Suction/Discharge Hose, per 15ft section, each</t>
  </si>
  <si>
    <t>MKN-0142</t>
  </si>
  <si>
    <t>4" L.P Suction/Discharge Hose, per 15ft section, each</t>
  </si>
  <si>
    <t>STIMULATION FLUID MIXING</t>
  </si>
  <si>
    <t>MKN-0143</t>
  </si>
  <si>
    <t>Mixing charge for different acid systems (gelling acid, retarded cross linked acid
 &amp; SDA ...) prior to job, based on total volume of fluid</t>
  </si>
  <si>
    <t>MKN-0144</t>
  </si>
  <si>
    <t>Pre-mixing chemicals prior to any treatment, per hour</t>
  </si>
  <si>
    <t xml:space="preserve">Makaman Drill Stem Units are designed to provide state-of-the-art technology by incorporating </t>
  </si>
  <si>
    <t xml:space="preserve">programmable electronic temperature and pressure recorders. Makaman Drill Stem Testing </t>
  </si>
  <si>
    <t xml:space="preserve">Equipment is designed for rugged and trouble-free operations which has been proven by over </t>
  </si>
  <si>
    <t xml:space="preserve">10,000 drill stem test worldwide. Makaman innovations in tool design have increased drill stem </t>
  </si>
  <si>
    <t>testing success ratios and improved test reliability.</t>
  </si>
  <si>
    <t>Makaman Drill Stem Testing Units are truck-mounted, air-conditioned, and desert-equipped with</t>
  </si>
  <si>
    <t xml:space="preserve"> sand tires and all-wheel drive. Each unit is complete with all necessary down-hole and surface</t>
  </si>
  <si>
    <t xml:space="preserve"> equipment required to perform Conventional Bottom Hole and Straddle Drill Stem Tests in open</t>
  </si>
  <si>
    <t xml:space="preserve"> hole sizes from 5 7/8” to 12 1/4”, with bottom hole temperatures to 3570 Fahrenheit.</t>
  </si>
  <si>
    <t xml:space="preserve">Makaman Drill Stem Testing Surface Equipment (Fail Safe Head, Chicksans, Floor Manifold) </t>
  </si>
  <si>
    <t>conform to N.A.C.E. specifications MR-0175-90 for H₂S service and are pressure-rated for 10,000 P.S.I.</t>
  </si>
  <si>
    <t xml:space="preserve">Makaman Drill Stem Testing Units are operated and maintained by Technical Specialists with a </t>
  </si>
  <si>
    <t>minimum of 15 years of experience.</t>
  </si>
  <si>
    <t>CONVENTIONAL BOTTOM HOLE OR STRADDLE TESTS</t>
  </si>
  <si>
    <t>CASED OR OPEN HOLE</t>
  </si>
  <si>
    <t>Charges are for the first 24 hours from the time the packers are run through the rotary table into</t>
  </si>
  <si>
    <t xml:space="preserve"> the well and until they come back to the surface. Additional hours will be charged for.</t>
  </si>
  <si>
    <t>DEPTH IN FEET</t>
  </si>
  <si>
    <t>MKN-0145</t>
  </si>
  <si>
    <t>0 TO 5,000 FT</t>
  </si>
  <si>
    <t>MKN-0146</t>
  </si>
  <si>
    <t>5,001 TO 6,000 FT</t>
  </si>
  <si>
    <t>MKN-0147</t>
  </si>
  <si>
    <t>6,001 TO 7,000 FT</t>
  </si>
  <si>
    <t>MKN-0148</t>
  </si>
  <si>
    <t>7,001 TO 8,000 FT</t>
  </si>
  <si>
    <t>MKN-0149</t>
  </si>
  <si>
    <t>8,001 TO 9,000 FT</t>
  </si>
  <si>
    <t>MKN-0150</t>
  </si>
  <si>
    <t>9,001 TO 10,000 FT</t>
  </si>
  <si>
    <t>MKN-0151</t>
  </si>
  <si>
    <t>10,001 TO 11,000 FT</t>
  </si>
  <si>
    <t>MKN-0152</t>
  </si>
  <si>
    <t>11,001 TO 12,000 FT</t>
  </si>
  <si>
    <t>MKN-0153</t>
  </si>
  <si>
    <t>12,001 TO 13,000 FT</t>
  </si>
  <si>
    <t>MKN-0154</t>
  </si>
  <si>
    <t>13,001 TO 14,000 FT</t>
  </si>
  <si>
    <t>MKN-0155</t>
  </si>
  <si>
    <t>14,001 FT. OR DEEPER ADD PER 100 FT., OR FRACTION</t>
  </si>
  <si>
    <t>DRILL STEM TESTING SERVICES</t>
  </si>
  <si>
    <t>STANDARD CONVENTIONAL TOOLS INCLUDED IN THESE CHARGES:</t>
  </si>
  <si>
    <t>30 FT. PERFORATED ANCHOR</t>
  </si>
  <si>
    <t>5 JOINTS OF CHICKSAN,</t>
  </si>
  <si>
    <t>2 SETS OPEN HOLE PACKER ASSEMBLY,</t>
  </si>
  <si>
    <t>BULL NOSE,</t>
  </si>
  <si>
    <t>LEE MASON HYDRAULIC JARS,</t>
  </si>
  <si>
    <t>BYPASS PIPE,</t>
  </si>
  <si>
    <t>SHUT-IN TOOL,</t>
  </si>
  <si>
    <t>WALTER'S SAFETY JOINT,</t>
  </si>
  <si>
    <t>PRESSURE ACTIVATED REVERSE</t>
  </si>
  <si>
    <t>HYDRAULIC MAIN VALVE,</t>
  </si>
  <si>
    <t>CIRCULATING SUB, DROP BAR</t>
  </si>
  <si>
    <t>ANALYSIS KIT,</t>
  </si>
  <si>
    <t>ACTIVATED REVERSE CIRCULATING</t>
  </si>
  <si>
    <t>BUBBLE HEAD AND HOSES.</t>
  </si>
  <si>
    <t>SUB,</t>
  </si>
  <si>
    <t>DROP BAR ASSEMBLY,</t>
  </si>
  <si>
    <t>AUXILIARY CHARGES</t>
  </si>
  <si>
    <t>MKN-0156</t>
  </si>
  <si>
    <t>ADDITIONAL HOURS OR FRACTION OF, PER HOUR</t>
  </si>
  <si>
    <t>MKN-0157</t>
  </si>
  <si>
    <t>TRANSPORTATION CHARGE: PICK-UP ROUND TRIP, PER KM</t>
  </si>
  <si>
    <t>MKN-0158</t>
  </si>
  <si>
    <t>TRANSPORTATION CHARGE: SERVICE TRUCK ROUND TRIP, PER KM</t>
  </si>
  <si>
    <t>MKN-0159</t>
  </si>
  <si>
    <t>TRANSPORTATION CHARGE: SERVICE TRUCK STAND BY, PER DAY</t>
  </si>
  <si>
    <t>MKN-0160</t>
  </si>
  <si>
    <t>UNSUCCESSFUL RUN SERVICE CHARGE: INCLUDE STANDARD TESTING EQUIPMENT</t>
  </si>
  <si>
    <t>MKN-0161</t>
  </si>
  <si>
    <t>CANCELLATION OF SERVICE: BY CLIENT.</t>
  </si>
  <si>
    <t>MKN-0162</t>
  </si>
  <si>
    <t>WAITING TIME: EQUIPMENT, AFTER THE FIRST 6 HOURS, PER HOUR.</t>
  </si>
  <si>
    <t>MKN-0163</t>
  </si>
  <si>
    <t>PERSONNEL CHARGES: PER DAY, PER MAN. D.S.T. TECHNICIAN, PER DAY OR FRACTION ...</t>
  </si>
  <si>
    <t>MKN-0164</t>
  </si>
  <si>
    <t>D.S.T. ASSISTANT, PER DAY OR FRACTION ...</t>
  </si>
  <si>
    <t>CORROSIVE SERVICE CHARGE: ...........................</t>
  </si>
  <si>
    <t>MKN-0165</t>
  </si>
  <si>
    <t>WHEN EQUIPMENT AND INSTRUMENTS ARE RUN IN H₂S OR</t>
  </si>
  <si>
    <t>PLUS 20 %</t>
  </si>
  <si>
    <t xml:space="preserve"> CO₂. AND ACID.</t>
  </si>
  <si>
    <t>MKN-0166</t>
  </si>
  <si>
    <t>DESERT SURCHARGE</t>
  </si>
  <si>
    <t>OPTIONAL EQUIPMENT CHARGES AT CUSTOMER'S REQUEST</t>
  </si>
  <si>
    <t>MKN-0167</t>
  </si>
  <si>
    <t>SHUT-IN TOOL, FIRST 24 HOURS</t>
  </si>
  <si>
    <t>MKN-0168</t>
  </si>
  <si>
    <t>SHUT-IN TOOL: EACH ADDITIONAL 8 HOURS, OR FRACTION</t>
  </si>
  <si>
    <t>MKN-0169</t>
  </si>
  <si>
    <t>HYDRAULIC MAIN VALVE, FIRST 24 HOURS</t>
  </si>
  <si>
    <t>MKN-0170</t>
  </si>
  <si>
    <t>HY. M. VALVE: EACH ADDITIONAL 8 HOURS, OR FRACTION</t>
  </si>
  <si>
    <t>MKN-0171</t>
  </si>
  <si>
    <t>OPEN HOLE PACKER ASSEMBLY, PER ASSEMBLY</t>
  </si>
  <si>
    <t>MKN-0172</t>
  </si>
  <si>
    <t>STRADDLE BY-PASS ASSEMBLY, PER RUN</t>
  </si>
  <si>
    <t>MKN-0173</t>
  </si>
  <si>
    <t>WALTER'S SAFETY JOINT, PER RUN</t>
  </si>
  <si>
    <t>MKN-0174</t>
  </si>
  <si>
    <t>LEE MASON HYDRAULIC TESTING JARS, PER RUN</t>
  </si>
  <si>
    <t>MKN-0175</t>
  </si>
  <si>
    <t>REVERSE CIRCULATING EQUIPMENT, PER RUN</t>
  </si>
  <si>
    <t>MKN-0176</t>
  </si>
  <si>
    <t>CROSS OVER SUBS PER SUB, PER RUN</t>
  </si>
  <si>
    <t>MKN-0177</t>
  </si>
  <si>
    <t>ANCHOR IN EXCESS OF 30 FT.: PER FOOT</t>
  </si>
  <si>
    <t>MKN-0178</t>
  </si>
  <si>
    <t>BUBBLE HEAD PLUS GAUGES AND HOSES</t>
  </si>
  <si>
    <t>MKN-0179</t>
  </si>
  <si>
    <t>1 1/2" STEEL CHICKSAN JOINT, PER JOINT</t>
  </si>
  <si>
    <t>MKN-0180</t>
  </si>
  <si>
    <t>SURFACE SAMPLING EQUIPMENT, PER TEST</t>
  </si>
  <si>
    <t>MKN-0181</t>
  </si>
  <si>
    <t>FAIL SAFE, REMOTE CONTROL HEAD INCLUDES: LIFTING NIPPLE, MASTER VALVE, 
FLOW-TEE, DROP BAR ASSEMBLY, SWIVEL, AND ACCESS VALVE</t>
  </si>
  <si>
    <t>MKN-0182</t>
  </si>
  <si>
    <t>RESERVOIR FLUID SAMPLER, PER RUN</t>
  </si>
  <si>
    <t>PRESSURE AND TEMPERATURE RECORDERS</t>
  </si>
  <si>
    <t>MKN-0183</t>
  </si>
  <si>
    <t>MECHANICAL TEMPERATURE RECORDERS: PER RUN</t>
  </si>
  <si>
    <t>MKN-0184</t>
  </si>
  <si>
    <t>MECHANICAL PRESSURE RECORDERS: PER RUN</t>
  </si>
  <si>
    <t>MKN-0185</t>
  </si>
  <si>
    <t>ASE MEMORY GAUGE, PER RUN</t>
  </si>
  <si>
    <t>MKN-0186</t>
  </si>
  <si>
    <t>LITHIUM BATTERY, PER RUN</t>
  </si>
  <si>
    <t>MKN-0187</t>
  </si>
  <si>
    <t>FIELD READING OR MEMORY GAUGE USING ANALYTICAL PROGRAM, 
PER GAUGE, PER RUN</t>
  </si>
  <si>
    <t>MKN-0188</t>
  </si>
  <si>
    <t> LAP TOP COMPUTER AND PRINTER</t>
  </si>
  <si>
    <t>MKN-0189</t>
  </si>
  <si>
    <t>D.S.T. REPORT, FIRST THREE COPIES, FREE, EXTRA COPIES</t>
  </si>
  <si>
    <t>MKN-0190</t>
  </si>
  <si>
    <t>RE-ORDER TEST REPORT: EACH REPORT FOLDER</t>
  </si>
  <si>
    <t>MKN-0191</t>
  </si>
  <si>
    <t>TEST DATA ANALYSIS: COMPUTERIZED DATA ANALYSIS,
 FIRST THREE COPIES (IF ELECTRONIC PRESSURE &amp; TEMPERATURE NOT RUN)</t>
  </si>
  <si>
    <t>MKN-0192</t>
  </si>
  <si>
    <t>LOCAL READING, OTHER THAN BASIC</t>
  </si>
  <si>
    <t>MKN-0193</t>
  </si>
  <si>
    <t>READING, 
PER INSTRUMENT OF MAJOR PRESSURE POINT LOCATION WITH FIELD CHART READER, 
PER CHART</t>
  </si>
  <si>
    <t>SALE OF DAMAGED OPEN HOLE PACKER RUBBERS</t>
  </si>
  <si>
    <t>MKN-0194</t>
  </si>
  <si>
    <t>4 3/4" SLIM HOLE ...... ULTRA HI TEMP. (450º F.)</t>
  </si>
  <si>
    <t>MKN-0195</t>
  </si>
  <si>
    <t>5 1/2" SLIM HOLE ...... ULTRA HI TEMP. (450º F.)</t>
  </si>
  <si>
    <t>MKN-0196</t>
  </si>
  <si>
    <t>7 1/2" O.D.</t>
  </si>
  <si>
    <t>MKN-0197</t>
  </si>
  <si>
    <t>7 3/4" O.D.</t>
  </si>
  <si>
    <t>MKN-0198</t>
  </si>
  <si>
    <t>7 3/4" O.D. ...... ULTRA HI TEMP. (450º F.)</t>
  </si>
  <si>
    <t>MKN-0199</t>
  </si>
  <si>
    <t>8" O.D.</t>
  </si>
  <si>
    <t>MKN-0200</t>
  </si>
  <si>
    <t>8 1/2" O.D.</t>
  </si>
  <si>
    <t>MKN-0201</t>
  </si>
  <si>
    <t>9" O.D.</t>
  </si>
  <si>
    <t>MKN-0202</t>
  </si>
  <si>
    <t>10" O.D.</t>
  </si>
  <si>
    <t>MKN-0203</t>
  </si>
  <si>
    <t>11 1/4" O.D.</t>
  </si>
  <si>
    <t>SALE OF CASING PACKER REDRESS KITS</t>
  </si>
  <si>
    <t>MKN-0204</t>
  </si>
  <si>
    <t>MKN-0205</t>
  </si>
  <si>
    <t>5" SLIM HOLE ...... STANDARD TEMP.</t>
  </si>
  <si>
    <t>MKN-0206</t>
  </si>
  <si>
    <t>5" SLIM HOLE ...... ULTRA HI TEMP. (450º F.)</t>
  </si>
  <si>
    <t>MKN-0207</t>
  </si>
  <si>
    <t>MKN-0208</t>
  </si>
  <si>
    <t>7" ...... ULTRA HI TEMP. (450º F.)</t>
  </si>
  <si>
    <t>MKN-0209</t>
  </si>
  <si>
    <t>SALE OF DAMAGED PACKER RUBBER SUPPORTS (INSERTS)</t>
  </si>
  <si>
    <t>MKN-0210</t>
  </si>
  <si>
    <t>MKN-0211</t>
  </si>
  <si>
    <t>MKN-0212</t>
  </si>
  <si>
    <t>7 1/2"</t>
  </si>
  <si>
    <t>MKN-0213</t>
  </si>
  <si>
    <t>7 3/4" O.D</t>
  </si>
  <si>
    <t>MKN-0214</t>
  </si>
  <si>
    <t>7 3/4" O.D ...... ULTRA HI TEMP. (450º F.)</t>
  </si>
  <si>
    <t>MKN-0215</t>
  </si>
  <si>
    <t>8" O.D</t>
  </si>
  <si>
    <t>MKN-0216</t>
  </si>
  <si>
    <t>8 1/2" O.D</t>
  </si>
  <si>
    <t>MKN-0217</t>
  </si>
  <si>
    <t>9" O.D</t>
  </si>
  <si>
    <t>MKN-0218</t>
  </si>
  <si>
    <t>10" O.D</t>
  </si>
  <si>
    <t>MKN-0219</t>
  </si>
  <si>
    <t>11 1/4" O.D</t>
  </si>
  <si>
    <t>FISHING SERVICES</t>
  </si>
  <si>
    <t>MKN-0220</t>
  </si>
  <si>
    <t>Fishing Tool Supervisor</t>
  </si>
  <si>
    <t>MKN-0221</t>
  </si>
  <si>
    <t>Tools pick up</t>
  </si>
  <si>
    <t>MKN-0222</t>
  </si>
  <si>
    <t>Truck</t>
  </si>
  <si>
    <t>S/1 km</t>
  </si>
  <si>
    <t>BASKETS - JUNK</t>
  </si>
  <si>
    <t>Frist day</t>
  </si>
  <si>
    <t>Add day</t>
  </si>
  <si>
    <t>MKN-0223</t>
  </si>
  <si>
    <t>Thru 3-3/4"OD</t>
  </si>
  <si>
    <t>MKN-0224</t>
  </si>
  <si>
    <t>Thru 4-1/4"OD</t>
  </si>
  <si>
    <t>MKN-0225</t>
  </si>
  <si>
    <t>Thru 4-3/4" OD</t>
  </si>
  <si>
    <t>MKN-0226</t>
  </si>
  <si>
    <t>Thru 5-3/4" OD</t>
  </si>
  <si>
    <t>MKN-0227</t>
  </si>
  <si>
    <t>Thru 6-1/8"OD</t>
  </si>
  <si>
    <t>MKN-0228</t>
  </si>
  <si>
    <t>Thru 6-3/4"OD</t>
  </si>
  <si>
    <t>MKN-0229</t>
  </si>
  <si>
    <t>Thru 7-3/4"OD</t>
  </si>
  <si>
    <t>MKN-0230</t>
  </si>
  <si>
    <t>Thru 9-3/4"OD</t>
  </si>
  <si>
    <t>MKN-0231</t>
  </si>
  <si>
    <t>Thru 10-3/4"OD</t>
  </si>
  <si>
    <t>MKN-0232</t>
  </si>
  <si>
    <t>Thru 12-1/4"OD</t>
  </si>
  <si>
    <t>REVERSE CIRCULATING JET - WITH TUNGSTEN</t>
  </si>
  <si>
    <t>MKN-0233</t>
  </si>
  <si>
    <t>Thru 8-3/4"OD</t>
  </si>
  <si>
    <t>Price/Largest OD in/Run</t>
  </si>
  <si>
    <t>MKN-0234</t>
  </si>
  <si>
    <t>Thru 17-1/2"OD</t>
  </si>
  <si>
    <t>BASKETS - JUNK (POOR BAY, DRAG TOOTH, OR</t>
  </si>
  <si>
    <t>MKN-0235</t>
  </si>
  <si>
    <t>Thru 7" OD</t>
  </si>
  <si>
    <t>MKN-0236</t>
  </si>
  <si>
    <t>MKN-0237</t>
  </si>
  <si>
    <t>Thru 13-3/8"OD</t>
  </si>
  <si>
    <t>MKN-0238</t>
  </si>
  <si>
    <t>8" OD &amp; Smaller (minimum 10 hrs)</t>
  </si>
  <si>
    <t>per hour</t>
  </si>
  <si>
    <t>MKN-0239</t>
  </si>
  <si>
    <t>Over 8" (minimum 10 hrs)</t>
  </si>
  <si>
    <t>BOXES METAL</t>
  </si>
  <si>
    <t>MKN-0240</t>
  </si>
  <si>
    <t>ALL Sizes</t>
  </si>
  <si>
    <t>Triple Connection Or Canfield</t>
  </si>
  <si>
    <t>Frist Day</t>
  </si>
  <si>
    <t>Add Day</t>
  </si>
  <si>
    <t>MKN-0241</t>
  </si>
  <si>
    <t>Thru 4 1/2" Wasphole Pin</t>
  </si>
  <si>
    <t>MKN-0242</t>
  </si>
  <si>
    <t>Thru 5 3/4" Wasphole Pin</t>
  </si>
  <si>
    <t>MKN-0243</t>
  </si>
  <si>
    <t>Thru 8 3/8" Wasphole Pin</t>
  </si>
  <si>
    <t>MKN-0244</t>
  </si>
  <si>
    <t>Thru 10 3/4" Wasphole Pin</t>
  </si>
  <si>
    <t>MKN-0245</t>
  </si>
  <si>
    <t>Thru 13 3/8" Wasphole Pin</t>
  </si>
  <si>
    <t>MKN-0246</t>
  </si>
  <si>
    <t>Thru 16 1/2" Wasphole Pin</t>
  </si>
  <si>
    <t>MKN-0247</t>
  </si>
  <si>
    <t>Thru 20" Wasphole Pin</t>
  </si>
  <si>
    <t>SAFETY OR CONTROL BUSHING</t>
  </si>
  <si>
    <t>MKN-0248</t>
  </si>
  <si>
    <t>7 5/8" OD &amp; Smaller</t>
  </si>
  <si>
    <t>MKN-0249</t>
  </si>
  <si>
    <t>9 5/8" OD &amp; Smaller</t>
  </si>
  <si>
    <t>MKN-0250</t>
  </si>
  <si>
    <t>11 3/4" OD &amp; Smaller</t>
  </si>
  <si>
    <t>CLAMPS-SAFETY, DRILL COLLAR OR WIRELINE</t>
  </si>
  <si>
    <t>Price$</t>
  </si>
  <si>
    <t>MKN-0251</t>
  </si>
  <si>
    <t>Thru 10 segments</t>
  </si>
  <si>
    <t>MKN-0252</t>
  </si>
  <si>
    <t>Larger than 10 segments</t>
  </si>
  <si>
    <t>CUTTER-INSIDE CSG-MECHANICAL CUTTER</t>
  </si>
  <si>
    <t>MKN-0253</t>
  </si>
  <si>
    <t>Casing Thru 6-5/8" OD</t>
  </si>
  <si>
    <t>PER CUT</t>
  </si>
  <si>
    <t>MKN-0254</t>
  </si>
  <si>
    <t>Casing Thru 8-5/8" OD</t>
  </si>
  <si>
    <t>CUTTER-OUTSIDE-CASING DRILL OR TUBING</t>
  </si>
  <si>
    <t>MKN-0255</t>
  </si>
  <si>
    <t>Hydraulic or washover cutter (Any size)</t>
  </si>
  <si>
    <t>MKN-0256</t>
  </si>
  <si>
    <t>Mechanical cutter (Any size)</t>
  </si>
  <si>
    <t>CASING CUTTERS</t>
  </si>
  <si>
    <t>MKN-0257</t>
  </si>
  <si>
    <t>Butter-inside Casing-Hydraulic Pressure cutter</t>
  </si>
  <si>
    <t>MKN-0258</t>
  </si>
  <si>
    <t>Thru 9-5/8"OD OR Smaller</t>
  </si>
  <si>
    <t>MKN-0259</t>
  </si>
  <si>
    <t>MKN-0260</t>
  </si>
  <si>
    <t>MKN-0261</t>
  </si>
  <si>
    <t>Thru 18"OD</t>
  </si>
  <si>
    <t>MKN-0262</t>
  </si>
  <si>
    <t>Thru 26"OD</t>
  </si>
  <si>
    <t>MKN-0263</t>
  </si>
  <si>
    <t>Thru 30"OD</t>
  </si>
  <si>
    <t>MKN-0264</t>
  </si>
  <si>
    <t>Thru 42"OD</t>
  </si>
  <si>
    <t>DRILLING JARS</t>
  </si>
  <si>
    <t>FISHING, HYDAULIC OR MECHANICAL JAR</t>
  </si>
  <si>
    <t>First 8 HRS</t>
  </si>
  <si>
    <t>Add. 8 HR</t>
  </si>
  <si>
    <t>Stand By
 Rate</t>
  </si>
  <si>
    <t>Redress Kits Will be 50% on the first</t>
  </si>
  <si>
    <t>MKN-0265</t>
  </si>
  <si>
    <t>Thru 6-1/2" OD</t>
  </si>
  <si>
    <t>MKN-0266</t>
  </si>
  <si>
    <t>Thru 8" OD</t>
  </si>
  <si>
    <t>JARS - BUMPER SUB</t>
  </si>
  <si>
    <t>MKN-0267</t>
  </si>
  <si>
    <t>Thru 4-1/4"OD (Jars - Bumper sub)</t>
  </si>
  <si>
    <t>MKN-0268</t>
  </si>
  <si>
    <t>Thru 6-1/4"OD (Jars - Bumper sub)</t>
  </si>
  <si>
    <t>Rotary safety - Drill pipe and Tubing</t>
  </si>
  <si>
    <t>MKN-0269</t>
  </si>
  <si>
    <t>3-1/2" conn.</t>
  </si>
  <si>
    <t>MKN-0270</t>
  </si>
  <si>
    <t xml:space="preserve">6-5/8" conn. And smaller </t>
  </si>
  <si>
    <t>"J" Type safety, Shear pin type, or unlatching</t>
  </si>
  <si>
    <t>MKN-0271</t>
  </si>
  <si>
    <t>Magnets (Ditch)</t>
  </si>
  <si>
    <t>MFT 100-052</t>
  </si>
  <si>
    <t>All sizes</t>
  </si>
  <si>
    <t>Fishing</t>
  </si>
  <si>
    <t>MKN-0272</t>
  </si>
  <si>
    <t xml:space="preserve"> Thru 2-1/2" OD</t>
  </si>
  <si>
    <t>MKN-0273</t>
  </si>
  <si>
    <t xml:space="preserve"> Thru 4-1/2" OD</t>
  </si>
  <si>
    <t>MKN-0274</t>
  </si>
  <si>
    <t xml:space="preserve"> Thru 6-1/2" OD</t>
  </si>
  <si>
    <t>MKN-0275</t>
  </si>
  <si>
    <t xml:space="preserve"> Thru 8-1/2" OD</t>
  </si>
  <si>
    <t>MKN-0276</t>
  </si>
  <si>
    <t>Thru 11-1/2" OD</t>
  </si>
  <si>
    <t>(Mills-Dressed W/Tungsten Carbide Inserts)</t>
  </si>
  <si>
    <t>MKN-0277</t>
  </si>
  <si>
    <t>Thru 4 1/4"OD</t>
  </si>
  <si>
    <t>Per Tool</t>
  </si>
  <si>
    <t>MKN-0278</t>
  </si>
  <si>
    <t>Thru 6 1/8"OD</t>
  </si>
  <si>
    <t>MKN-0279</t>
  </si>
  <si>
    <t>Thru 7 3/8"OD</t>
  </si>
  <si>
    <t>MKN-0280</t>
  </si>
  <si>
    <t>Thru 8 3/8"OD</t>
  </si>
  <si>
    <t>MKN-0281</t>
  </si>
  <si>
    <t>Thru 10 5/8"OD</t>
  </si>
  <si>
    <t>MKN-0282</t>
  </si>
  <si>
    <t>Thru 17 1/2"OD</t>
  </si>
  <si>
    <t>CEMENT, JUNK OR BLADED TYPE</t>
  </si>
  <si>
    <t>MKN-0283</t>
  </si>
  <si>
    <t>PER RUN</t>
  </si>
  <si>
    <t>MILLS-DRESSED W/CRUSHED TUNGSTEN</t>
  </si>
  <si>
    <t>CEMENT, CONCAVE, FLAT BOTTOM, HOLLOW, ROUND NOSE, DIAMOND POINT OR FISH TAIL</t>
  </si>
  <si>
    <t>MKN-0284</t>
  </si>
  <si>
    <t>Thru 12"OD</t>
  </si>
  <si>
    <t>MKN-0285</t>
  </si>
  <si>
    <t>Thru 15"OD</t>
  </si>
  <si>
    <t>MKN-0286</t>
  </si>
  <si>
    <t>Thru 20"OD</t>
  </si>
  <si>
    <t>MKN-0287</t>
  </si>
  <si>
    <t>Thru 24"OD</t>
  </si>
  <si>
    <t>MKN-0288</t>
  </si>
  <si>
    <t>PACKER, PILOT, TAPERED, OR WATERMELON</t>
  </si>
  <si>
    <t>MKN-0289</t>
  </si>
  <si>
    <t>MKN-0290</t>
  </si>
  <si>
    <t>MKN-0291</t>
  </si>
  <si>
    <t>MKN-0292</t>
  </si>
  <si>
    <t>MKN-0293</t>
  </si>
  <si>
    <t>OVERSHOTS</t>
  </si>
  <si>
    <t>SERIES 150 - ROTARY RELEASING AND PACKOFF</t>
  </si>
  <si>
    <t>Stand By Rate</t>
  </si>
  <si>
    <t>MKN-0294</t>
  </si>
  <si>
    <t>Thru 4-1/8"OD</t>
  </si>
  <si>
    <t>MKN-0295</t>
  </si>
  <si>
    <t>Thru 5-3/8"OD</t>
  </si>
  <si>
    <t>MKN-0296</t>
  </si>
  <si>
    <t>Thru 8-7/8"OD</t>
  </si>
  <si>
    <t>MKN-0297</t>
  </si>
  <si>
    <t>Thru 11-3/4"OD</t>
  </si>
  <si>
    <t>MKN-0298</t>
  </si>
  <si>
    <t>All size for Overshot Grapple 80% of First Day</t>
  </si>
  <si>
    <t>MKN-0299</t>
  </si>
  <si>
    <t>Thru 4 3/4"OD</t>
  </si>
  <si>
    <t>MKN-0300</t>
  </si>
  <si>
    <t>Thru 6 1/4"OD</t>
  </si>
  <si>
    <t>MKN-0301</t>
  </si>
  <si>
    <t>Thru 9 5/8"OD</t>
  </si>
  <si>
    <t>MKN-0302</t>
  </si>
  <si>
    <t>Thru 12 3/4"OD</t>
  </si>
  <si>
    <t>MKN-0303</t>
  </si>
  <si>
    <t>OVERSHOTS GUIDES</t>
  </si>
  <si>
    <t>MILL TYPE (TUNGSTEN CARBIDE DRESSED)</t>
  </si>
  <si>
    <t>MKN-0304</t>
  </si>
  <si>
    <t>Thru 4-3/8"OD</t>
  </si>
  <si>
    <t>MKN-0305</t>
  </si>
  <si>
    <t>Thru 5-3/4"OD</t>
  </si>
  <si>
    <t>MKN-0306</t>
  </si>
  <si>
    <t>Thru 8"OD</t>
  </si>
  <si>
    <t>MKN-0307</t>
  </si>
  <si>
    <t>MKN-0308</t>
  </si>
  <si>
    <t>MKN-0309</t>
  </si>
  <si>
    <t>MKN-0310</t>
  </si>
  <si>
    <t>MKN-0311</t>
  </si>
  <si>
    <t>OVERSHOT EXTENSIONS</t>
  </si>
  <si>
    <t>MKN-0312</t>
  </si>
  <si>
    <t>MKN-0313</t>
  </si>
  <si>
    <t>MKN-0314</t>
  </si>
  <si>
    <t>MKN-0315</t>
  </si>
  <si>
    <t>MKN-0316</t>
  </si>
  <si>
    <t>Thru 13 3/4"OD</t>
  </si>
  <si>
    <t>GUIDES - OVERSIZE, DONUT OR EXTRA</t>
  </si>
  <si>
    <t>MKN-0317</t>
  </si>
  <si>
    <t>Thru 7"OD</t>
  </si>
  <si>
    <t>MKN-0318</t>
  </si>
  <si>
    <t>Thru 11"OD</t>
  </si>
  <si>
    <t>MKN-0319</t>
  </si>
  <si>
    <t>Thru 16-18"OD</t>
  </si>
  <si>
    <t>MKN-0320</t>
  </si>
  <si>
    <t>MKN-0321</t>
  </si>
  <si>
    <t>GUIDES - WALL HOOK</t>
  </si>
  <si>
    <t>MKN-0322</t>
  </si>
  <si>
    <t>Thru 7-7/8"OD</t>
  </si>
  <si>
    <t>MKN-0323</t>
  </si>
  <si>
    <t>Thru 20-3/4"OD</t>
  </si>
  <si>
    <t>PIPE - WASHOVER</t>
  </si>
  <si>
    <t>MKN-0324</t>
  </si>
  <si>
    <t>4-1/2"OD</t>
  </si>
  <si>
    <t>S/FT</t>
  </si>
  <si>
    <t>MKN-0325</t>
  </si>
  <si>
    <t>4-3/4"OD</t>
  </si>
  <si>
    <t>MKN-0326</t>
  </si>
  <si>
    <t>5"OD</t>
  </si>
  <si>
    <t>MKN-0327</t>
  </si>
  <si>
    <t>5-3/8"OD</t>
  </si>
  <si>
    <t>MKN-0328</t>
  </si>
  <si>
    <t>5-3/4"OD</t>
  </si>
  <si>
    <t>MKN-0329</t>
  </si>
  <si>
    <t>7-5/8"OD</t>
  </si>
  <si>
    <t>WASHOVER PIPE &amp; EXTENSIONS</t>
  </si>
  <si>
    <t>MKN-0330</t>
  </si>
  <si>
    <t>Pipe - Washover - Extension</t>
  </si>
  <si>
    <t>MKN-0331</t>
  </si>
  <si>
    <t>MKN-0332</t>
  </si>
  <si>
    <t>Thru 10 3/4"OD</t>
  </si>
  <si>
    <t>MKN-0333</t>
  </si>
  <si>
    <t>Thru 13 3/8"OD</t>
  </si>
  <si>
    <t>MKN-0334</t>
  </si>
  <si>
    <t>Thru 16"OD</t>
  </si>
  <si>
    <t>MKN-0335</t>
  </si>
  <si>
    <t>MKN-0336</t>
  </si>
  <si>
    <t>Bull, Bull Nose</t>
  </si>
  <si>
    <t>MKN-0337</t>
  </si>
  <si>
    <t>Thru 3-1/2"joint size</t>
  </si>
  <si>
    <t>MKN-0338</t>
  </si>
  <si>
    <t>Thru 4-1/2" joint size</t>
  </si>
  <si>
    <t>MKN-0339</t>
  </si>
  <si>
    <t>Thru 5 1/2" joint size</t>
  </si>
  <si>
    <t>LIFT (USED WITH WASHIPPE)</t>
  </si>
  <si>
    <t>MKN-0340</t>
  </si>
  <si>
    <t>Thru 5-3/4" OD pipe</t>
  </si>
  <si>
    <t>MKN-0341</t>
  </si>
  <si>
    <t>Thru 10-3/4"OD pipe</t>
  </si>
  <si>
    <t>MKN-0342</t>
  </si>
  <si>
    <t>Thru 20"OD pipe</t>
  </si>
  <si>
    <t>REAMERS - 3 &amp; 4 BLADE</t>
  </si>
  <si>
    <t>CONVENTIONAL - FISHING - DRESSED WITH HARD</t>
  </si>
  <si>
    <t>MKN-0343</t>
  </si>
  <si>
    <t>MKN-0344</t>
  </si>
  <si>
    <t>MKN-0345</t>
  </si>
  <si>
    <t>SAW</t>
  </si>
  <si>
    <t>MKN-0346</t>
  </si>
  <si>
    <t>Pneumatic Casing Saw - 4" to 12" OD</t>
  </si>
  <si>
    <t>Per CUT</t>
  </si>
  <si>
    <t>CSG. SCR.</t>
  </si>
  <si>
    <t>MKN-0347</t>
  </si>
  <si>
    <t>Thru 5"OD</t>
  </si>
  <si>
    <t>MKN-0348</t>
  </si>
  <si>
    <t>MKN-0349</t>
  </si>
  <si>
    <t>MKN-0350</t>
  </si>
  <si>
    <t>MKN-0351</t>
  </si>
  <si>
    <t>MKN-0352</t>
  </si>
  <si>
    <t>MKN-0353</t>
  </si>
  <si>
    <t>SHOES-ROTARY OR WASHPIPE</t>
  </si>
  <si>
    <t>CRUSHED TUNGSTEN CARBIDE</t>
  </si>
  <si>
    <t>MKN-0354</t>
  </si>
  <si>
    <t>Thru 7 1/2"OD</t>
  </si>
  <si>
    <t>MKN-0355</t>
  </si>
  <si>
    <t>ROLLERS - CASING</t>
  </si>
  <si>
    <t>MKN-0356</t>
  </si>
  <si>
    <t>Thru 4-1/2"OD Casing</t>
  </si>
  <si>
    <t>MKN-0357</t>
  </si>
  <si>
    <t>Thru 5-1/2"OD Casing</t>
  </si>
  <si>
    <t>MKN-0358</t>
  </si>
  <si>
    <t>Thru 7-5/8"OD Casing</t>
  </si>
  <si>
    <t>MKN-0359</t>
  </si>
  <si>
    <t>Thru 9-5/8"OD Casing</t>
  </si>
  <si>
    <t>MKN-0360</t>
  </si>
  <si>
    <t>Thru 10 3/4"OD Casing</t>
  </si>
  <si>
    <t>MKN-0361</t>
  </si>
  <si>
    <t>Thru 11 3/4"OD Casing</t>
  </si>
  <si>
    <t>MKN-0362</t>
  </si>
  <si>
    <t>Thru 13-3/8"OD Casing</t>
  </si>
  <si>
    <t>CABLE SPEAR</t>
  </si>
  <si>
    <t>MKN-0363</t>
  </si>
  <si>
    <t>41/2" - 5" Casing</t>
  </si>
  <si>
    <t>MKN-0364</t>
  </si>
  <si>
    <t>7" Casing</t>
  </si>
  <si>
    <t>MKN-0365</t>
  </si>
  <si>
    <t>9 5/8" Casing</t>
  </si>
  <si>
    <t>MKN-0366</t>
  </si>
  <si>
    <t>13 3/8" Casing</t>
  </si>
  <si>
    <t xml:space="preserve">ROPE CENTER, MULTI-PRONG </t>
  </si>
  <si>
    <t>MKN-0367</t>
  </si>
  <si>
    <t>OR SUCKER ROD CONN.</t>
  </si>
  <si>
    <t>MKN-0368</t>
  </si>
  <si>
    <t>2 7/8" CONN.</t>
  </si>
  <si>
    <t>MKN-0369</t>
  </si>
  <si>
    <t>3 1/2" CONN.</t>
  </si>
  <si>
    <t>MKN-0370</t>
  </si>
  <si>
    <t>4 1/2" CONN.</t>
  </si>
  <si>
    <t>MKN-0371</t>
  </si>
  <si>
    <t>5 1/2" CONN.</t>
  </si>
  <si>
    <t>MKN-0372</t>
  </si>
  <si>
    <t>6 5/8" CONN.</t>
  </si>
  <si>
    <t>MKN-0373</t>
  </si>
  <si>
    <t>7 5/8" CONN.</t>
  </si>
  <si>
    <t>ROTARY RELEASING AND "J"-TYPE-FULL CIRCLE</t>
  </si>
  <si>
    <t>MKN-0374</t>
  </si>
  <si>
    <t>2 7/8" O.D</t>
  </si>
  <si>
    <t>MKN-0375</t>
  </si>
  <si>
    <t>5" O.D</t>
  </si>
  <si>
    <t>MKN-0376</t>
  </si>
  <si>
    <t>6 5/8" O.D</t>
  </si>
  <si>
    <t>MKN-0377</t>
  </si>
  <si>
    <t>8 5/8" O.D</t>
  </si>
  <si>
    <t>MKN-0378</t>
  </si>
  <si>
    <t>13 3/8" O.D</t>
  </si>
  <si>
    <t>MKN-0379</t>
  </si>
  <si>
    <t>16" O.D</t>
  </si>
  <si>
    <t>MKN-0380</t>
  </si>
  <si>
    <t>20" O.D</t>
  </si>
  <si>
    <t>MKN-0381</t>
  </si>
  <si>
    <t>36" O.D</t>
  </si>
  <si>
    <t>SPEAR EXTENSIONS</t>
  </si>
  <si>
    <t>MKN-0382</t>
  </si>
  <si>
    <t>MKN-0383</t>
  </si>
  <si>
    <t>MKN-0384</t>
  </si>
  <si>
    <t>MKN-0385</t>
  </si>
  <si>
    <t>SPEAR PACK-OFF ASSEMBLY</t>
  </si>
  <si>
    <t>MKN-0386</t>
  </si>
  <si>
    <t>2 7/8" OD</t>
  </si>
  <si>
    <t>MKN-0387</t>
  </si>
  <si>
    <t>4 " OD</t>
  </si>
  <si>
    <t>MKN-0388</t>
  </si>
  <si>
    <t>5" OD</t>
  </si>
  <si>
    <t>MKN-0389</t>
  </si>
  <si>
    <t>7" OD</t>
  </si>
  <si>
    <t>MKN-0390</t>
  </si>
  <si>
    <t>9 5/8" OD</t>
  </si>
  <si>
    <t>MKN-0391</t>
  </si>
  <si>
    <t>13 3/8" OD</t>
  </si>
  <si>
    <t>MKN-0392</t>
  </si>
  <si>
    <t>16" OD</t>
  </si>
  <si>
    <t>LIFT-DRILL COLLAR</t>
  </si>
  <si>
    <t>MKN-0393</t>
  </si>
  <si>
    <t>MKN-0394</t>
  </si>
  <si>
    <t>MKN-0395</t>
  </si>
  <si>
    <t>MKN-0396</t>
  </si>
  <si>
    <t>2-7/8" Connection size</t>
  </si>
  <si>
    <t>MKN-0397</t>
  </si>
  <si>
    <t>4-1/2" Connection size</t>
  </si>
  <si>
    <t>MKN-0398</t>
  </si>
  <si>
    <t>6 5/8" Connection size</t>
  </si>
  <si>
    <t>MKN-0399</t>
  </si>
  <si>
    <t>7 5/8" Connection size</t>
  </si>
  <si>
    <t>WELDED BLADE, FIXED BLADE</t>
  </si>
  <si>
    <t>MKN-0400</t>
  </si>
  <si>
    <t>Thru 7-3/8"OD</t>
  </si>
  <si>
    <t>MKN-0401</t>
  </si>
  <si>
    <t>MKN-0402</t>
  </si>
  <si>
    <t>SUBS (RORARY AND BIT)</t>
  </si>
  <si>
    <t>MKN-0403</t>
  </si>
  <si>
    <t>Sucker Rod CONN.</t>
  </si>
  <si>
    <t>MKN-0404</t>
  </si>
  <si>
    <t>MKN-0405</t>
  </si>
  <si>
    <t>MKN-0406</t>
  </si>
  <si>
    <t>MKN-0407</t>
  </si>
  <si>
    <t>MKN-0408</t>
  </si>
  <si>
    <t>SUBS (ROTARY &amp; BIT)</t>
  </si>
  <si>
    <t>MKN-0409</t>
  </si>
  <si>
    <t>SUBS(RORARY AND BIT Sucker Rod CONN.</t>
  </si>
  <si>
    <t>MKN-0410</t>
  </si>
  <si>
    <t>MKN-0411</t>
  </si>
  <si>
    <t>MKN-0412</t>
  </si>
  <si>
    <t>MKN-0413</t>
  </si>
  <si>
    <t>MKN-0414</t>
  </si>
  <si>
    <t>SWAGES-CASING (SWAGING TOOL)</t>
  </si>
  <si>
    <t>MKN-0415</t>
  </si>
  <si>
    <t>All Sizes</t>
  </si>
  <si>
    <t>DIE COLLARS &amp; TAPERED UP TO 30" LONG</t>
  </si>
  <si>
    <t>MKN-0416</t>
  </si>
  <si>
    <t>Thru 2 1/2" OD</t>
  </si>
  <si>
    <t>MKN-0417</t>
  </si>
  <si>
    <t>Thru 3 3/4" OD</t>
  </si>
  <si>
    <t>MKN-0418</t>
  </si>
  <si>
    <t>Thru 4 3/4" OD</t>
  </si>
  <si>
    <t>MKN-0419</t>
  </si>
  <si>
    <t>Thru 5 3/4" OD</t>
  </si>
  <si>
    <t>MKN-0420</t>
  </si>
  <si>
    <t>Thru 6 3/4" OD</t>
  </si>
  <si>
    <t>MKN-0421</t>
  </si>
  <si>
    <t>Thru 7 5/8" OD</t>
  </si>
  <si>
    <t>MKN-0422</t>
  </si>
  <si>
    <t>Thru 9 5/8" OD</t>
  </si>
  <si>
    <t>MKN-0423</t>
  </si>
  <si>
    <t>Thru 10 3/4" OD</t>
  </si>
  <si>
    <t>REDRESS CHARGES – FISHING TOOLS</t>
  </si>
  <si>
    <t>MKN-0424</t>
  </si>
  <si>
    <t>Redress charge for fishing jar thru 6 ½” OD</t>
  </si>
  <si>
    <t>Per run</t>
  </si>
  <si>
    <t>MKN-0425</t>
  </si>
  <si>
    <t>Redress charge for fishing jar thru 8 ¾” OD</t>
  </si>
  <si>
    <t>MKN-0426</t>
  </si>
  <si>
    <t>Redress charge for bumper sub thru 6 ¼” OD</t>
  </si>
  <si>
    <t>MKN-0427</t>
  </si>
  <si>
    <t>Redress charge for bumper sub thru 8 ¾” OD</t>
  </si>
  <si>
    <t>REDRESS &amp; REFILL CHARGES</t>
  </si>
  <si>
    <t>MKN-0428</t>
  </si>
  <si>
    <t>Refill impression block thru 8” OD</t>
  </si>
  <si>
    <t>MKN-0429</t>
  </si>
  <si>
    <t>Refill impression block thru 13 3/8” OD</t>
  </si>
  <si>
    <t>MKN-0430</t>
  </si>
  <si>
    <t>Redress junk basket with tungsten carbide thru 8 ¾” OD</t>
  </si>
  <si>
    <t>MKN-0431</t>
  </si>
  <si>
    <t>Redress junk basket with tungsten carbide thru 13 3/8” OD</t>
  </si>
  <si>
    <t>MKN-0432</t>
  </si>
  <si>
    <t>Redress charge for washover pipe all sizes</t>
  </si>
  <si>
    <t>…..</t>
  </si>
  <si>
    <t>MILLS &amp; REFILLS</t>
  </si>
  <si>
    <t>MKN-0433</t>
  </si>
  <si>
    <t>Skirted mill thru 8 ¾” OD</t>
  </si>
  <si>
    <t>MKN-0434</t>
  </si>
  <si>
    <t>Skirted mill thru 13 3/8” OD</t>
  </si>
  <si>
    <t>MKN-0435</t>
  </si>
  <si>
    <t>Refill washover pipe dressed with crushed carbide for skirted mill all</t>
  </si>
  <si>
    <t>MKN-0436</t>
  </si>
  <si>
    <t>Refill junk mill with crushed carbide for skirted mill all sizes</t>
  </si>
  <si>
    <t>MKN-0437</t>
  </si>
  <si>
    <t>Flat bottom Mill all size</t>
  </si>
  <si>
    <t>MKN-0438</t>
  </si>
  <si>
    <t>Refill flat bottom mill all size</t>
  </si>
  <si>
    <t>CABLE SPEARS &amp; OVERSHOT REDRESS</t>
  </si>
  <si>
    <t>MKN-0439</t>
  </si>
  <si>
    <t>Cable spear thru 8 ¾” OD</t>
  </si>
  <si>
    <t>MKN-0440</t>
  </si>
  <si>
    <t>Cable spear thru 13 3/8” OD</t>
  </si>
  <si>
    <t>MKN-0441</t>
  </si>
  <si>
    <t>Redress kit overshot wide range for all sizes</t>
  </si>
  <si>
    <t>MKN-0442</t>
  </si>
  <si>
    <t>Inspection charge for all tools as per third party company invoice</t>
  </si>
  <si>
    <t>Per tool</t>
  </si>
  <si>
    <t>BAILERS &amp; HANDLING EQUIPMENT</t>
  </si>
  <si>
    <t>MKN-0443</t>
  </si>
  <si>
    <t>Bailer or sand pump all sizes</t>
  </si>
  <si>
    <t>Per day</t>
  </si>
  <si>
    <t>MKN-0444</t>
  </si>
  <si>
    <t>Bailer or sand pump redress charge will be 50% from</t>
  </si>
  <si>
    <t>50% F.Day</t>
  </si>
  <si>
    <t>MKN-0445</t>
  </si>
  <si>
    <t>Safety clamps all sizes</t>
  </si>
  <si>
    <t>MKN-0446</t>
  </si>
  <si>
    <t>Elevators charge all sizes</t>
  </si>
  <si>
    <t>MKN-0447</t>
  </si>
  <si>
    <t>Safety joint charge all sizes</t>
  </si>
  <si>
    <t>MKN-0448</t>
  </si>
  <si>
    <t>Workshop redressing technician rate</t>
  </si>
  <si>
    <t>(minimum 2days)</t>
  </si>
  <si>
    <t>MAGNETS &amp; GRAPPLES</t>
  </si>
  <si>
    <t>MKN-0449</t>
  </si>
  <si>
    <t>Magnet Thru 4 ½” OD</t>
  </si>
  <si>
    <t>MKN-0450</t>
  </si>
  <si>
    <t>Magnet Thru 9 ½” OD</t>
  </si>
  <si>
    <t>MKN-0451</t>
  </si>
  <si>
    <t>Magnet Type Ditch</t>
  </si>
  <si>
    <t>MKN-0452</t>
  </si>
  <si>
    <t>All grapples and controls for all sizes will be charged 50% from</t>
  </si>
  <si>
    <t>MKN-0453</t>
  </si>
  <si>
    <t>Near bit stabilizer thru 7”</t>
  </si>
  <si>
    <t>MKN-0454</t>
  </si>
  <si>
    <t>Near bit stabilizer thru 9 5/8”</t>
  </si>
  <si>
    <t>JAR INTENSIFIERS &amp; RELEASING SPEARS</t>
  </si>
  <si>
    <t>MKN-0455</t>
  </si>
  <si>
    <t>Jar intensifier all size per day</t>
  </si>
  <si>
    <t>MKN-0456</t>
  </si>
  <si>
    <t>Releasing spear thru 7”</t>
  </si>
  <si>
    <t>MKN-0457</t>
  </si>
  <si>
    <t>Releasing Spear thru 9 5/8”</t>
  </si>
  <si>
    <t>MKN-0458</t>
  </si>
  <si>
    <t>Taper mill for thru 7”</t>
  </si>
  <si>
    <t>MKN-0459</t>
  </si>
  <si>
    <t>Taper mill thru 9 5/8”</t>
  </si>
  <si>
    <t>MKN-0460</t>
  </si>
  <si>
    <t>Refill taper mill for all size</t>
  </si>
  <si>
    <t>Per job</t>
  </si>
  <si>
    <t>PERSONNEL – ENGINEERS</t>
  </si>
  <si>
    <t>MKN-0461</t>
  </si>
  <si>
    <t>Completion Engineer</t>
  </si>
  <si>
    <t>MKN-0462</t>
  </si>
  <si>
    <t>Drilling Engineer</t>
  </si>
  <si>
    <t>MKN-0463</t>
  </si>
  <si>
    <t>Work over Engineers</t>
  </si>
  <si>
    <t>MKN-0464</t>
  </si>
  <si>
    <t>ESP completion Engineers</t>
  </si>
  <si>
    <t>MKN-0465</t>
  </si>
  <si>
    <t>Well site Geologist</t>
  </si>
  <si>
    <t>MKN-0466</t>
  </si>
  <si>
    <t>Open hole &amp; cased hole DST Engineers</t>
  </si>
  <si>
    <t>MKN-0467</t>
  </si>
  <si>
    <t>Petroleum Engineers</t>
  </si>
  <si>
    <t>MKN-0468</t>
  </si>
  <si>
    <t>Reservoir Engineers</t>
  </si>
  <si>
    <t>MKN-0469</t>
  </si>
  <si>
    <t>Petro physicists</t>
  </si>
  <si>
    <t>MKN-0470</t>
  </si>
  <si>
    <t>Coring engineer</t>
  </si>
  <si>
    <t>MKN-0471</t>
  </si>
  <si>
    <t>Logging Engineers</t>
  </si>
  <si>
    <t>MKN-0472</t>
  </si>
  <si>
    <t>MWD Engineers</t>
  </si>
  <si>
    <t>MKN-0473</t>
  </si>
  <si>
    <t>Company Man</t>
  </si>
  <si>
    <t>SWAB CUPS</t>
  </si>
  <si>
    <t>MKN-0474</t>
  </si>
  <si>
    <t>Size 3 ½” Swab cup each</t>
  </si>
  <si>
    <t>Each</t>
  </si>
  <si>
    <t>MKN-0475</t>
  </si>
  <si>
    <t>Size 2 3/8” -2 7/8” swab cup each</t>
  </si>
  <si>
    <t>EACH</t>
  </si>
  <si>
    <t>MKN-0476</t>
  </si>
  <si>
    <t>Down hole redress charge for all size</t>
  </si>
  <si>
    <t>Per Hour</t>
  </si>
  <si>
    <t>MKN-0477</t>
  </si>
  <si>
    <t>Breakout Machine Rental</t>
  </si>
  <si>
    <t>Per Connection</t>
  </si>
  <si>
    <t>MKN-0478</t>
  </si>
  <si>
    <t>Grinding Machine</t>
  </si>
  <si>
    <t>MKN-0479</t>
  </si>
  <si>
    <t>Pipe dope CMPD</t>
  </si>
  <si>
    <t>Per Rail</t>
  </si>
  <si>
    <t>MKN-0480</t>
  </si>
  <si>
    <t>Welding Machine</t>
  </si>
  <si>
    <t>MKN-0481</t>
  </si>
  <si>
    <t>Hydraulic jar test all size</t>
  </si>
  <si>
    <t>Per Test</t>
  </si>
  <si>
    <t>DRILLING JAR</t>
  </si>
  <si>
    <t>Redress charge</t>
  </si>
  <si>
    <t>MKN-0482</t>
  </si>
  <si>
    <t>MKN-0483</t>
  </si>
  <si>
    <t>Thru 6 1/2" OD</t>
  </si>
  <si>
    <t>MKN-0484</t>
  </si>
  <si>
    <t>MKN-0485</t>
  </si>
  <si>
    <t>Thru 9 1/2" OD</t>
  </si>
  <si>
    <t>NON MAGNETIC DRILL COLLARS</t>
  </si>
  <si>
    <t>3 Day Min</t>
  </si>
  <si>
    <t>Each Additional Day</t>
  </si>
  <si>
    <t>MKN-0486</t>
  </si>
  <si>
    <t>MKN-0487</t>
  </si>
  <si>
    <t>MKN-0488</t>
  </si>
  <si>
    <t>HOLE OPENERS</t>
  </si>
  <si>
    <t>5 Day Min</t>
  </si>
  <si>
    <t>MKN-0489</t>
  </si>
  <si>
    <t>12 1/4" OD</t>
  </si>
  <si>
    <t>MKN-0490</t>
  </si>
  <si>
    <t>17 1/2" OD</t>
  </si>
  <si>
    <t>MKN-0491</t>
  </si>
  <si>
    <t>26" OD</t>
  </si>
  <si>
    <t>MKN-0492</t>
  </si>
  <si>
    <t>36" OD</t>
  </si>
  <si>
    <t>STABILIZERS (CONVENTIONAL)</t>
  </si>
  <si>
    <t>1st Day</t>
  </si>
  <si>
    <t>MKN-0493</t>
  </si>
  <si>
    <t>Through 6" OD</t>
  </si>
  <si>
    <t>MKN-0494</t>
  </si>
  <si>
    <t>Through 8 1/2" OD</t>
  </si>
  <si>
    <t>MKN-0495</t>
  </si>
  <si>
    <t>Through 12 1/4" OD</t>
  </si>
  <si>
    <t>MKN-0496</t>
  </si>
  <si>
    <t>Through 17 1/2" OD</t>
  </si>
  <si>
    <t>MKN-0497</t>
  </si>
  <si>
    <t>Through 26" OD</t>
  </si>
  <si>
    <t>MKN-0498</t>
  </si>
  <si>
    <t>For stabilizers redress charge, as per machine shop + 20%</t>
  </si>
  <si>
    <t>NON-MAGNETIC STABILIZERS</t>
  </si>
  <si>
    <t>MKN-0499</t>
  </si>
  <si>
    <t>Through 6” OD</t>
  </si>
  <si>
    <t>MKN-0500</t>
  </si>
  <si>
    <t>Through 8 1/2” OD</t>
  </si>
  <si>
    <t>MKN-0501</t>
  </si>
  <si>
    <t>Through 12 1/4” OD</t>
  </si>
  <si>
    <t>MKN-0502</t>
  </si>
  <si>
    <t>Through 17 1/2” OD</t>
  </si>
  <si>
    <t>MKN-0503</t>
  </si>
  <si>
    <t>SUBS-ROTARY (Substitutes)</t>
  </si>
  <si>
    <t>MKN-0504</t>
  </si>
  <si>
    <t>2 3/8" Connection</t>
  </si>
  <si>
    <t>MKN-0505</t>
  </si>
  <si>
    <t>2 7/8" Connection</t>
  </si>
  <si>
    <t>MKN-0506</t>
  </si>
  <si>
    <t>3 1/2" Connection</t>
  </si>
  <si>
    <t>MKN-0507</t>
  </si>
  <si>
    <t>4 1/2" Connection</t>
  </si>
  <si>
    <t>MKN-0508</t>
  </si>
  <si>
    <t>5 1/2" Connection</t>
  </si>
  <si>
    <t>MKN-0509</t>
  </si>
  <si>
    <t>6 5/8" Connection</t>
  </si>
  <si>
    <t>MKN-0510</t>
  </si>
  <si>
    <t>7 5/8" Connection</t>
  </si>
  <si>
    <t>MKN-0511</t>
  </si>
  <si>
    <t>8 5/8" Connection</t>
  </si>
  <si>
    <t>MKN-0512</t>
  </si>
  <si>
    <t>All Drain Subs (Ported Nipples)</t>
  </si>
  <si>
    <t>Add 25% to above prices</t>
  </si>
  <si>
    <t>Redress Charge</t>
  </si>
  <si>
    <t>MKN-0513</t>
  </si>
  <si>
    <t>4 3/4" OD</t>
  </si>
  <si>
    <t>MKN-0514</t>
  </si>
  <si>
    <t>6 1/2" OD</t>
  </si>
  <si>
    <t>MKN-0515</t>
  </si>
  <si>
    <t>8" OD</t>
  </si>
  <si>
    <t>MKN-0516</t>
  </si>
  <si>
    <t>9 1/2" OD</t>
  </si>
  <si>
    <t xml:space="preserve"> ENGINEER</t>
  </si>
  <si>
    <t>Item</t>
  </si>
  <si>
    <t>UNIT</t>
  </si>
  <si>
    <t>Charge per day (USD)</t>
  </si>
  <si>
    <t>MKN-0517</t>
  </si>
  <si>
    <t>Directional Driller</t>
  </si>
  <si>
    <t>PERFORMANCE MOTORS</t>
  </si>
  <si>
    <t>Daily Rental /day/Motor (USD)</t>
  </si>
  <si>
    <t>Operating per foot (USD)</t>
  </si>
  <si>
    <t>Daily Rental /day/Motor Sleeve (USD)</t>
  </si>
  <si>
    <t>Redress charge per used Motor (USD)</t>
  </si>
  <si>
    <t>MKN-0518</t>
  </si>
  <si>
    <t>4-3/4 inch</t>
  </si>
  <si>
    <t>MKN-0519</t>
  </si>
  <si>
    <t>6-3/4 inch</t>
  </si>
  <si>
    <t>MKN-0520</t>
  </si>
  <si>
    <t>thru 6 3/4" inch</t>
  </si>
  <si>
    <t>MKN-0521</t>
  </si>
  <si>
    <t>thru 9 5/8 inch</t>
  </si>
  <si>
    <t>MKN-0522</t>
  </si>
  <si>
    <t>thru 17-1/2 inch</t>
  </si>
  <si>
    <t>CROSS OVER SUBS</t>
  </si>
  <si>
    <t>Size connection</t>
  </si>
  <si>
    <t xml:space="preserve">Operating Price </t>
  </si>
  <si>
    <t xml:space="preserve">Rental Price </t>
  </si>
  <si>
    <t>MKN-0523</t>
  </si>
  <si>
    <t>Up to 2-3/8 inch</t>
  </si>
  <si>
    <t>MKN-0524</t>
  </si>
  <si>
    <t>Up to 2-7/8 inch</t>
  </si>
  <si>
    <t>MKN-0525</t>
  </si>
  <si>
    <t>Up to 3-1/2 inch</t>
  </si>
  <si>
    <t>MKN-0526</t>
  </si>
  <si>
    <t>Up to 4-1/2 inch</t>
  </si>
  <si>
    <t>MKN-0527</t>
  </si>
  <si>
    <t>Up to 5-1/2 inch</t>
  </si>
  <si>
    <t>MKN-0528</t>
  </si>
  <si>
    <t>Up to 6-5/8 inch</t>
  </si>
  <si>
    <t>MKN-0529</t>
  </si>
  <si>
    <t>Up to 7-5/8 inch</t>
  </si>
  <si>
    <t>MKN-0530</t>
  </si>
  <si>
    <t>Up to 8-5/8 inch</t>
  </si>
  <si>
    <t>INTEGRAL BLADE STABILIZERS.</t>
  </si>
  <si>
    <t>First day Price $</t>
  </si>
  <si>
    <t>Additional day Price $</t>
  </si>
  <si>
    <t>Rental Price $</t>
  </si>
  <si>
    <t>MKN-0531</t>
  </si>
  <si>
    <t>4-1/2 or 4-3/4 inch</t>
  </si>
  <si>
    <t>MKN-0532</t>
  </si>
  <si>
    <t>6-1/2 or 6-3/4 inch</t>
  </si>
  <si>
    <t>MKN-0533</t>
  </si>
  <si>
    <t>8-1/2 inch</t>
  </si>
  <si>
    <t>MKN-0534</t>
  </si>
  <si>
    <t>9-7/8 inch</t>
  </si>
  <si>
    <t>MKN-0535</t>
  </si>
  <si>
    <t>12-1/4 inch</t>
  </si>
  <si>
    <t>MKN-0536</t>
  </si>
  <si>
    <t>15 inch</t>
  </si>
  <si>
    <t>MKN-0537</t>
  </si>
  <si>
    <t>17-1/2 inch</t>
  </si>
  <si>
    <t>CONVENTIONAL CORING ASSEMBLE</t>
  </si>
  <si>
    <t>DESCRIPTION</t>
  </si>
  <si>
    <t xml:space="preserve">PRICE </t>
  </si>
  <si>
    <t>MKN-0538</t>
  </si>
  <si>
    <t>8" 30ft Core Barrel (with handling tools &amp; Stab) rental charge</t>
  </si>
  <si>
    <t>section/day</t>
  </si>
  <si>
    <t>MKN-0539</t>
  </si>
  <si>
    <t>6 3/4" 30ft Core Barrel (with handling tools &amp; Stab) rental charge</t>
  </si>
  <si>
    <t>MKN-0540</t>
  </si>
  <si>
    <t>4 3/4" 30ft Core Barrel (with handling tools &amp; Stab) rental charge</t>
  </si>
  <si>
    <t>MKN-0541</t>
  </si>
  <si>
    <t>Restocking charge (apply if tool return unused)</t>
  </si>
  <si>
    <t>section</t>
  </si>
  <si>
    <t>MKN-0542</t>
  </si>
  <si>
    <t>Coring charge for 12 1/4" hole</t>
  </si>
  <si>
    <t>MKN-0543</t>
  </si>
  <si>
    <t>Coring charge for 8 1/2" or 8 3/8" hole</t>
  </si>
  <si>
    <t>MKN-0544</t>
  </si>
  <si>
    <t>Coring charge for 5 7/8"; 6" or 6 1/8" hole</t>
  </si>
  <si>
    <t>MKN-0545</t>
  </si>
  <si>
    <t>Conventional Coring Mobilization Charge</t>
  </si>
  <si>
    <t>each</t>
  </si>
  <si>
    <t>MKN-0546</t>
  </si>
  <si>
    <t>Job Cancellation Charges</t>
  </si>
  <si>
    <t>INNER TUBE</t>
  </si>
  <si>
    <t>MKN-0547</t>
  </si>
  <si>
    <t>Fiber Glass Inner Tube (30ft x 5 1/4")</t>
  </si>
  <si>
    <t>MKN-0548</t>
  </si>
  <si>
    <t>Fiber Glass Inner Tube (30ft x 4")</t>
  </si>
  <si>
    <t>MKN-0549</t>
  </si>
  <si>
    <t>Fiber Glass Inner Tube (30ft x 2 5/8")</t>
  </si>
  <si>
    <t>MKN-0550</t>
  </si>
  <si>
    <t>Aluminum Inner Tube (30ft x 5 1/4")</t>
  </si>
  <si>
    <t>MKN-0551</t>
  </si>
  <si>
    <t>Aluminum Inner Tube (30ft x 4")</t>
  </si>
  <si>
    <t>MKN-0552</t>
  </si>
  <si>
    <t>Aluminum Inner Tube (30ft x 2 5/8")</t>
  </si>
  <si>
    <t>MKN-0553</t>
  </si>
  <si>
    <t>Pressure Relief Valve for inner tube</t>
  </si>
  <si>
    <t>tube</t>
  </si>
  <si>
    <t>MKN-0554</t>
  </si>
  <si>
    <t>Aluminum Fluted Inner Tube (30ft x 5 1/4")</t>
  </si>
  <si>
    <t>MKN-0555</t>
  </si>
  <si>
    <t>Aluminum Fluted Inner Tube (30ft x 4")</t>
  </si>
  <si>
    <t>MKN-0556</t>
  </si>
  <si>
    <t>Aluminum Fluted Inner Tube (30ft x 2 5/8")</t>
  </si>
  <si>
    <t>CONVENTIONAL CORING PROCESS</t>
  </si>
  <si>
    <t>MKN-0557</t>
  </si>
  <si>
    <t>Core Lay Down Cradle</t>
  </si>
  <si>
    <t>day</t>
  </si>
  <si>
    <t>MKN-0558</t>
  </si>
  <si>
    <t>Coring Cutting Machine</t>
  </si>
  <si>
    <t>MKN-0559</t>
  </si>
  <si>
    <t>Wooden core box with sponge liner (1m or 3ft)</t>
  </si>
  <si>
    <t>MKN-0560</t>
  </si>
  <si>
    <t>Core Transportation</t>
  </si>
  <si>
    <t>PERSONNEL</t>
  </si>
  <si>
    <t>MKN-0561</t>
  </si>
  <si>
    <t>Coring Engineer (rig site)</t>
  </si>
  <si>
    <t>MKN-0562</t>
  </si>
  <si>
    <t>CGL Engineer (rig site)</t>
  </si>
  <si>
    <t>MKN-0563</t>
  </si>
  <si>
    <t>Preservation Engineer (rig site)</t>
  </si>
  <si>
    <t>MKN-0564</t>
  </si>
  <si>
    <t>Coring Technician (rig site)</t>
  </si>
  <si>
    <t>MKN-0565</t>
  </si>
  <si>
    <t>Special Services Coring Engineer (rig site)</t>
  </si>
  <si>
    <t>MKN-0566</t>
  </si>
  <si>
    <t>Coring Engineer (Stand by in town)</t>
  </si>
  <si>
    <t>MKN-0567</t>
  </si>
  <si>
    <t>CGL Engineer (Stand by in town)</t>
  </si>
  <si>
    <t>MKN-0568</t>
  </si>
  <si>
    <t>Preservation Engineer (Stand by in town)</t>
  </si>
  <si>
    <t>MKN-0569</t>
  </si>
  <si>
    <t>Coring Technician (Stand by in town)</t>
  </si>
  <si>
    <t>MKN-0570</t>
  </si>
  <si>
    <t>Special Services Coring Engineer (Stand by in town)</t>
  </si>
  <si>
    <t>MKN-0571</t>
  </si>
  <si>
    <t>Mobilization / Demobilization Charge for Personnel</t>
  </si>
  <si>
    <t>person</t>
  </si>
  <si>
    <t>MKN-0572</t>
  </si>
  <si>
    <t>Special Services Coring Engineer</t>
  </si>
  <si>
    <t>Note: (core head charge not included in the above prices)</t>
  </si>
  <si>
    <t>LOST IN HOLE PRICE LIST (CONVENTIONAL CORING)</t>
  </si>
  <si>
    <t>CORE BARREL SIZE</t>
  </si>
  <si>
    <t>8"</t>
  </si>
  <si>
    <t>6 3/4"</t>
  </si>
  <si>
    <t>4 3/4"</t>
  </si>
  <si>
    <t>MKN-0573</t>
  </si>
  <si>
    <t>Safety Joint Assembly</t>
  </si>
  <si>
    <t>MKN-0574</t>
  </si>
  <si>
    <t>Stabilizer</t>
  </si>
  <si>
    <t>MKN-0575</t>
  </si>
  <si>
    <t>Outer Tube</t>
  </si>
  <si>
    <t>MKN-0576</t>
  </si>
  <si>
    <t>Swivel Assembly</t>
  </si>
  <si>
    <t>MKN-0577</t>
  </si>
  <si>
    <t>Upper Half Shoe</t>
  </si>
  <si>
    <t>MKN-0578</t>
  </si>
  <si>
    <t>Lower Half Shoe</t>
  </si>
  <si>
    <t>MKN-0579</t>
  </si>
  <si>
    <t>Standard Core Catcher</t>
  </si>
  <si>
    <t>MKN-0580</t>
  </si>
  <si>
    <t>Heavy Duty Core Catcher</t>
  </si>
  <si>
    <t>CORE HEAD PRICE LIST</t>
  </si>
  <si>
    <t>CORE HEAD SIZE</t>
  </si>
  <si>
    <t>CORE HEAD TYPE</t>
  </si>
  <si>
    <t>12 1/4" x 5 1/4"</t>
  </si>
  <si>
    <t>8 1/2" &amp; 8 3/8" x 4"</t>
  </si>
  <si>
    <t>5 7/8"; 6" &amp; 6 1/8" x 2 5/8"</t>
  </si>
  <si>
    <t>MKN-0581</t>
  </si>
  <si>
    <t>Impregnated Core Heads</t>
  </si>
  <si>
    <t>MKN-0582</t>
  </si>
  <si>
    <t>Thermo Stable Diamond Core (TSP)</t>
  </si>
  <si>
    <t>MKN-0583</t>
  </si>
  <si>
    <t>PDC Core Heads</t>
  </si>
  <si>
    <t>MKN-0584</t>
  </si>
  <si>
    <t>Natural Diamond Core Heads</t>
  </si>
  <si>
    <t>Note:</t>
  </si>
  <si>
    <t>More Core Head design are available upon request.</t>
  </si>
  <si>
    <t>Damaged Core Head would be charge as per price list. Core head should core minimum of 90 ft or will be charge as per price list.</t>
  </si>
  <si>
    <t>Clarifications:-</t>
  </si>
  <si>
    <t>1. Impregnated Core Heads for :- Very Hard to extremely Hard Quartzitic Sandstone, Volcanic Rock, Schist with occasional stringers of hard dense shales, Siltsone</t>
  </si>
  <si>
    <t>2. Thermo Stable Diamond Core Heads (TSP) for :- Medium Hard to Hard Dense Siltstone, Shale, Dolomite</t>
  </si>
  <si>
    <t>3. PDC Core Heads for:- Soft to Medium Hard Formation, such as Sand, Clay, Salt, Anhydrite, Limestone, medium hard Limestone, Dolomite and Shale.</t>
  </si>
  <si>
    <t>4. Natural Diamond Core Heads for : Hard to very hard abrasive quartzitic Sandstone, Intercalated Hard Shale / Claystone / Siltstone, Schist, Volcanic Rocks</t>
  </si>
  <si>
    <t>CORE PROCESSING PRICE LIST</t>
  </si>
  <si>
    <t>GYPSUM STABILIZATION</t>
  </si>
  <si>
    <t>MKN-0585</t>
  </si>
  <si>
    <t>Gypsum Stabilization (rental)</t>
  </si>
  <si>
    <t>MKN-0586</t>
  </si>
  <si>
    <t>Gypsum Stabilization</t>
  </si>
  <si>
    <t>MKN-0587</t>
  </si>
  <si>
    <t>Resin Stabilization (rental)</t>
  </si>
  <si>
    <t>MKN-0588</t>
  </si>
  <si>
    <t>Resin Stabilization</t>
  </si>
  <si>
    <t>MKN-0589</t>
  </si>
  <si>
    <t>Foam Stabilization (rental)</t>
  </si>
  <si>
    <t>MKN-0590</t>
  </si>
  <si>
    <t>Foam Stabilization</t>
  </si>
  <si>
    <t>CORE GAMMA LOGGER</t>
  </si>
  <si>
    <t>MKN-0591</t>
  </si>
  <si>
    <t>Gamma Logger (rental) - 7 days minimum</t>
  </si>
  <si>
    <t>MKN-0592</t>
  </si>
  <si>
    <t>Gamma Ray Logging</t>
  </si>
  <si>
    <t>MKN-0593</t>
  </si>
  <si>
    <t>Core Gamma Logger (damage Beyond repair charge)</t>
  </si>
  <si>
    <t>PLUGGING AND PRESERVATION</t>
  </si>
  <si>
    <t>MKN-0594</t>
  </si>
  <si>
    <t>On site Core Sampling and Evaluation Module (rental)</t>
  </si>
  <si>
    <t>MKN-0595</t>
  </si>
  <si>
    <t>Wax Bath (rental)</t>
  </si>
  <si>
    <t>MKN-0596</t>
  </si>
  <si>
    <t>Wax Preserved Sample (30cm or 1ft)</t>
  </si>
  <si>
    <t>MKN-0597</t>
  </si>
  <si>
    <t>Plug Taker &amp; Trimmer (rental)</t>
  </si>
  <si>
    <t>MKN-0598</t>
  </si>
  <si>
    <t>Plugging (1" or 1 1/2" Diameter)</t>
  </si>
  <si>
    <t>per/sample</t>
  </si>
  <si>
    <t>MKN-0599</t>
  </si>
  <si>
    <t>Plug Taker Core Head</t>
  </si>
  <si>
    <t>MKN-0600</t>
  </si>
  <si>
    <t>Nitrogen Cooling system</t>
  </si>
  <si>
    <t>MKN-0601</t>
  </si>
  <si>
    <t>Non damaging oil for plug taker cooling</t>
  </si>
  <si>
    <t>liter</t>
  </si>
  <si>
    <t>MKN-0602</t>
  </si>
  <si>
    <t>Air tight Seal Rubber End caps &amp; clips</t>
  </si>
  <si>
    <t>set</t>
  </si>
  <si>
    <t>Unconsolidated Core Plugging Sampling</t>
  </si>
  <si>
    <t>MKN-0603</t>
  </si>
  <si>
    <t>Unconsolidated core plugging (rental charge)</t>
  </si>
  <si>
    <t>MKN-0604</t>
  </si>
  <si>
    <t>Unconsolidated Plugging (1" or 1 1/2" Diameter)</t>
  </si>
  <si>
    <t>sample</t>
  </si>
  <si>
    <t>MKN-0605</t>
  </si>
  <si>
    <t>Unconsolidated Plug Taker Core Head</t>
  </si>
  <si>
    <t>MKN-0606</t>
  </si>
  <si>
    <t>Heat Shrinkable tube (Viton)</t>
  </si>
  <si>
    <t>CORE FREEZING</t>
  </si>
  <si>
    <t>MKN-0607</t>
  </si>
  <si>
    <t>Dry Ice</t>
  </si>
  <si>
    <t>Kg</t>
  </si>
  <si>
    <t>MKN-0608</t>
  </si>
  <si>
    <t>Liquid Nitrogen</t>
  </si>
  <si>
    <t>Gal</t>
  </si>
  <si>
    <t>MKN-0609</t>
  </si>
  <si>
    <t>LN2 Tanker</t>
  </si>
  <si>
    <t>MKN-0610</t>
  </si>
  <si>
    <t>Core Freezing</t>
  </si>
  <si>
    <t>meter</t>
  </si>
  <si>
    <t>MKN-0611</t>
  </si>
  <si>
    <t>Onsite Chiller Truck</t>
  </si>
  <si>
    <t>MKN-0612</t>
  </si>
  <si>
    <t>Insulated Box</t>
  </si>
  <si>
    <t>MKN-0613</t>
  </si>
  <si>
    <t>Transportation</t>
  </si>
  <si>
    <t>REPORT &amp; ANALYSIS</t>
  </si>
  <si>
    <t>MKN-0614</t>
  </si>
  <si>
    <t>Tracer Invasion Analysis</t>
  </si>
  <si>
    <t>MKN-0615</t>
  </si>
  <si>
    <t>BHA Analysis</t>
  </si>
  <si>
    <t>report</t>
  </si>
  <si>
    <t>Footage rates apply for footage of core cut.</t>
  </si>
  <si>
    <t>Daily rates apply from the day equipment or personnel leaves MAKAMAN LIBYA COMPANY base to the date equipment or personnel return to MAKAMAN LIBYA COMPANY base.</t>
  </si>
  <si>
    <t>Tools which are damaged beyond repair are priced as lost in hole value. Standard MAKAMAN LIBYA COMPANY terms and conditions for products and services are applicable.</t>
  </si>
  <si>
    <t>CEMENTING &amp; STIMULATION ADDITIVES</t>
  </si>
  <si>
    <t>CEMENT PRODUCTS</t>
  </si>
  <si>
    <t>CLASS "G" CEMENT (94 LBS / CUFT)</t>
  </si>
  <si>
    <t>Item no</t>
  </si>
  <si>
    <t>MKN-0616</t>
  </si>
  <si>
    <t>103A, Gialo, Nafoora, Amal</t>
  </si>
  <si>
    <t>per cubic foot</t>
  </si>
  <si>
    <t>MKN-0617</t>
  </si>
  <si>
    <t>Waha, Samah, Sarir, Zelten, Tibesti,beda</t>
  </si>
  <si>
    <t>MKN-0618</t>
  </si>
  <si>
    <t>Zella</t>
  </si>
  <si>
    <t>MKN-0619</t>
  </si>
  <si>
    <t>Dahra</t>
  </si>
  <si>
    <t>MKN-0620</t>
  </si>
  <si>
    <t>Hamada</t>
  </si>
  <si>
    <t>ADDITIONAL CEMENT TYPES</t>
  </si>
  <si>
    <t>LiteWate Blend (100 LBS/SK) - (1 Sack = 1.87 CUFT)</t>
  </si>
  <si>
    <t>MKN-0621</t>
  </si>
  <si>
    <t>LightWight high CS Cement 10 - 12.5 ppg</t>
  </si>
  <si>
    <t>MKN-0622</t>
  </si>
  <si>
    <t>Heavyweight high CS Cement 17 - 22 ppg</t>
  </si>
  <si>
    <t>MKN-0623</t>
  </si>
  <si>
    <t>Microfine Cement - Squeeze Cement</t>
  </si>
  <si>
    <t>CEMENT ADDITIVES</t>
  </si>
  <si>
    <t>ACCELERATOR</t>
  </si>
  <si>
    <t>MKN-0624</t>
  </si>
  <si>
    <t>Powder Accelerator</t>
  </si>
  <si>
    <t>LBS</t>
  </si>
  <si>
    <t>MKN-0625</t>
  </si>
  <si>
    <t>Liquid Accelerator</t>
  </si>
  <si>
    <t>FLUID LOSS</t>
  </si>
  <si>
    <t>MKN-0626</t>
  </si>
  <si>
    <t>LOW TEMPERATURE FLUID LOSS - POWDER</t>
  </si>
  <si>
    <t>MKN-0627</t>
  </si>
  <si>
    <t>LOW TEMPERATURE FLUID LOSS - LIQUID</t>
  </si>
  <si>
    <t>MKN-0628</t>
  </si>
  <si>
    <t>WIDE RANGE FLUID LOSS - POWDER</t>
  </si>
  <si>
    <t>MKN-0629</t>
  </si>
  <si>
    <t>WIDE RANGE FLUID LOSS - LIQUID</t>
  </si>
  <si>
    <t>DISPERSANT</t>
  </si>
  <si>
    <t>MKN-0630</t>
  </si>
  <si>
    <t>DISPERSANT - POWDER</t>
  </si>
  <si>
    <t>MKN-0631</t>
  </si>
  <si>
    <t>DISPERSANT - LIQUID</t>
  </si>
  <si>
    <t>ADDITIVES PRICE LIST</t>
  </si>
  <si>
    <t>RETARDERS</t>
  </si>
  <si>
    <t>MKN-0632</t>
  </si>
  <si>
    <t>LOW TEMP RETARDER - POWDER</t>
  </si>
  <si>
    <t>MKN-0633</t>
  </si>
  <si>
    <t>LOW TEMP RETARDER - LIQUID</t>
  </si>
  <si>
    <t>MKN-0634</t>
  </si>
  <si>
    <t>MODERATE TEMP RETARDER - POWDER</t>
  </si>
  <si>
    <t>MKN-0635</t>
  </si>
  <si>
    <t>MODERATE TEMP RETARDER - LIQUID</t>
  </si>
  <si>
    <t>MKN-0636</t>
  </si>
  <si>
    <t>HIGH TEMP RETARDER - POWDER</t>
  </si>
  <si>
    <t>MKN-0637</t>
  </si>
  <si>
    <t>HIGH TEMP RETARDER - LIQUID</t>
  </si>
  <si>
    <t>ANTIFOAM</t>
  </si>
  <si>
    <t>MKN-0638</t>
  </si>
  <si>
    <t>ANTIFOAM - LIQUID</t>
  </si>
  <si>
    <t>MKN-0639</t>
  </si>
  <si>
    <t>DEFOAMER - LIQUID</t>
  </si>
  <si>
    <t>MKN-0640</t>
  </si>
  <si>
    <t>DEFOAMER - POWDER</t>
  </si>
  <si>
    <t>MKN-0641</t>
  </si>
  <si>
    <t>ANTIFOAM - POWDER</t>
  </si>
  <si>
    <t>SPECIAL ADDITIVES</t>
  </si>
  <si>
    <t>MKN-0642</t>
  </si>
  <si>
    <t>THIXOTROPIC AID - LIQUID</t>
  </si>
  <si>
    <t>MKN-0643</t>
  </si>
  <si>
    <t>THIXOTROPIC - LIQUID</t>
  </si>
  <si>
    <t>MKN-0644</t>
  </si>
  <si>
    <t>GAS BLOCK ADDITIVES</t>
  </si>
  <si>
    <t>MKN-0645</t>
  </si>
  <si>
    <t>HIGH TEMP GAS BLOCK ADDITIVES</t>
  </si>
  <si>
    <t>MKN-0646</t>
  </si>
  <si>
    <t>SLURRY BOND ADDITIVES</t>
  </si>
  <si>
    <t>OTHER MATERIALS</t>
  </si>
  <si>
    <t>MKN-0647</t>
  </si>
  <si>
    <t>FIBER - CEMENT</t>
  </si>
  <si>
    <t>MKN-0648</t>
  </si>
  <si>
    <t>SPACER - POWDER</t>
  </si>
  <si>
    <t>MKN-0649</t>
  </si>
  <si>
    <t>SPACER CONCENTRATE - LIQUID</t>
  </si>
  <si>
    <t>MKN-0650</t>
  </si>
  <si>
    <t>SILICA FLOUR</t>
  </si>
  <si>
    <t>MKN-0651</t>
  </si>
  <si>
    <t>CHEMICAL WASH CONCENTRATE - LIQUID</t>
  </si>
  <si>
    <t>MKN-0652</t>
  </si>
  <si>
    <t>WEIGHTING AGENT</t>
  </si>
  <si>
    <t>MKN-0653</t>
  </si>
  <si>
    <t>HEMATITE WEIGHTING AGENT</t>
  </si>
  <si>
    <t>MKN-0654</t>
  </si>
  <si>
    <t>SODIUM CHLORIDE</t>
  </si>
  <si>
    <t>HYDROCHLORIC ACID</t>
  </si>
  <si>
    <t>MKN-0655</t>
  </si>
  <si>
    <t>28% HCL</t>
  </si>
  <si>
    <t>USG</t>
  </si>
  <si>
    <t>MKN-0656</t>
  </si>
  <si>
    <t>15% HCL</t>
  </si>
  <si>
    <t>MKN-0657</t>
  </si>
  <si>
    <t>10% HCL</t>
  </si>
  <si>
    <t>MKN-0658</t>
  </si>
  <si>
    <t>7.5% HCL</t>
  </si>
  <si>
    <t>MKN-0659</t>
  </si>
  <si>
    <t>5% HCL</t>
  </si>
  <si>
    <t>MUD ACID</t>
  </si>
  <si>
    <t>MKN-0660</t>
  </si>
  <si>
    <t>12-3 MUD ACID</t>
  </si>
  <si>
    <t>MKN-0661</t>
  </si>
  <si>
    <t>6-15 MUD ACID</t>
  </si>
  <si>
    <t>MKN-0662</t>
  </si>
  <si>
    <t>12-6 MUD ACID</t>
  </si>
  <si>
    <t>SPECIAL ACID</t>
  </si>
  <si>
    <t>MKN-0663</t>
  </si>
  <si>
    <t>ACETIC ACID</t>
  </si>
  <si>
    <t>MKN-0664</t>
  </si>
  <si>
    <t>FORMIC ACID</t>
  </si>
  <si>
    <t>MKN-0665</t>
  </si>
  <si>
    <t>ALCOHOLIC ACID</t>
  </si>
  <si>
    <t>MKN-0666</t>
  </si>
  <si>
    <t>OIL MISCIBLE ACID</t>
  </si>
  <si>
    <t>GELLANT BREAKERS</t>
  </si>
  <si>
    <t>MKN-0667</t>
  </si>
  <si>
    <t>OXIDIZING BREAKER</t>
  </si>
  <si>
    <t>MKN-0668</t>
  </si>
  <si>
    <t>ENZYME BREAKER</t>
  </si>
  <si>
    <t>MKN-0669</t>
  </si>
  <si>
    <t>ANME BREAKER CATYLIST</t>
  </si>
  <si>
    <t>MKN-0670</t>
  </si>
  <si>
    <t>GEL BREAKING</t>
  </si>
  <si>
    <t>BRIDGING AGENTS</t>
  </si>
  <si>
    <t>MKN-0671</t>
  </si>
  <si>
    <t>LOW TEMPERATURE PLUG</t>
  </si>
  <si>
    <t>PROPRIETORY CHEMICALS</t>
  </si>
  <si>
    <t>MKN-0672</t>
  </si>
  <si>
    <t>AMMONIUM CHLORIDE</t>
  </si>
  <si>
    <t>MKN-0673</t>
  </si>
  <si>
    <t>POTASSIUM CHLORIDE</t>
  </si>
  <si>
    <t>MKN-0674</t>
  </si>
  <si>
    <t>MKN-0675</t>
  </si>
  <si>
    <t>AMMONIUM BIFLUORIDE</t>
  </si>
  <si>
    <t>MKN-0676</t>
  </si>
  <si>
    <t>CALCIUM CHLORIDE</t>
  </si>
  <si>
    <t>MKN-0677</t>
  </si>
  <si>
    <t>AMMONIUM PROSULPHATE</t>
  </si>
  <si>
    <t>MKN-0678</t>
  </si>
  <si>
    <t>SODA ASH</t>
  </si>
  <si>
    <t>MKN-0679</t>
  </si>
  <si>
    <t>CAUSTIC SODA</t>
  </si>
  <si>
    <t>FOAMING AGENTS AND STABILIZERS</t>
  </si>
  <si>
    <t>MKN-0680</t>
  </si>
  <si>
    <t>FOAMING AGENT</t>
  </si>
  <si>
    <t>MKN-0681</t>
  </si>
  <si>
    <t>FOAMER</t>
  </si>
  <si>
    <t>MUTUAL SOLVENT</t>
  </si>
  <si>
    <t>MKN-0682</t>
  </si>
  <si>
    <t>EGMBE MUTUAL SOLVENT</t>
  </si>
  <si>
    <t>MKN-0683</t>
  </si>
  <si>
    <t>ISOPROPYL ALCOHOL SOLVENT</t>
  </si>
  <si>
    <t>IRON SEQUESTERING AGENT</t>
  </si>
  <si>
    <t>MKN-0684</t>
  </si>
  <si>
    <t>CITRIC ACID</t>
  </si>
  <si>
    <t>MKN-0685</t>
  </si>
  <si>
    <t>ACID MIXTURE</t>
  </si>
  <si>
    <t>MKN-0686</t>
  </si>
  <si>
    <t>IRON REDUCING AGENT</t>
  </si>
  <si>
    <t>MKN-0687</t>
  </si>
  <si>
    <t>GELLING AGENTS</t>
  </si>
  <si>
    <t>MKN-0688</t>
  </si>
  <si>
    <t>HYDROXYPROPYL GUAR</t>
  </si>
  <si>
    <t>MKN-0689</t>
  </si>
  <si>
    <t>HYDROXYCELLOUSE</t>
  </si>
  <si>
    <t>MKN-0690</t>
  </si>
  <si>
    <t>XANTHIN GEL SALVESTO</t>
  </si>
  <si>
    <t>MKN-0691</t>
  </si>
  <si>
    <t>HYDROXYPROPYL GUAR WITH BUFFERS</t>
  </si>
  <si>
    <t>MKN-0692</t>
  </si>
  <si>
    <t>POLYCRYALMIDE GELLING AGENT</t>
  </si>
  <si>
    <t>MKN-0693</t>
  </si>
  <si>
    <t>CROSS-LINKER FOR OIL GELLANT</t>
  </si>
  <si>
    <t>MKN-0694</t>
  </si>
  <si>
    <t>PHOSPHATE ESTER GELLING AGENT</t>
  </si>
  <si>
    <t>INHIBITORS</t>
  </si>
  <si>
    <t>MKN-0695</t>
  </si>
  <si>
    <t>CORROSION INHIBITOR MT</t>
  </si>
  <si>
    <t>MKN-0696</t>
  </si>
  <si>
    <t>CORROSION INHIBITOR HT</t>
  </si>
  <si>
    <t>INHIBITOR INTENSIFIER</t>
  </si>
  <si>
    <t>MKN-0697</t>
  </si>
  <si>
    <t>MKN-0698</t>
  </si>
  <si>
    <t>SURFACTANT</t>
  </si>
  <si>
    <t>MKN-0699</t>
  </si>
  <si>
    <t>FLUID LOSS ADDITIVES</t>
  </si>
  <si>
    <t>MKN-0700</t>
  </si>
  <si>
    <t>OIL SOLUBLE RESIN LIQUID</t>
  </si>
  <si>
    <t>MKN-0701</t>
  </si>
  <si>
    <t>OIL SOLUBLE RESIN/NATURAL GUM MIXTURE</t>
  </si>
  <si>
    <t>MKN-0702</t>
  </si>
  <si>
    <t>PARTICULATE FLUID LOSS</t>
  </si>
  <si>
    <t>FRICTION REDUCERS</t>
  </si>
  <si>
    <t>MKN-0703</t>
  </si>
  <si>
    <t>FRICTION REDUCER</t>
  </si>
  <si>
    <t>MKN-0704</t>
  </si>
  <si>
    <t>POLYCRYAMIDE COPOLYMER</t>
  </si>
  <si>
    <t>MKN-0705</t>
  </si>
  <si>
    <t>POLYCRYAMIDE FRICTION REDUCER FOR ACID</t>
  </si>
  <si>
    <t>DIVERTING AGENTS</t>
  </si>
  <si>
    <t>MKN-0706</t>
  </si>
  <si>
    <t>POWDER DIVERTING AGENT</t>
  </si>
  <si>
    <t>MKN-0707</t>
  </si>
  <si>
    <t>LIQUID DIVERTING AGENT</t>
  </si>
  <si>
    <t>CLAY STABILIZING AGENT</t>
  </si>
  <si>
    <t>MKN-0708</t>
  </si>
  <si>
    <t>CLAY STABILIZER</t>
  </si>
  <si>
    <t>MKN-0709</t>
  </si>
  <si>
    <t>POLYMRT CLAY CONTROL</t>
  </si>
  <si>
    <t>MKN-0710</t>
  </si>
  <si>
    <t>SOLVENTS</t>
  </si>
  <si>
    <t>MKN-0711</t>
  </si>
  <si>
    <t>PARAFFIN SOLVENT PS1</t>
  </si>
  <si>
    <t>MKN-0712</t>
  </si>
  <si>
    <t>ASPHALTENE SOLVENT</t>
  </si>
  <si>
    <t>DEMULSFIER</t>
  </si>
  <si>
    <t>MKN-0713</t>
  </si>
  <si>
    <t>NON EMULSIFIER</t>
  </si>
  <si>
    <t>MKN-0714</t>
  </si>
  <si>
    <t>ANTI SLUDGE</t>
  </si>
  <si>
    <t>POWER TONG SERVICES</t>
  </si>
  <si>
    <t>EQUIPMENT RENTAL (TONGS &amp; POWER UNIT)</t>
  </si>
  <si>
    <t>MKN-0715</t>
  </si>
  <si>
    <t>Tubing (2-3/8" to 4-1/2") W/TRI/GRIP Backup</t>
  </si>
  <si>
    <t>MKN-0716</t>
  </si>
  <si>
    <t>Casing (5" to 13-3/8")</t>
  </si>
  <si>
    <t>MKN-0717</t>
  </si>
  <si>
    <t>Casing (16" to 20")</t>
  </si>
  <si>
    <t>MKN-0718</t>
  </si>
  <si>
    <t>Toque Control Computer &amp; Analyzer</t>
  </si>
  <si>
    <t>MKN-0719</t>
  </si>
  <si>
    <t>Pickup / Lay Down Machine</t>
  </si>
  <si>
    <t>MKN-0720</t>
  </si>
  <si>
    <t>Stabbing Guides (2-3/8" to 13-3/8")</t>
  </si>
  <si>
    <t>MKN-0721</t>
  </si>
  <si>
    <t>Hand Slips (2-3/8" to 13-3/8")</t>
  </si>
  <si>
    <t>MKN-0722</t>
  </si>
  <si>
    <t>Inflatable Thread Protectors (7" to 13-3/8")</t>
  </si>
  <si>
    <t>MKN-0723</t>
  </si>
  <si>
    <t>API Thread Compound 5 GL</t>
  </si>
  <si>
    <t>*</t>
  </si>
  <si>
    <t>FOOTAGE CHARGES</t>
  </si>
  <si>
    <t>MKN-0724</t>
  </si>
  <si>
    <t>Tubing / Singles (2-3/8" to 4-1/2")</t>
  </si>
  <si>
    <t>MKN-0725</t>
  </si>
  <si>
    <t>Tubing / Triples</t>
  </si>
  <si>
    <t>MKN-0726</t>
  </si>
  <si>
    <t>MKN-0727</t>
  </si>
  <si>
    <t>PERSONNEL CHARGES</t>
  </si>
  <si>
    <t>MKN-0728</t>
  </si>
  <si>
    <t>Computer Operator</t>
  </si>
  <si>
    <t>MKN-0729</t>
  </si>
  <si>
    <t>Tong Operator</t>
  </si>
  <si>
    <t>MKN-0730</t>
  </si>
  <si>
    <t>Tong Operator Assistance</t>
  </si>
  <si>
    <t>MKN-0731</t>
  </si>
  <si>
    <t>Stabber</t>
  </si>
  <si>
    <t>STAND-BY CHARGES</t>
  </si>
  <si>
    <t>MKN-0732</t>
  </si>
  <si>
    <t>Equipment</t>
  </si>
  <si>
    <t>MKN-0733</t>
  </si>
  <si>
    <t>Personnel</t>
  </si>
  <si>
    <t>OTHER CHARGES</t>
  </si>
  <si>
    <t>MKN-0734</t>
  </si>
  <si>
    <t>Inflatable thread protectors damaged beyond repair</t>
  </si>
  <si>
    <t>MKN-0735</t>
  </si>
  <si>
    <t>When called to location &amp; no job is run for circumstances beyond Makaman Libya Company's control. Minimum charge plus transportation</t>
  </si>
  <si>
    <t>REDRESS KITS</t>
  </si>
  <si>
    <t>Unit Measure / PRICE</t>
  </si>
  <si>
    <t>5 1/2"</t>
  </si>
  <si>
    <t>MKN-0736</t>
  </si>
  <si>
    <t>Redress Kit for Mechanical Packer</t>
  </si>
  <si>
    <t>MKN-0737</t>
  </si>
  <si>
    <t>Redress Kit for Hydraulic Packer</t>
  </si>
  <si>
    <t>DOWNHOLE CASING EQUIPMENT &amp; ACCESSORIES</t>
  </si>
  <si>
    <t>GUIDE SHOE</t>
  </si>
  <si>
    <t>MKN-0738</t>
  </si>
  <si>
    <t>7", 8-rd</t>
  </si>
  <si>
    <t>MKN-0739</t>
  </si>
  <si>
    <t>7", BTC</t>
  </si>
  <si>
    <t>MKN-0740</t>
  </si>
  <si>
    <t>9 5/8", 8-rd</t>
  </si>
  <si>
    <t>MKN-0741</t>
  </si>
  <si>
    <t>13 3/8", 8-rd</t>
  </si>
  <si>
    <t>MKN-0742</t>
  </si>
  <si>
    <t>13 3/8", Buttress K-55 63-73 PPF</t>
  </si>
  <si>
    <t>MKN-0743</t>
  </si>
  <si>
    <t>18 5/8" Buttress K-55 87-90 PPF</t>
  </si>
  <si>
    <t>MKN-0744</t>
  </si>
  <si>
    <t>20", 8-rd</t>
  </si>
  <si>
    <t>MKN-0745</t>
  </si>
  <si>
    <t>20", Buttress K-55 90-106 PPF</t>
  </si>
  <si>
    <t>FLOAT SHOE</t>
  </si>
  <si>
    <t>MKN-0746</t>
  </si>
  <si>
    <t>5", N80</t>
  </si>
  <si>
    <t>MKN-0747</t>
  </si>
  <si>
    <t>7", 8-rd LTC N-80 20-35 PPF</t>
  </si>
  <si>
    <t>MKN-0748</t>
  </si>
  <si>
    <t>7", BTC L-80 20-32 PPF</t>
  </si>
  <si>
    <t>MKN-0749</t>
  </si>
  <si>
    <t>9 5/8", 8-rd LTC N-80 32.5-53.5 PPF</t>
  </si>
  <si>
    <t>MKN-0750</t>
  </si>
  <si>
    <t>9 5/8", BTC L-80 32.5-53.5 PPF</t>
  </si>
  <si>
    <t>MKN-0751</t>
  </si>
  <si>
    <t>13 3/8", 8-rd STC K-55 48-72 PPF</t>
  </si>
  <si>
    <t>MKN-0752</t>
  </si>
  <si>
    <t>13 3/8", BTC K-55 48-72 PPF</t>
  </si>
  <si>
    <t>MKN-0753</t>
  </si>
  <si>
    <t>13 3/8", BTC L-80 48-72 PPF</t>
  </si>
  <si>
    <t>MKN-0754</t>
  </si>
  <si>
    <t>20", 8-rd 94 PPF</t>
  </si>
  <si>
    <t>MKN-0755</t>
  </si>
  <si>
    <t>20", BTC 94 PPF</t>
  </si>
  <si>
    <t>STAB - IN FLOAT SHOE</t>
  </si>
  <si>
    <t>MKN-0756</t>
  </si>
  <si>
    <t>18 5/8", 8-rd STC K-55 87.5-139 PPF</t>
  </si>
  <si>
    <t>MKN-0757</t>
  </si>
  <si>
    <t>18 5/8", BTC K-55 85.5-139 PPF</t>
  </si>
  <si>
    <t>MKN-0758</t>
  </si>
  <si>
    <t>20", 8-rd STC K-55 94-133 PPF</t>
  </si>
  <si>
    <t>MKN-0759</t>
  </si>
  <si>
    <t>20", BTC K-55 94-133 PPF</t>
  </si>
  <si>
    <t>FLOAT COLLAR</t>
  </si>
  <si>
    <t>MKN-0760</t>
  </si>
  <si>
    <t>7", 8-rd LTC N-80 20-32 PPF</t>
  </si>
  <si>
    <t>MKN-0761</t>
  </si>
  <si>
    <t>MKN-0762</t>
  </si>
  <si>
    <t>9 5/8", LTC N-80 32.5-53.5 PPF</t>
  </si>
  <si>
    <t>MKN-0763</t>
  </si>
  <si>
    <t>MKN-0764</t>
  </si>
  <si>
    <t>13 3/8", 8-RD STC K-55 48-72 PPF</t>
  </si>
  <si>
    <t>MKN-0765</t>
  </si>
  <si>
    <t>MKN-0766</t>
  </si>
  <si>
    <t>MKN-0767</t>
  </si>
  <si>
    <t>MKN-0768</t>
  </si>
  <si>
    <t>20", BTC</t>
  </si>
  <si>
    <t>STAB-IN FLOAT COLLAR</t>
  </si>
  <si>
    <t>MKN-0769</t>
  </si>
  <si>
    <t>CEMENTING PLUGS (NON-ROTATING BOTTOM)</t>
  </si>
  <si>
    <t>MKN-0770</t>
  </si>
  <si>
    <t>7", 23-38 PPF</t>
  </si>
  <si>
    <t>MKN-0771</t>
  </si>
  <si>
    <t>9 5/8", 36-53.5 PPF</t>
  </si>
  <si>
    <t>MKN-0772</t>
  </si>
  <si>
    <t>13 3/8", 54.5-72 PPF</t>
  </si>
  <si>
    <t>MKN-0773</t>
  </si>
  <si>
    <t>Centralizer Std Bow</t>
  </si>
  <si>
    <t>MKN-0774</t>
  </si>
  <si>
    <t>20" Csg Stabilizers for 24"-26"hole</t>
  </si>
  <si>
    <t>MKN-0775</t>
  </si>
  <si>
    <t>Welded centralizer for 20" Csg x 5" Dp</t>
  </si>
  <si>
    <t>MKN-0776</t>
  </si>
  <si>
    <t>18 5/8" Csg for 24" hole</t>
  </si>
  <si>
    <t>MKN-0777</t>
  </si>
  <si>
    <t>Welded centralizer for 18 5/8" Csg x-5" Dp</t>
  </si>
  <si>
    <t>MKN-0778</t>
  </si>
  <si>
    <t>13 3/8" Csg for 17 1/2" hole</t>
  </si>
  <si>
    <t>MKN-0779</t>
  </si>
  <si>
    <t>10 3/4" Csg for 12 1/4" hole</t>
  </si>
  <si>
    <t>MKN-0780</t>
  </si>
  <si>
    <t>9 5/8" Csg for 11 3/4"-12 1/4"</t>
  </si>
  <si>
    <t>MKN-0781</t>
  </si>
  <si>
    <t>7" Csg for 8 3/8"-8 1/2" hole</t>
  </si>
  <si>
    <t>MKN-0782</t>
  </si>
  <si>
    <t>5 1/2" Csg for 8 1/2" hole</t>
  </si>
  <si>
    <t>MKN-0783</t>
  </si>
  <si>
    <t>4 1/2" Csg for 6 1/8" hole</t>
  </si>
  <si>
    <t>NON-WELDED CENTRALIZERS - POSITIVE</t>
  </si>
  <si>
    <t>MKN-0784</t>
  </si>
  <si>
    <t>13 3/8" OD Csg with 18 5/8" OD (for use inside 20" Csg)</t>
  </si>
  <si>
    <t>MKN-0785</t>
  </si>
  <si>
    <t>13 3/8" OD Csg with 17" OD (for use inside 18 5/8" Csg)</t>
  </si>
  <si>
    <t>MKN-0786</t>
  </si>
  <si>
    <t>9 5/8" OD Csg with 12 1/8" OD (for use inside 13 3/8"Csg)</t>
  </si>
  <si>
    <t>MKN-0787</t>
  </si>
  <si>
    <t>7" OD Csg with 8 1/2" OD (for use inside 9 5/8" Csg)</t>
  </si>
  <si>
    <t>STOP COLLARS W/ LOCKING NAILS</t>
  </si>
  <si>
    <t>MKN-0788</t>
  </si>
  <si>
    <t>20" Csg size, hinged</t>
  </si>
  <si>
    <t>MKN-0789</t>
  </si>
  <si>
    <t>18 5/8" Csg size, hinged</t>
  </si>
  <si>
    <t>MKN-0790</t>
  </si>
  <si>
    <t>13 3/8" Csg size</t>
  </si>
  <si>
    <t>MKN-0791</t>
  </si>
  <si>
    <t>10 3/4" Csg size</t>
  </si>
  <si>
    <t>MKN-0792</t>
  </si>
  <si>
    <t>9 5/8" Csg size</t>
  </si>
  <si>
    <t>MKN-0793</t>
  </si>
  <si>
    <t>7" Csg size</t>
  </si>
  <si>
    <t>MKN-0794</t>
  </si>
  <si>
    <t>5 1/2" Csg size</t>
  </si>
  <si>
    <t>MKN-0795</t>
  </si>
  <si>
    <t>4 1/2" Csg size</t>
  </si>
  <si>
    <t>SOLID CEMENT BASKET</t>
  </si>
  <si>
    <t>MKN-0796</t>
  </si>
  <si>
    <t>20" Csg size</t>
  </si>
  <si>
    <t>MKN-0797</t>
  </si>
  <si>
    <t>MKN-0798</t>
  </si>
  <si>
    <t>MKN-0799</t>
  </si>
  <si>
    <t>THREAD COMPOUNDS</t>
  </si>
  <si>
    <t>MKN-0800</t>
  </si>
  <si>
    <t>API Modified Thread Compound Baker, 2gal -25 (Ib/pail)</t>
  </si>
  <si>
    <t>MKN-0801</t>
  </si>
  <si>
    <t>API Modified Thread Compound Baker, 3.5gal -50 (Ib/pail)</t>
  </si>
  <si>
    <t>MKN-0802</t>
  </si>
  <si>
    <t>Thread lock Compound (Tight lock)</t>
  </si>
  <si>
    <t>CASING SCRAPER</t>
  </si>
  <si>
    <t>MKN-0803</t>
  </si>
  <si>
    <t>For 5" Casing per Month</t>
  </si>
  <si>
    <t>MKN-0804</t>
  </si>
  <si>
    <t>For 7" Casing per Month</t>
  </si>
  <si>
    <t>MKN-0805</t>
  </si>
  <si>
    <t>For 9 5/8" Casing per Month</t>
  </si>
  <si>
    <t>MKN-0806</t>
  </si>
  <si>
    <t>For 13 3/8" Casing per Month</t>
  </si>
  <si>
    <t>LINER HANGER</t>
  </si>
  <si>
    <t>MKN-0807</t>
  </si>
  <si>
    <t>Complete 5"x 7" Liner hanger with float equipment and liner packer all connection Sales Mechanical Liner</t>
  </si>
  <si>
    <t>MKN-0808</t>
  </si>
  <si>
    <t>Complete 7"x 9 5/8" Liner hanger with float equipment and liner packer all connection Sales Mechanical Liner</t>
  </si>
  <si>
    <t>MKN-0809</t>
  </si>
  <si>
    <t>Complete 5"x 7" Liner hanger with float equipment and liner packer all connection Sales Hydraulic Liner</t>
  </si>
  <si>
    <t>MKN-0810</t>
  </si>
  <si>
    <t>Complete 7"x 9 5/8" Liner hanger with float equipment and liner packer all connection Sales Hydraulic Liner</t>
  </si>
  <si>
    <t>MKN-0811</t>
  </si>
  <si>
    <t>LUM SUM Charge 5 Days for Running Tool</t>
  </si>
  <si>
    <t>MKN-0812</t>
  </si>
  <si>
    <t>Liner Engineer per day</t>
  </si>
  <si>
    <t>MKN-0813</t>
  </si>
  <si>
    <t>Assistant Operator Per day</t>
  </si>
  <si>
    <t>MKN-0814</t>
  </si>
  <si>
    <t>Make UP liner per Job</t>
  </si>
  <si>
    <t>MKN-0815</t>
  </si>
  <si>
    <t>Extra Days for Running Tool after 5 days per day</t>
  </si>
  <si>
    <t>GYRO SERVICES</t>
  </si>
  <si>
    <t>DMS NORTH SEEKING GYRO MULTISHOT</t>
  </si>
  <si>
    <t>MKN-0816</t>
  </si>
  <si>
    <t>Instrument charge / stand by day</t>
  </si>
  <si>
    <t>MKN-0817</t>
  </si>
  <si>
    <t>Instrument charge / operating day day</t>
  </si>
  <si>
    <t>MKN-0818</t>
  </si>
  <si>
    <t>Minimum charge/day</t>
  </si>
  <si>
    <t>DMS NORTH SEEKING GYRO SINGLES HOT</t>
  </si>
  <si>
    <t>MKN-0819</t>
  </si>
  <si>
    <t>MKN-0820</t>
  </si>
  <si>
    <t>Instrument charge / operating day</t>
  </si>
  <si>
    <t>MKN-0821</t>
  </si>
  <si>
    <t>Minimum charge / day</t>
  </si>
  <si>
    <t>DMS ELECTRONIC MAGNETIC GYRO MULTISHOT</t>
  </si>
  <si>
    <t>MKN-0822</t>
  </si>
  <si>
    <t>MKN-0823</t>
  </si>
  <si>
    <t>MKN-0824</t>
  </si>
  <si>
    <t>MKN-0825</t>
  </si>
  <si>
    <t>Gyro survey engineer / day</t>
  </si>
  <si>
    <t>MKN-0826</t>
  </si>
  <si>
    <t>EMS survey engineer / day</t>
  </si>
  <si>
    <t>MKN-0827</t>
  </si>
  <si>
    <t>Wireline operator / day</t>
  </si>
  <si>
    <t>MKN-0828</t>
  </si>
  <si>
    <t>Wireline helper / day</t>
  </si>
  <si>
    <t>MKN-0829</t>
  </si>
  <si>
    <t>Transpiration charge for tools and personal / trip</t>
  </si>
  <si>
    <t>HIGH ACCURACY NORTH SEEKING GYRO SYSTEM</t>
  </si>
  <si>
    <t>DMS ELECTRONICS ST IN HOLE AND REPLACEMENT CHARGES</t>
  </si>
  <si>
    <t>MKN-0830</t>
  </si>
  <si>
    <t>OMS gyro (sensor and electronics)</t>
  </si>
  <si>
    <t>MKN-0831</t>
  </si>
  <si>
    <t>Surface interface box</t>
  </si>
  <si>
    <t>MKN-0832</t>
  </si>
  <si>
    <t>Computer laptop</t>
  </si>
  <si>
    <t>MKN-0833</t>
  </si>
  <si>
    <t>Printer</t>
  </si>
  <si>
    <t>MKN-0834</t>
  </si>
  <si>
    <t>Down hole running gear</t>
  </si>
  <si>
    <t>-</t>
  </si>
  <si>
    <t>MKN-0835</t>
  </si>
  <si>
    <t>Thermal-shield 1.75" od</t>
  </si>
  <si>
    <t>MKN-0836</t>
  </si>
  <si>
    <t>Centralizer (conducting)</t>
  </si>
  <si>
    <t>MKN-0837</t>
  </si>
  <si>
    <t>Centralizer (non-conducting)</t>
  </si>
  <si>
    <t>MKN-0838</t>
  </si>
  <si>
    <t>Cable head assembly (htc-3)</t>
  </si>
  <si>
    <t>MKN-0839</t>
  </si>
  <si>
    <t>Wireline crossover</t>
  </si>
  <si>
    <t>WELL-HEAD CONSTRUCTION SERVICES</t>
  </si>
  <si>
    <t>MKN-0840</t>
  </si>
  <si>
    <t>Cellar Cleaning, Well Head gratings and surface painting</t>
  </si>
  <si>
    <t>MKN-0841</t>
  </si>
  <si>
    <t>Sand berm with Gate and Well sign height 2m wide 3m Price by linear meter</t>
  </si>
  <si>
    <t>MKN-0842</t>
  </si>
  <si>
    <t>Aluminum Scaffolding maximum 5 m length</t>
  </si>
  <si>
    <t>MKN-0843</t>
  </si>
  <si>
    <t>Well Pad 8m by 8m depth 50 cm</t>
  </si>
  <si>
    <t>MKN-0844</t>
  </si>
  <si>
    <t>Fill and remove sand from well site if more than 20 cm and max 60cm.</t>
  </si>
  <si>
    <t>MKN-0845</t>
  </si>
  <si>
    <t>Remove old sand berm and level the place.</t>
  </si>
  <si>
    <t>MKN-0846</t>
  </si>
  <si>
    <t>Wellhead dig-out team of 4 people</t>
  </si>
  <si>
    <t>MKN-0847</t>
  </si>
  <si>
    <t>4x4 Car with Driver</t>
  </si>
  <si>
    <t>MKN-0848</t>
  </si>
  <si>
    <t>Dig-out Engineer with gas monitor devices</t>
  </si>
  <si>
    <t>MKN-0849</t>
  </si>
  <si>
    <t>Accommodation and Food per one person (if not provided by client)</t>
  </si>
  <si>
    <t>MKN-0850</t>
  </si>
  <si>
    <t>Wellhead sign</t>
  </si>
  <si>
    <t>MKN-0851</t>
  </si>
  <si>
    <t>Sand berm metal gate 6m x 1.5m</t>
  </si>
  <si>
    <t>MKN-0852</t>
  </si>
  <si>
    <t>1.8m height Barbed Wire Fence installation</t>
  </si>
  <si>
    <t>MKN-0853</t>
  </si>
  <si>
    <t>Welding and Fabrication of Steel-Pipe Fence around well-site</t>
  </si>
  <si>
    <t>MKN-0854</t>
  </si>
  <si>
    <t>Reservoir/Waste Management pit, 35m x 35m x 1.8m, liquid proof, utilizing S5-Berm Polymer or enforced Synthetic polyethylene plastic</t>
  </si>
  <si>
    <t>MKN-0855</t>
  </si>
  <si>
    <t>Cellar Reinforced-Steel and Concrete Cover (Safety Box)</t>
  </si>
  <si>
    <t>LOGGING SERVICES</t>
  </si>
  <si>
    <t>MKN-0856</t>
  </si>
  <si>
    <t>Multi Barrier Corrosion Measurements for up to 4 barriers. (Minimum 3 wells).</t>
  </si>
  <si>
    <t>MKN-0857</t>
  </si>
  <si>
    <t>Noise-Log for leak detection (Minimum 3 wells).</t>
  </si>
  <si>
    <t>MKN-0858</t>
  </si>
  <si>
    <t>Mechanical Cutter for Pipe and Completion From 2.5" to 4.75" ID Current Max Thickness 0.75"</t>
  </si>
  <si>
    <t>WELL-HEAD MAINTENANCE &amp; REMEDIAL SERVICES</t>
  </si>
  <si>
    <t>MKN-0859</t>
  </si>
  <si>
    <t>Operation coordinator Commuting from CONTRACTOR base to COMPANY offices 
at Client as directed daily. (Equal Time Rotation). EXPAT</t>
  </si>
  <si>
    <t>MKN-0860</t>
  </si>
  <si>
    <t>Operation coordinator Commuting from CONTRACTOR base to COMPANY offices 
at Client as directed daily. (Equal Time Rotation). NATIONAL</t>
  </si>
  <si>
    <t>MKN-0861</t>
  </si>
  <si>
    <t>Standard Wellhead Maintenance Crew Operating Cost - Mixed crew i.e. national and expat. Crew consist of 3 to 4 Personnel.</t>
  </si>
  <si>
    <t>MKN-0862</t>
  </si>
  <si>
    <t>Standard Wellhead Maintenance Package and Crew Operating Cost - Equipment Only</t>
  </si>
  <si>
    <t>MKN-0863</t>
  </si>
  <si>
    <t>Monthly Standard Wellhead Maintenance Package and Crew Operating Cost - Equipment Only</t>
  </si>
  <si>
    <t>MKN-0864</t>
  </si>
  <si>
    <t>Standard Wellhead Maintenance Package and Crew Operating Cost - 
Mixed crew i.e. national and expat personnel-inclusive of consumables. Crew consist of 3 to 4 Personnel.</t>
  </si>
  <si>
    <t>MKN-0865</t>
  </si>
  <si>
    <t>Monthly Standard Wellhead Maintenance Package and Crew Operating Cost - 
Mixed crew i.e., national and expat personnel-inclusive of consumables. Crew consist of 3 to 4 Personnel</t>
  </si>
  <si>
    <t>MKN-0866</t>
  </si>
  <si>
    <t>Stand by Rate for Standard Wellhead Maintenance Package and Crew - Waiting on client decision</t>
  </si>
  <si>
    <t>MKN-0867</t>
  </si>
  <si>
    <t>Standard Wellhead Maintenance Package and Crew Operating Cost - 
Mixed crew i.e national and expat personnel-excluding consumables. Crew consist of 3 to 4 personnel.</t>
  </si>
  <si>
    <t>MKN-0868</t>
  </si>
  <si>
    <t>Monthly Standard Wellhead Maintenance Package and Crew Operating Cost - 
Mixed crew i.e. national and expat personnel-excluding consumables. Crew consist of 3 to 4 Personnel</t>
  </si>
  <si>
    <t>MKN-0869</t>
  </si>
  <si>
    <t>Call Off BPV/TWC/V/R Services Equipment Package and Crew Operating Cost.</t>
  </si>
  <si>
    <t>MKN-0870</t>
  </si>
  <si>
    <t>Hot Tapping Operating Cost.</t>
  </si>
  <si>
    <t>MKN-0871</t>
  </si>
  <si>
    <t>Gate Valve Drilling and Milling Operating Cost.</t>
  </si>
  <si>
    <t>MKN-0872</t>
  </si>
  <si>
    <t>Workshop Services and Personnel Package Operating Cost.</t>
  </si>
  <si>
    <t>MKN-0873</t>
  </si>
  <si>
    <t>MKN-0874</t>
  </si>
  <si>
    <t>Inventory Management Service in COMPANY facility Operating Cost.</t>
  </si>
  <si>
    <t>MKN-0875</t>
  </si>
  <si>
    <t>Monthly Inventory Management Service in COMPANY facility Operating Cost.</t>
  </si>
  <si>
    <t>PERSONNEL – WELL-HEAD SERVICES</t>
  </si>
  <si>
    <t>MKN-0876</t>
  </si>
  <si>
    <t>INSULTION ENGINEER</t>
  </si>
  <si>
    <t>MKN-0877</t>
  </si>
  <si>
    <t>SIKA TECH</t>
  </si>
  <si>
    <t>CASING EXIT WHIP-STOCK</t>
  </si>
  <si>
    <t>MKN-0878</t>
  </si>
  <si>
    <t>Whip-Stock Engineer Per Day</t>
  </si>
  <si>
    <t>MKN-0879</t>
  </si>
  <si>
    <t>Full set Whip Stock with Mechanical Anchor (2 Strips)</t>
  </si>
  <si>
    <t>MKN-0880</t>
  </si>
  <si>
    <t>Full set Whip-Stock with Mechanical Anchor (1 Strip)</t>
  </si>
  <si>
    <t>MKN-0881</t>
  </si>
  <si>
    <t>Full set Whip-Stock with Hydraulic System (2 Strips)</t>
  </si>
  <si>
    <t>MKN-0882</t>
  </si>
  <si>
    <t>Full set Whip-Stock with Hydraulic System (1 Strip)</t>
  </si>
  <si>
    <t>Prepared for Sirte Oil Company · All prices in Libyan Dinar (LYD), excluding VAT unless stated</t>
  </si>
  <si>
    <t>Fishing Services — Supervisor &amp; Transport</t>
  </si>
  <si>
    <t>Price (LYD)</t>
  </si>
  <si>
    <t>First Day (LYD)</t>
  </si>
  <si>
    <t>Add. Day (LYD)</t>
  </si>
  <si>
    <t>Reverse Circulating Jet — Tungsten Carbide Dressed Head</t>
  </si>
  <si>
    <t>Baskets — Junk (Poor Boy, Drag Tooth or Friction Type)</t>
  </si>
  <si>
    <t>Triple Connection or Canfield — Washpipe Pin</t>
  </si>
  <si>
    <t>Safety or Control Bushing</t>
  </si>
  <si>
    <t>Clamp — Safety, Drill Collar or Wireline (Min. 4 Days)</t>
  </si>
  <si>
    <t>Cutter — Inside Casing, Mechanical</t>
  </si>
  <si>
    <t>Cutter — Outside, Casing / Drill / Tubing</t>
  </si>
  <si>
    <t>Cutter — Inside Casing, Hydraulic Pressure (Conventional Carbide)</t>
  </si>
  <si>
    <t>Drilling Jars — Fishing, Hydraulic or Mechanical Jar Intensifier (First 8 Hrs / Add. Hr)</t>
  </si>
  <si>
    <t>Rotary Safety — Drill Pipe and Tubing</t>
  </si>
  <si>
    <t>"J" Type Safety, Shear Pin Type or Unlatching</t>
  </si>
  <si>
    <t>Fishing Magnets</t>
  </si>
  <si>
    <t>Mills — Dressed w/ Tungsten Carbide Inserts (Pilot)</t>
  </si>
  <si>
    <t>Mills — Cement, Junk or Bladed Type</t>
  </si>
  <si>
    <t>Mills — Cement / Concave / Flat Bottom / Hollow / Round Nose / Diamond Point / Fish Tail</t>
  </si>
  <si>
    <t>Mills — Packer, Pilot, Tapered or Watermelon</t>
  </si>
  <si>
    <t>Overshots — Series 150, Rotary Releasing and Packoff</t>
  </si>
  <si>
    <t>Overshots — Series 70 Shortcatch</t>
  </si>
  <si>
    <t>Guides — Oversize, Donut or Extra</t>
  </si>
  <si>
    <t>Guides — Wall Hook</t>
  </si>
  <si>
    <t>Washover Spears / Related</t>
  </si>
  <si>
    <t>Bull / Bull Nose</t>
  </si>
  <si>
    <t>Lift (Used with Washpipe)</t>
  </si>
  <si>
    <t>Reamers — 3 &amp; 4 Blade (Conventional Fishing, Hard Metal Dressed)</t>
  </si>
  <si>
    <t>Saw</t>
  </si>
  <si>
    <t>Casing Scraper</t>
  </si>
  <si>
    <t>Shoes — Rotary or Washpipe (Crushed Tungsten Carbide)</t>
  </si>
  <si>
    <t>Rope Center, Multi-Prong or Latch Jack</t>
  </si>
  <si>
    <t>Rotary Releasing and "J"-Type — Full Circle</t>
  </si>
  <si>
    <t>Spear Pack-Off Assembly</t>
  </si>
  <si>
    <t>Subs (Rotary and Bit)</t>
  </si>
  <si>
    <t>Die Collars &amp; Tapered (up to 30" Long)</t>
  </si>
  <si>
    <t>Redress Charges — Fishing Jars &amp; Bumper Subs</t>
  </si>
  <si>
    <t>Redress Charges — Impression Blocks &amp; Junk Baskets</t>
  </si>
  <si>
    <t>Skirted Mills &amp; Refill Charges</t>
  </si>
  <si>
    <t>Cable Spears, Overshot Redress &amp; Inspection</t>
  </si>
  <si>
    <t>Bailers, Clamps, Elevators &amp; Safety Joints</t>
  </si>
  <si>
    <t>Magnets &amp; Drappels</t>
  </si>
  <si>
    <t>Flat Bottom Mills</t>
  </si>
  <si>
    <t>Jar Intensifier, Releasing Spears &amp; Taper Mills</t>
  </si>
  <si>
    <t>Per Day (LYD)</t>
  </si>
  <si>
    <t>Each Add. Day (LYD)</t>
  </si>
  <si>
    <t>B.  PACKERS, BRIDGE PLUGS &amp; SETTING TOOLS</t>
  </si>
  <si>
    <t>Retrievable Bridge Plug (Run with Another Makaman Packer)</t>
  </si>
  <si>
    <t>Mechanical Setting Tools &amp; Accessories</t>
  </si>
  <si>
    <t>Drillable Cement Retainers &amp; Bridge Plug Packer — Sales (per Casing OD)</t>
  </si>
  <si>
    <t>C.  ESP PACKERS &amp; DRILLING TOOLS</t>
  </si>
  <si>
    <t>Hydrov II ESP Packer &amp; Accessory Seal Items</t>
  </si>
  <si>
    <t>Hydrov II ESP Packer Cable Penetrator</t>
  </si>
  <si>
    <t>Hydrov II ESP Packer — Spare Parts</t>
  </si>
  <si>
    <t>Open Hole Drilling Tools (per Day)</t>
  </si>
  <si>
    <t>D.  FILTRATION SERVICES</t>
  </si>
  <si>
    <t>Filtration Unit — Personnel, Equipment &amp; Consumables</t>
  </si>
  <si>
    <t>Equipment Rental — Tongs &amp; Power Unit</t>
  </si>
  <si>
    <t>Footage Charges</t>
  </si>
  <si>
    <t>RIH / Foot (LYD)</t>
  </si>
  <si>
    <t>POOH / Foot (LYD)</t>
  </si>
  <si>
    <t>Personnel Charges</t>
  </si>
  <si>
    <t>F.  CEMENTING &amp; STIMULATION CHEMICALS</t>
  </si>
  <si>
    <t>Class "G" Cement (94 lbs/cuft)</t>
  </si>
  <si>
    <t>Additional Cement Types — LiteWate Blend</t>
  </si>
  <si>
    <t>Cement Additives — Accelerator</t>
  </si>
  <si>
    <t>Cement Additives — Fluid Loss</t>
  </si>
  <si>
    <t>Cement Additives — Dispersant</t>
  </si>
  <si>
    <t>Inhibitors</t>
  </si>
  <si>
    <t>Inhibitor Intensifier</t>
  </si>
  <si>
    <t>Surfactant</t>
  </si>
  <si>
    <t>Fluid Loss Additives</t>
  </si>
  <si>
    <t>Solvents</t>
  </si>
  <si>
    <t>Demulsifier</t>
  </si>
  <si>
    <t>G.  CONSULTANCY PERSONNEL</t>
  </si>
  <si>
    <t>Consultancy Personnel Rental</t>
  </si>
  <si>
    <t>H.  GENERAL TERMS &amp; CONDITIONS</t>
  </si>
  <si>
    <t>Terms &amp; Conditions</t>
  </si>
  <si>
    <t>Revenue Code</t>
  </si>
  <si>
    <t>Service Ticket (Original)</t>
  </si>
  <si>
    <t>Customer:</t>
  </si>
  <si>
    <t>HAROUGE</t>
  </si>
  <si>
    <t>Ticket NO:</t>
  </si>
  <si>
    <t>Field Name:</t>
  </si>
  <si>
    <t>GHANI</t>
  </si>
  <si>
    <t>Well No:</t>
  </si>
  <si>
    <t>VVV08-11</t>
  </si>
  <si>
    <t>M. Gomoha , Abdsalam</t>
  </si>
  <si>
    <t>Rig Name:</t>
  </si>
  <si>
    <t>ADC#27</t>
  </si>
  <si>
    <t>Start Job:</t>
  </si>
  <si>
    <t>Mileage (Km):</t>
  </si>
  <si>
    <t>End Job:</t>
  </si>
  <si>
    <t>Item no.</t>
  </si>
  <si>
    <t>Item Description</t>
  </si>
  <si>
    <t>Qty</t>
  </si>
  <si>
    <t>MKN-1801</t>
  </si>
  <si>
    <t>Pick-up with tools traveling to wells, per KM.</t>
  </si>
  <si>
    <t>MKN-1804</t>
  </si>
  <si>
    <t>Supervisor or Engineer, per day or fraction</t>
  </si>
  <si>
    <t>Day</t>
  </si>
  <si>
    <t>MKN-1828</t>
  </si>
  <si>
    <t>Retrievable Bridg Plug Size thru 7'': First  Day</t>
  </si>
  <si>
    <t>MKN-1829</t>
  </si>
  <si>
    <t>Retrievable Bridg Plug Size thru 7'': After First  Day</t>
  </si>
  <si>
    <t>MKN-1808</t>
  </si>
  <si>
    <t xml:space="preserve">Packer Size thru 7'': First Day </t>
  </si>
  <si>
    <t>MKN-1809</t>
  </si>
  <si>
    <t xml:space="preserve">Packer Size thru 7'': After First Day </t>
  </si>
  <si>
    <t>MKN-1963</t>
  </si>
  <si>
    <t>Discount 60%</t>
  </si>
  <si>
    <t>Customer or his agent</t>
  </si>
  <si>
    <t>MAKAMAN LIBYA</t>
  </si>
  <si>
    <t>Representative Signature</t>
  </si>
  <si>
    <t>Job Log (Original)</t>
  </si>
  <si>
    <t>Ticket No:</t>
  </si>
  <si>
    <t>Field:</t>
  </si>
  <si>
    <t>Job Type:</t>
  </si>
  <si>
    <t>Customer Rep.</t>
  </si>
  <si>
    <t>Workover Office</t>
  </si>
  <si>
    <t>Job Supervisor:</t>
  </si>
  <si>
    <t>Start Job</t>
  </si>
  <si>
    <t>End Job</t>
  </si>
  <si>
    <t>Date</t>
  </si>
  <si>
    <t>Time</t>
  </si>
  <si>
    <t>Pressure</t>
  </si>
  <si>
    <t xml:space="preserve">Total </t>
  </si>
  <si>
    <t>Details of the Job</t>
  </si>
  <si>
    <t>M/Up 7''( RBP &amp; PKR) &amp;  RIH</t>
  </si>
  <si>
    <t>Set 7'' RBP@5250ft,Set 7'' PKR @5200ft, P/T 500psi BTW..Good</t>
  </si>
  <si>
    <t>Set 7'' PKR@(5015)ft , Injectivity Test</t>
  </si>
  <si>
    <t xml:space="preserve"> POOH with 7" PKR &amp; Overshot.</t>
  </si>
  <si>
    <t>Cement Job Operation.</t>
  </si>
  <si>
    <t>RIH 7'' PKR ,</t>
  </si>
  <si>
    <t>Set 7'' PKR @ 5008ft, P/T Good  Test</t>
  </si>
  <si>
    <t>Unset 7'' PKT &amp; POOH .</t>
  </si>
  <si>
    <t>7'' PKR On  Surface</t>
  </si>
  <si>
    <t>RIH 7" Overshot</t>
  </si>
  <si>
    <t>Unset 7" RBP &amp; POOH</t>
  </si>
  <si>
    <t xml:space="preserve">RBP on surface </t>
  </si>
  <si>
    <t>MAKAMAN Libya</t>
  </si>
  <si>
    <t>MAKAMAN LIBYA COMPANY For Sirte Oil Company</t>
  </si>
  <si>
    <t>MAKAMAN LIBYA COMPANY For Zueitina Oil Company</t>
  </si>
  <si>
    <t>MAKAMAN LIBYA COMPANY For Harouge Oil Operations</t>
  </si>
  <si>
    <t>MAKAMAN LIBYA COMPANY For AGOCO</t>
  </si>
  <si>
    <t>MAKAMAN LIBYA COMPANY For Waha</t>
  </si>
  <si>
    <t>Base Location:</t>
  </si>
  <si>
    <t>Unit Cost</t>
  </si>
  <si>
    <t>Total Cost</t>
  </si>
  <si>
    <t xml:space="preserve"> Total =</t>
  </si>
  <si>
    <t>Operational Base Coordinates: Awjilah (+29.107970, +21.376782)</t>
  </si>
  <si>
    <r>
      <rPr>
        <sz val="11"/>
        <color indexed="8"/>
        <rFont val="Aptos"/>
        <family val="2"/>
      </rPr>
      <t>DESERT/MARINE</t>
    </r>
    <r>
      <rPr>
        <sz val="11"/>
        <rFont val="Aptos"/>
        <family val="2"/>
      </rPr>
      <t xml:space="preserve"> Surchargeadd to all invoices</t>
    </r>
  </si>
  <si>
    <t>MKN Supervisor:</t>
  </si>
  <si>
    <t>km (Round Trip)</t>
  </si>
  <si>
    <t>Service Ticket (Copy)</t>
  </si>
  <si>
    <t>Arrived To Location</t>
  </si>
  <si>
    <t>Job Log (Copy)</t>
  </si>
  <si>
    <t xml:space="preserve"> 7'' Combination For CSG Test &amp; Cement Job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</si>
</sst>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_);[Red]\(&quot;$&quot;#,##0.00\)"/>
    <numFmt numFmtId="44" formatCode="_(&quot;$&quot;* #,##0.00_);_(&quot;$&quot;* \(#,##0.00\);_(&quot;$&quot;* &quot;-&quot;??_);_(@_)"/>
    <numFmt numFmtId="164" formatCode="dd\ mmm\ yyyy"/>
    <numFmt numFmtId="165" formatCode="&quot;$&quot;#,##0.00"/>
    <numFmt numFmtId="166" formatCode="[$-409]d\-mmm\-yyyy;@"/>
    <numFmt numFmtId="167" formatCode="&quot;$&quot;#,##0.000"/>
    <numFmt numFmtId="168" formatCode="_-[$$-409]* #,##0.00_ ;_-[$$-409]* \-#,##0.00\ ;_-[$$-409]* &quot;-&quot;??_ ;_-@_ "/>
  </numFmts>
  <fonts count="61" x14ac:knownFonts="1">
    <font>
      <sz val="11"/>
      <color theme="1"/>
      <name val="Calibri"/>
      <family val="2"/>
      <scheme val="minor"/>
    </font>
    <font>
      <sz val="11"/>
      <color theme="1"/>
      <name val="Calibri"/>
      <family val="2"/>
      <scheme val="minor"/>
    </font>
    <font>
      <b/>
      <sz val="11"/>
      <color rgb="FF3F3F3F"/>
      <name val="Calibri"/>
      <family val="2"/>
      <scheme val="minor"/>
    </font>
    <font>
      <u/>
      <sz val="11"/>
      <color theme="10"/>
      <name val="Calibri"/>
      <family val="2"/>
      <scheme val="minor"/>
    </font>
    <font>
      <sz val="9"/>
      <color rgb="FF262626"/>
      <name val="Calibri"/>
      <family val="2"/>
      <scheme val="minor"/>
    </font>
    <font>
      <sz val="11"/>
      <color rgb="FF595959"/>
      <name val="Calibri"/>
      <family val="2"/>
      <scheme val="minor"/>
    </font>
    <font>
      <i/>
      <sz val="9"/>
      <color rgb="FF808080"/>
      <name val="Calibri"/>
      <family val="2"/>
      <scheme val="minor"/>
    </font>
    <font>
      <b/>
      <sz val="9"/>
      <color rgb="FF262626"/>
      <name val="Calibri"/>
      <family val="2"/>
      <scheme val="minor"/>
    </font>
    <font>
      <b/>
      <sz val="12"/>
      <color rgb="FF000000"/>
      <name val="Calibri"/>
      <family val="2"/>
      <scheme val="minor"/>
    </font>
    <font>
      <sz val="8"/>
      <color rgb="FF808080"/>
      <name val="Calibri"/>
      <family val="2"/>
      <scheme val="minor"/>
    </font>
    <font>
      <b/>
      <sz val="10"/>
      <color rgb="FF262626"/>
      <name val="Calibri"/>
      <family val="2"/>
      <scheme val="minor"/>
    </font>
    <font>
      <b/>
      <sz val="8.5"/>
      <color rgb="FF262626"/>
      <name val="Calibri"/>
      <family val="2"/>
      <scheme val="minor"/>
    </font>
    <font>
      <i/>
      <sz val="8.5"/>
      <color rgb="FF595959"/>
      <name val="Calibri"/>
      <family val="2"/>
      <scheme val="minor"/>
    </font>
    <font>
      <b/>
      <sz val="16"/>
      <color rgb="FF262626"/>
      <name val="Calibri"/>
      <scheme val="minor"/>
    </font>
    <font>
      <sz val="11"/>
      <color rgb="FF595959"/>
      <name val="Calibri"/>
      <scheme val="minor"/>
    </font>
    <font>
      <i/>
      <sz val="9"/>
      <color rgb="FF808080"/>
      <name val="Calibri"/>
      <scheme val="minor"/>
    </font>
    <font>
      <b/>
      <sz val="9"/>
      <color rgb="FF262626"/>
      <name val="Calibri"/>
      <scheme val="minor"/>
    </font>
    <font>
      <sz val="9"/>
      <color rgb="FF262626"/>
      <name val="Calibri"/>
      <scheme val="minor"/>
    </font>
    <font>
      <b/>
      <sz val="12"/>
      <color rgb="FF262626"/>
      <name val="Calibri"/>
      <scheme val="minor"/>
    </font>
    <font>
      <u/>
      <sz val="8"/>
      <color rgb="FF808080"/>
      <name val="Calibri"/>
      <family val="2"/>
      <scheme val="minor"/>
    </font>
    <font>
      <b/>
      <sz val="10"/>
      <color rgb="FF262626"/>
      <name val="Calibri"/>
      <scheme val="minor"/>
    </font>
    <font>
      <b/>
      <sz val="8.5"/>
      <color rgb="FF262626"/>
      <name val="Calibri"/>
      <scheme val="minor"/>
    </font>
    <font>
      <i/>
      <sz val="8.5"/>
      <color rgb="FF595959"/>
      <name val="Calibri"/>
      <scheme val="minor"/>
    </font>
    <font>
      <sz val="11"/>
      <color rgb="FF262626"/>
      <name val="Calibri"/>
      <scheme val="minor"/>
    </font>
    <font>
      <i/>
      <sz val="9"/>
      <color rgb="FF262626"/>
      <name val="Calibri"/>
      <scheme val="minor"/>
    </font>
    <font>
      <b/>
      <sz val="11"/>
      <color rgb="FF262626"/>
      <name val="Calibri"/>
      <scheme val="minor"/>
    </font>
    <font>
      <sz val="8"/>
      <color rgb="FF808080"/>
      <name val="Calibri"/>
      <scheme val="minor"/>
    </font>
    <font>
      <sz val="10"/>
      <color rgb="FF262626"/>
      <name val="Calibri"/>
      <family val="2"/>
      <scheme val="minor"/>
    </font>
    <font>
      <b/>
      <sz val="10"/>
      <color rgb="FF000000"/>
      <name val="Calibri"/>
      <family val="2"/>
      <scheme val="minor"/>
    </font>
    <font>
      <b/>
      <sz val="8.5"/>
      <color rgb="FF000000"/>
      <name val="Calibri"/>
      <family val="2"/>
      <scheme val="minor"/>
    </font>
    <font>
      <sz val="8.5"/>
      <color rgb="FF262626"/>
      <name val="Calibri"/>
      <family val="2"/>
      <scheme val="minor"/>
    </font>
    <font>
      <i/>
      <sz val="9"/>
      <color rgb="FF595959"/>
      <name val="Calibri"/>
      <family val="2"/>
      <scheme val="minor"/>
    </font>
    <font>
      <b/>
      <sz val="13"/>
      <color rgb="FFFFFFFF"/>
      <name val="Calibri"/>
      <family val="2"/>
    </font>
    <font>
      <b/>
      <sz val="11"/>
      <color rgb="FF1F3864"/>
      <name val="Calibri"/>
      <family val="2"/>
    </font>
    <font>
      <sz val="10"/>
      <color rgb="FF000000"/>
      <name val="Calibri"/>
      <family val="2"/>
    </font>
    <font>
      <sz val="10"/>
      <color theme="1"/>
      <name val="Calibri"/>
      <family val="2"/>
      <scheme val="minor"/>
    </font>
    <font>
      <b/>
      <sz val="10"/>
      <color theme="1"/>
      <name val="Calibri"/>
      <family val="2"/>
      <scheme val="minor"/>
    </font>
    <font>
      <b/>
      <u/>
      <sz val="13"/>
      <color rgb="FFFFFFFF"/>
      <name val="Calibri"/>
      <family val="2"/>
    </font>
    <font>
      <b/>
      <sz val="14"/>
      <color rgb="FFFFFFFF"/>
      <name val="Calibri"/>
      <family val="2"/>
    </font>
    <font>
      <sz val="10"/>
      <name val="Calibri"/>
      <family val="2"/>
      <scheme val="minor"/>
    </font>
    <font>
      <b/>
      <sz val="10"/>
      <color rgb="FF000000"/>
      <name val="Calibri"/>
      <family val="2"/>
    </font>
    <font>
      <sz val="10"/>
      <name val="Calibri"/>
      <family val="2"/>
    </font>
    <font>
      <sz val="10"/>
      <color theme="1"/>
      <name val="Arial"/>
      <family val="2"/>
    </font>
    <font>
      <sz val="10"/>
      <color theme="0"/>
      <name val="Arial"/>
      <family val="2"/>
    </font>
    <font>
      <sz val="10"/>
      <name val="Arial"/>
      <family val="2"/>
    </font>
    <font>
      <sz val="10"/>
      <color theme="1"/>
      <name val="Calibri Light"/>
      <family val="1"/>
      <scheme val="major"/>
    </font>
    <font>
      <b/>
      <sz val="16"/>
      <color indexed="8"/>
      <name val="Aptos"/>
      <family val="2"/>
    </font>
    <font>
      <sz val="10"/>
      <color theme="1"/>
      <name val="Aptos"/>
      <family val="2"/>
    </font>
    <font>
      <b/>
      <sz val="10"/>
      <color theme="1"/>
      <name val="Aptos"/>
      <family val="2"/>
    </font>
    <font>
      <sz val="11"/>
      <color theme="1"/>
      <name val="Aptos"/>
      <family val="2"/>
    </font>
    <font>
      <b/>
      <sz val="14"/>
      <color theme="1"/>
      <name val="Aptos"/>
      <family val="2"/>
    </font>
    <font>
      <b/>
      <sz val="11"/>
      <color theme="1"/>
      <name val="Aptos"/>
      <family val="2"/>
    </font>
    <font>
      <b/>
      <sz val="12"/>
      <color theme="1"/>
      <name val="Aptos"/>
      <family val="2"/>
    </font>
    <font>
      <sz val="11"/>
      <name val="Aptos"/>
      <family val="2"/>
    </font>
    <font>
      <sz val="11"/>
      <color indexed="8"/>
      <name val="Aptos"/>
      <family val="2"/>
    </font>
    <font>
      <b/>
      <sz val="36"/>
      <color theme="1"/>
      <name val="Aptos"/>
      <family val="2"/>
    </font>
    <font>
      <sz val="9"/>
      <color theme="1"/>
      <name val="Aptos"/>
      <family val="2"/>
    </font>
    <font>
      <sz val="10"/>
      <name val="Aptos"/>
      <family val="2"/>
    </font>
    <font>
      <b/>
      <sz val="10"/>
      <name val="Aptos"/>
      <family val="2"/>
    </font>
    <font>
      <b/>
      <sz val="36"/>
      <name val="Aptos"/>
      <family val="2"/>
    </font>
    <font>
      <b/>
      <sz val="11"/>
      <name val="Aptos"/>
      <family val="2"/>
    </font>
  </fonts>
  <fills count="16">
    <fill>
      <patternFill patternType="none"/>
    </fill>
    <fill>
      <patternFill patternType="gray125"/>
    </fill>
    <fill>
      <patternFill patternType="solid">
        <fgColor rgb="FFF2F2F2"/>
        <bgColor indexed="64"/>
      </patternFill>
    </fill>
    <fill>
      <patternFill patternType="solid">
        <fgColor rgb="FFFFFF00"/>
        <bgColor indexed="64"/>
      </patternFill>
    </fill>
    <fill>
      <patternFill patternType="solid">
        <fgColor rgb="FF1F3864"/>
      </patternFill>
    </fill>
    <fill>
      <patternFill patternType="solid">
        <fgColor rgb="FFD9E2F3"/>
      </patternFill>
    </fill>
    <fill>
      <patternFill patternType="solid">
        <fgColor rgb="FFFFFFFF"/>
      </patternFill>
    </fill>
    <fill>
      <patternFill patternType="solid">
        <fgColor rgb="FFF2F5FB"/>
      </patternFill>
    </fill>
    <fill>
      <patternFill patternType="solid">
        <fgColor theme="9" tint="0.59999389629810485"/>
        <bgColor indexed="64"/>
      </patternFill>
    </fill>
    <fill>
      <patternFill patternType="solid">
        <fgColor theme="0"/>
        <bgColor indexed="64"/>
      </patternFill>
    </fill>
    <fill>
      <patternFill patternType="solid">
        <fgColor theme="0" tint="-0.14996795556505021"/>
        <bgColor indexed="64"/>
      </patternFill>
    </fill>
    <fill>
      <patternFill patternType="solid">
        <fgColor indexed="9"/>
        <bgColor indexed="64"/>
      </patternFill>
    </fill>
    <fill>
      <patternFill patternType="solid">
        <fgColor theme="2" tint="-0.249977111117893"/>
        <bgColor indexed="64"/>
      </patternFill>
    </fill>
    <fill>
      <patternFill patternType="solid">
        <fgColor theme="5" tint="0.59999389629810485"/>
        <bgColor indexed="64"/>
      </patternFill>
    </fill>
    <fill>
      <patternFill patternType="solid">
        <fgColor rgb="FFF8CBAD"/>
        <bgColor indexed="64"/>
      </patternFill>
    </fill>
    <fill>
      <patternFill patternType="solid">
        <fgColor rgb="FFFCE4D6"/>
        <bgColor indexed="64"/>
      </patternFill>
    </fill>
  </fills>
  <borders count="58">
    <border>
      <left/>
      <right/>
      <top/>
      <bottom/>
      <diagonal/>
    </border>
    <border>
      <left style="thin">
        <color rgb="FF3F3F3F"/>
      </left>
      <right style="thin">
        <color rgb="FF3F3F3F"/>
      </right>
      <top style="thin">
        <color rgb="FF3F3F3F"/>
      </top>
      <bottom style="thin">
        <color rgb="FF3F3F3F"/>
      </bottom>
      <diagonal/>
    </border>
    <border>
      <left/>
      <right/>
      <top/>
      <bottom style="thin">
        <color rgb="FFBFBFBF"/>
      </bottom>
      <diagonal/>
    </border>
    <border>
      <left/>
      <right/>
      <top/>
      <bottom style="thick">
        <color rgb="FF000000"/>
      </bottom>
      <diagonal/>
    </border>
    <border>
      <left/>
      <right/>
      <top style="thin">
        <color rgb="FF000000"/>
      </top>
      <bottom style="thin">
        <color rgb="FFE6E6E6"/>
      </bottom>
      <diagonal/>
    </border>
    <border>
      <left/>
      <right/>
      <top style="thin">
        <color rgb="FFE6E6E6"/>
      </top>
      <bottom style="thin">
        <color rgb="FFE6E6E6"/>
      </bottom>
      <diagonal/>
    </border>
    <border>
      <left/>
      <right/>
      <top style="thin">
        <color rgb="FF000000"/>
      </top>
      <bottom/>
      <diagonal/>
    </border>
    <border>
      <left/>
      <right/>
      <top style="thin">
        <color rgb="FFE6E6E6"/>
      </top>
      <bottom/>
      <diagonal/>
    </border>
    <border>
      <left/>
      <right/>
      <top style="thick">
        <color rgb="FF262626"/>
      </top>
      <bottom style="thin">
        <color rgb="FFE6E6E6"/>
      </bottom>
      <diagonal/>
    </border>
    <border>
      <left/>
      <right/>
      <top style="thin">
        <color rgb="FF262626"/>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0"/>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right/>
      <top style="thin">
        <color theme="1"/>
      </top>
      <bottom style="thin">
        <color theme="0"/>
      </bottom>
      <diagonal/>
    </border>
    <border>
      <left/>
      <right/>
      <top style="thin">
        <color theme="0"/>
      </top>
      <bottom/>
      <diagonal/>
    </border>
    <border>
      <left style="thin">
        <color indexed="64"/>
      </left>
      <right style="thin">
        <color indexed="64"/>
      </right>
      <top style="thin">
        <color theme="0"/>
      </top>
      <bottom style="thin">
        <color theme="1"/>
      </bottom>
      <diagonal/>
    </border>
    <border>
      <left style="thin">
        <color theme="0"/>
      </left>
      <right style="thin">
        <color theme="0"/>
      </right>
      <top style="thin">
        <color indexed="64"/>
      </top>
      <bottom/>
      <diagonal/>
    </border>
    <border>
      <left style="thin">
        <color indexed="64"/>
      </left>
      <right style="thin">
        <color indexed="64"/>
      </right>
      <top/>
      <bottom style="thin">
        <color theme="0"/>
      </bottom>
      <diagonal/>
    </border>
    <border>
      <left/>
      <right/>
      <top/>
      <bottom style="thin">
        <color theme="0"/>
      </bottom>
      <diagonal/>
    </border>
    <border>
      <left/>
      <right style="thin">
        <color indexed="64"/>
      </right>
      <top/>
      <bottom style="thin">
        <color theme="0"/>
      </bottom>
      <diagonal/>
    </border>
    <border>
      <left style="thin">
        <color indexed="64"/>
      </left>
      <right style="thin">
        <color indexed="64"/>
      </right>
      <top style="thin">
        <color theme="0"/>
      </top>
      <bottom style="thin">
        <color theme="0"/>
      </bottom>
      <diagonal/>
    </border>
    <border>
      <left/>
      <right/>
      <top style="thin">
        <color theme="0"/>
      </top>
      <bottom style="thin">
        <color theme="0"/>
      </bottom>
      <diagonal/>
    </border>
    <border>
      <left/>
      <right style="thin">
        <color indexed="64"/>
      </right>
      <top style="thin">
        <color theme="0"/>
      </top>
      <bottom style="thin">
        <color theme="0"/>
      </bottom>
      <diagonal/>
    </border>
    <border>
      <left style="thin">
        <color theme="0"/>
      </left>
      <right style="thin">
        <color theme="0"/>
      </right>
      <top/>
      <bottom style="thin">
        <color indexed="64"/>
      </bottom>
      <diagonal/>
    </border>
    <border>
      <left/>
      <right style="thin">
        <color theme="1"/>
      </right>
      <top/>
      <bottom style="thin">
        <color theme="1"/>
      </bottom>
      <diagonal/>
    </border>
    <border>
      <left/>
      <right style="thin">
        <color indexed="64"/>
      </right>
      <top style="thin">
        <color indexed="64"/>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medium">
        <color indexed="64"/>
      </left>
      <right style="thin">
        <color theme="0"/>
      </right>
      <top/>
      <bottom style="thin">
        <color theme="0"/>
      </bottom>
      <diagonal/>
    </border>
    <border>
      <left style="thin">
        <color theme="0"/>
      </left>
      <right style="thin">
        <color theme="0"/>
      </right>
      <top/>
      <bottom/>
      <diagonal/>
    </border>
    <border>
      <left/>
      <right style="medium">
        <color indexed="64"/>
      </right>
      <top/>
      <bottom/>
      <diagonal/>
    </border>
    <border>
      <left style="medium">
        <color indexed="64"/>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medium">
        <color indexed="64"/>
      </right>
      <top style="thin">
        <color theme="0"/>
      </top>
      <bottom style="thin">
        <color theme="0"/>
      </bottom>
      <diagonal/>
    </border>
    <border>
      <left style="medium">
        <color indexed="64"/>
      </left>
      <right style="thin">
        <color theme="0"/>
      </right>
      <top/>
      <bottom/>
      <diagonal/>
    </border>
    <border>
      <left style="thin">
        <color theme="0"/>
      </left>
      <right style="thin">
        <color theme="0"/>
      </right>
      <top style="thin">
        <color theme="0"/>
      </top>
      <bottom style="thin">
        <color theme="0"/>
      </bottom>
      <diagonal/>
    </border>
    <border>
      <left style="medium">
        <color indexed="64"/>
      </left>
      <right/>
      <top/>
      <bottom/>
      <diagonal/>
    </border>
    <border>
      <left style="thin">
        <color theme="0"/>
      </left>
      <right style="medium">
        <color indexed="64"/>
      </right>
      <top/>
      <bottom style="thin">
        <color theme="0"/>
      </bottom>
      <diagonal/>
    </border>
    <border>
      <left style="medium">
        <color indexed="64"/>
      </left>
      <right style="thin">
        <color theme="0"/>
      </right>
      <top style="thin">
        <color theme="0"/>
      </top>
      <bottom/>
      <diagonal/>
    </border>
    <border>
      <left style="medium">
        <color indexed="64"/>
      </left>
      <right/>
      <top style="thin">
        <color theme="0"/>
      </top>
      <bottom style="medium">
        <color indexed="64"/>
      </bottom>
      <diagonal/>
    </border>
    <border>
      <left/>
      <right style="thin">
        <color theme="0"/>
      </right>
      <top style="thin">
        <color theme="0"/>
      </top>
      <bottom style="medium">
        <color indexed="64"/>
      </bottom>
      <diagonal/>
    </border>
    <border>
      <left/>
      <right style="medium">
        <color indexed="64"/>
      </right>
      <top/>
      <bottom style="medium">
        <color indexed="64"/>
      </bottom>
      <diagonal/>
    </border>
    <border>
      <left/>
      <right/>
      <top style="thin">
        <color theme="0"/>
      </top>
      <bottom style="thin">
        <color indexed="64"/>
      </bottom>
      <diagonal/>
    </border>
    <border>
      <left/>
      <right/>
      <top/>
      <bottom style="thick">
        <color rgb="FF262626"/>
      </bottom>
      <diagonal/>
    </border>
    <border>
      <left/>
      <right/>
      <top style="thin">
        <color rgb="FF262626"/>
      </top>
      <bottom style="thin">
        <color rgb="FFE6E6E6"/>
      </bottom>
      <diagonal/>
    </border>
  </borders>
  <cellStyleXfs count="6">
    <xf numFmtId="0" fontId="0" fillId="0" borderId="0"/>
    <xf numFmtId="0" fontId="3" fillId="0" borderId="0" applyNumberFormat="0" applyFill="0" applyBorder="0" applyAlignment="0" applyProtection="0"/>
    <xf numFmtId="44" fontId="1" fillId="0" borderId="0"/>
    <xf numFmtId="0" fontId="42" fillId="0" borderId="0"/>
    <xf numFmtId="0" fontId="2" fillId="2" borderId="1" applyNumberFormat="0" applyAlignment="0" applyProtection="0"/>
    <xf numFmtId="0" fontId="44" fillId="0" borderId="0"/>
  </cellStyleXfs>
  <cellXfs count="538">
    <xf numFmtId="0" fontId="0" fillId="0" borderId="0" xfId="0"/>
    <xf numFmtId="0" fontId="4" fillId="0" borderId="0" xfId="0" applyFont="1" applyAlignment="1">
      <alignment wrapText="1"/>
    </xf>
    <xf numFmtId="0" fontId="4" fillId="0" borderId="0" xfId="0" applyFont="1" applyAlignment="1">
      <alignment horizontal="left"/>
    </xf>
    <xf numFmtId="0" fontId="5" fillId="0" borderId="0" xfId="0" applyFont="1"/>
    <xf numFmtId="0" fontId="6" fillId="0" borderId="0" xfId="0" applyFont="1"/>
    <xf numFmtId="0" fontId="4" fillId="0" borderId="0" xfId="0" applyFont="1"/>
    <xf numFmtId="0" fontId="7" fillId="0" borderId="2" xfId="0" applyFont="1" applyBorder="1" applyAlignment="1">
      <alignment wrapText="1"/>
    </xf>
    <xf numFmtId="0" fontId="4" fillId="0" borderId="2" xfId="0" applyFont="1" applyBorder="1" applyAlignment="1">
      <alignment horizontal="left"/>
    </xf>
    <xf numFmtId="0" fontId="7" fillId="0" borderId="2" xfId="0" applyFont="1" applyBorder="1" applyAlignment="1">
      <alignment horizontal="left"/>
    </xf>
    <xf numFmtId="4" fontId="4" fillId="0" borderId="0" xfId="0" applyNumberFormat="1" applyFont="1" applyAlignment="1">
      <alignment horizontal="right"/>
    </xf>
    <xf numFmtId="0" fontId="8" fillId="0" borderId="3" xfId="0" applyFont="1" applyBorder="1"/>
    <xf numFmtId="0" fontId="8" fillId="0" borderId="3" xfId="0" applyFont="1" applyBorder="1" applyAlignment="1">
      <alignment wrapText="1"/>
    </xf>
    <xf numFmtId="4" fontId="8" fillId="0" borderId="3" xfId="0" applyNumberFormat="1" applyFont="1" applyBorder="1" applyAlignment="1">
      <alignment horizontal="right" wrapText="1"/>
    </xf>
    <xf numFmtId="4" fontId="8" fillId="0" borderId="3" xfId="0" applyNumberFormat="1" applyFont="1" applyBorder="1" applyAlignment="1">
      <alignment horizontal="right"/>
    </xf>
    <xf numFmtId="4" fontId="9" fillId="0" borderId="3" xfId="1" applyNumberFormat="1" applyFont="1" applyBorder="1" applyAlignment="1">
      <alignment horizontal="right"/>
    </xf>
    <xf numFmtId="4" fontId="4" fillId="0" borderId="0" xfId="0" applyNumberFormat="1" applyFont="1" applyAlignment="1">
      <alignment horizontal="right" wrapText="1"/>
    </xf>
    <xf numFmtId="0" fontId="10" fillId="2" borderId="0" xfId="0" applyFont="1" applyFill="1" applyAlignment="1">
      <alignment vertical="center"/>
    </xf>
    <xf numFmtId="0" fontId="10" fillId="2" borderId="0" xfId="0" applyFont="1" applyFill="1" applyAlignment="1">
      <alignment vertical="center" wrapText="1"/>
    </xf>
    <xf numFmtId="4" fontId="10" fillId="2" borderId="0" xfId="0" applyNumberFormat="1" applyFont="1" applyFill="1" applyAlignment="1">
      <alignment horizontal="right" vertical="center" wrapText="1"/>
    </xf>
    <xf numFmtId="4" fontId="10" fillId="2" borderId="0" xfId="0" applyNumberFormat="1" applyFont="1" applyFill="1" applyAlignment="1">
      <alignment horizontal="right" vertical="center"/>
    </xf>
    <xf numFmtId="0" fontId="11" fillId="0" borderId="0" xfId="0" applyFont="1" applyAlignment="1">
      <alignment wrapText="1"/>
    </xf>
    <xf numFmtId="4" fontId="11" fillId="0" borderId="0" xfId="0" applyNumberFormat="1" applyFont="1" applyAlignment="1">
      <alignment horizontal="right" wrapText="1"/>
    </xf>
    <xf numFmtId="0" fontId="4" fillId="0" borderId="4" xfId="0" applyFont="1" applyBorder="1" applyAlignment="1">
      <alignment vertical="top"/>
    </xf>
    <xf numFmtId="0" fontId="4" fillId="0" borderId="4" xfId="0" applyFont="1" applyBorder="1" applyAlignment="1">
      <alignment vertical="top" wrapText="1"/>
    </xf>
    <xf numFmtId="4" fontId="4" fillId="0" borderId="4" xfId="0" applyNumberFormat="1" applyFont="1" applyBorder="1" applyAlignment="1">
      <alignment horizontal="right" vertical="top" wrapText="1"/>
    </xf>
    <xf numFmtId="4" fontId="4" fillId="0" borderId="4" xfId="0" applyNumberFormat="1" applyFont="1" applyBorder="1" applyAlignment="1">
      <alignment horizontal="right" vertical="top"/>
    </xf>
    <xf numFmtId="0" fontId="4" fillId="0" borderId="5" xfId="0" applyFont="1" applyBorder="1" applyAlignment="1">
      <alignment vertical="top"/>
    </xf>
    <xf numFmtId="0" fontId="4" fillId="0" borderId="5" xfId="0" applyFont="1" applyBorder="1" applyAlignment="1">
      <alignment vertical="top" wrapText="1"/>
    </xf>
    <xf numFmtId="4" fontId="4" fillId="0" borderId="5" xfId="0" applyNumberFormat="1" applyFont="1" applyBorder="1" applyAlignment="1">
      <alignment horizontal="right" vertical="top" wrapText="1"/>
    </xf>
    <xf numFmtId="4" fontId="4" fillId="0" borderId="5" xfId="0" applyNumberFormat="1" applyFont="1" applyBorder="1" applyAlignment="1">
      <alignment horizontal="right" vertical="top"/>
    </xf>
    <xf numFmtId="0" fontId="14" fillId="0" borderId="0" xfId="0" applyFont="1"/>
    <xf numFmtId="0" fontId="15" fillId="0" borderId="0" xfId="0" applyFont="1"/>
    <xf numFmtId="0" fontId="16" fillId="0" borderId="0" xfId="0" applyFont="1"/>
    <xf numFmtId="0" fontId="17" fillId="0" borderId="2" xfId="0" applyFont="1" applyBorder="1"/>
    <xf numFmtId="0" fontId="17" fillId="0" borderId="0" xfId="0" applyFont="1"/>
    <xf numFmtId="0" fontId="18" fillId="0" borderId="3" xfId="0" applyFont="1" applyBorder="1"/>
    <xf numFmtId="0" fontId="18" fillId="0" borderId="3" xfId="0" applyFont="1" applyBorder="1" applyAlignment="1">
      <alignment wrapText="1"/>
    </xf>
    <xf numFmtId="4" fontId="18" fillId="0" borderId="3" xfId="0" applyNumberFormat="1" applyFont="1" applyBorder="1" applyAlignment="1">
      <alignment horizontal="right"/>
    </xf>
    <xf numFmtId="4" fontId="19" fillId="0" borderId="3" xfId="1" applyNumberFormat="1" applyFont="1" applyBorder="1" applyAlignment="1">
      <alignment horizontal="right"/>
    </xf>
    <xf numFmtId="0" fontId="17" fillId="0" borderId="0" xfId="0" applyFont="1" applyAlignment="1">
      <alignment vertical="center"/>
    </xf>
    <xf numFmtId="0" fontId="17" fillId="0" borderId="0" xfId="0" applyFont="1" applyAlignment="1">
      <alignment vertical="center" wrapText="1"/>
    </xf>
    <xf numFmtId="4" fontId="17" fillId="0" borderId="0" xfId="0" applyNumberFormat="1" applyFont="1" applyAlignment="1">
      <alignment horizontal="right" vertical="center"/>
    </xf>
    <xf numFmtId="0" fontId="20" fillId="2" borderId="0" xfId="0" applyFont="1" applyFill="1" applyAlignment="1">
      <alignment vertical="center"/>
    </xf>
    <xf numFmtId="0" fontId="20" fillId="2" borderId="0" xfId="0" applyFont="1" applyFill="1" applyAlignment="1">
      <alignment vertical="center" wrapText="1"/>
    </xf>
    <xf numFmtId="4" fontId="20" fillId="2" borderId="0" xfId="0" applyNumberFormat="1" applyFont="1" applyFill="1" applyAlignment="1">
      <alignment horizontal="right" vertical="center"/>
    </xf>
    <xf numFmtId="0" fontId="21" fillId="0" borderId="0" xfId="0" applyFont="1" applyAlignment="1">
      <alignment wrapText="1"/>
    </xf>
    <xf numFmtId="4" fontId="21" fillId="0" borderId="0" xfId="0" applyNumberFormat="1" applyFont="1" applyAlignment="1">
      <alignment horizontal="right" wrapText="1"/>
    </xf>
    <xf numFmtId="0" fontId="17" fillId="0" borderId="6" xfId="0" applyFont="1" applyBorder="1" applyAlignment="1">
      <alignment vertical="center"/>
    </xf>
    <xf numFmtId="0" fontId="17" fillId="0" borderId="6" xfId="0" applyFont="1" applyBorder="1" applyAlignment="1">
      <alignment vertical="center" wrapText="1"/>
    </xf>
    <xf numFmtId="4" fontId="17" fillId="0" borderId="6" xfId="0" applyNumberFormat="1" applyFont="1" applyBorder="1" applyAlignment="1">
      <alignment horizontal="right" vertical="center"/>
    </xf>
    <xf numFmtId="0" fontId="17" fillId="0" borderId="7" xfId="0" applyFont="1" applyBorder="1" applyAlignment="1">
      <alignment vertical="center"/>
    </xf>
    <xf numFmtId="0" fontId="17" fillId="0" borderId="7" xfId="0" applyFont="1" applyBorder="1" applyAlignment="1">
      <alignment vertical="center" wrapText="1"/>
    </xf>
    <xf numFmtId="4" fontId="17" fillId="0" borderId="7" xfId="0" applyNumberFormat="1" applyFont="1" applyBorder="1" applyAlignment="1">
      <alignment horizontal="right" vertical="center"/>
    </xf>
    <xf numFmtId="0" fontId="17" fillId="0" borderId="5" xfId="0" applyFont="1" applyBorder="1" applyAlignment="1">
      <alignment vertical="center"/>
    </xf>
    <xf numFmtId="0" fontId="17" fillId="0" borderId="5" xfId="0" applyFont="1" applyBorder="1" applyAlignment="1">
      <alignment vertical="center" wrapText="1"/>
    </xf>
    <xf numFmtId="4" fontId="17" fillId="0" borderId="5" xfId="0" applyNumberFormat="1" applyFont="1" applyBorder="1" applyAlignment="1">
      <alignment horizontal="right" vertical="center"/>
    </xf>
    <xf numFmtId="0" fontId="13" fillId="0" borderId="0" xfId="0" applyFont="1" applyAlignment="1">
      <alignment vertical="center"/>
    </xf>
    <xf numFmtId="0" fontId="23" fillId="0" borderId="0" xfId="0" applyFont="1" applyAlignment="1">
      <alignment vertical="center"/>
    </xf>
    <xf numFmtId="0" fontId="24" fillId="0" borderId="0" xfId="0" applyFont="1" applyAlignment="1">
      <alignment vertical="center"/>
    </xf>
    <xf numFmtId="0" fontId="16" fillId="0" borderId="2" xfId="0" applyFont="1" applyBorder="1" applyAlignment="1">
      <alignment vertical="center"/>
    </xf>
    <xf numFmtId="0" fontId="17" fillId="0" borderId="0" xfId="0" applyFont="1" applyAlignment="1">
      <alignment horizontal="right" vertical="center"/>
    </xf>
    <xf numFmtId="164" fontId="16" fillId="0" borderId="2" xfId="0" applyNumberFormat="1" applyFont="1" applyBorder="1" applyAlignment="1">
      <alignment horizontal="left" vertical="center"/>
    </xf>
    <xf numFmtId="0" fontId="18" fillId="0" borderId="0" xfId="0" applyFont="1"/>
    <xf numFmtId="0" fontId="25" fillId="0" borderId="0" xfId="0" applyFont="1" applyAlignment="1">
      <alignment wrapText="1"/>
    </xf>
    <xf numFmtId="0" fontId="25" fillId="0" borderId="0" xfId="0" applyFont="1"/>
    <xf numFmtId="4" fontId="25" fillId="0" borderId="0" xfId="0" applyNumberFormat="1" applyFont="1" applyAlignment="1">
      <alignment horizontal="right"/>
    </xf>
    <xf numFmtId="0" fontId="26" fillId="0" borderId="0" xfId="1" applyFont="1" applyAlignment="1">
      <alignment horizontal="right"/>
    </xf>
    <xf numFmtId="0" fontId="23" fillId="0" borderId="8" xfId="0" applyFont="1" applyBorder="1" applyAlignment="1">
      <alignment vertical="center"/>
    </xf>
    <xf numFmtId="0" fontId="23" fillId="0" borderId="8" xfId="0" applyFont="1" applyBorder="1" applyAlignment="1">
      <alignment vertical="center" wrapText="1"/>
    </xf>
    <xf numFmtId="4" fontId="23" fillId="0" borderId="8" xfId="0" applyNumberFormat="1" applyFont="1" applyBorder="1" applyAlignment="1">
      <alignment horizontal="right" vertical="center"/>
    </xf>
    <xf numFmtId="0" fontId="25" fillId="2" borderId="0" xfId="0" applyFont="1" applyFill="1" applyAlignment="1">
      <alignment vertical="center" wrapText="1"/>
    </xf>
    <xf numFmtId="0" fontId="25" fillId="2" borderId="0" xfId="0" applyFont="1" applyFill="1" applyAlignment="1">
      <alignment vertical="center"/>
    </xf>
    <xf numFmtId="4" fontId="25" fillId="2" borderId="0" xfId="0" applyNumberFormat="1" applyFont="1" applyFill="1" applyAlignment="1">
      <alignment horizontal="right" vertical="center"/>
    </xf>
    <xf numFmtId="0" fontId="21" fillId="0" borderId="0" xfId="0" applyFont="1" applyAlignment="1">
      <alignment vertical="center"/>
    </xf>
    <xf numFmtId="0" fontId="21" fillId="0" borderId="0" xfId="0" applyFont="1" applyAlignment="1">
      <alignment vertical="center" wrapText="1"/>
    </xf>
    <xf numFmtId="4" fontId="21" fillId="0" borderId="0" xfId="0" applyNumberFormat="1" applyFont="1" applyAlignment="1">
      <alignment horizontal="right" vertical="center"/>
    </xf>
    <xf numFmtId="0" fontId="23" fillId="0" borderId="9" xfId="0" applyFont="1" applyBorder="1" applyAlignment="1">
      <alignment vertical="center"/>
    </xf>
    <xf numFmtId="0" fontId="23" fillId="0" borderId="9" xfId="0" applyFont="1" applyBorder="1" applyAlignment="1">
      <alignment vertical="center" wrapText="1"/>
    </xf>
    <xf numFmtId="4" fontId="23" fillId="0" borderId="9" xfId="0" applyNumberFormat="1" applyFont="1" applyBorder="1" applyAlignment="1">
      <alignment horizontal="right" vertical="center"/>
    </xf>
    <xf numFmtId="0" fontId="23" fillId="0" borderId="7" xfId="0" applyFont="1" applyBorder="1" applyAlignment="1">
      <alignment vertical="center"/>
    </xf>
    <xf numFmtId="0" fontId="23" fillId="0" borderId="7" xfId="0" applyFont="1" applyBorder="1" applyAlignment="1">
      <alignment vertical="center" wrapText="1"/>
    </xf>
    <xf numFmtId="4" fontId="23" fillId="0" borderId="7" xfId="0" applyNumberFormat="1" applyFont="1" applyBorder="1" applyAlignment="1">
      <alignment horizontal="right" vertical="center"/>
    </xf>
    <xf numFmtId="0" fontId="23" fillId="0" borderId="5" xfId="0" applyFont="1" applyBorder="1" applyAlignment="1">
      <alignment vertical="center"/>
    </xf>
    <xf numFmtId="0" fontId="23" fillId="0" borderId="5" xfId="0" applyFont="1" applyBorder="1" applyAlignment="1">
      <alignment vertical="center" wrapText="1"/>
    </xf>
    <xf numFmtId="4" fontId="23" fillId="0" borderId="5" xfId="0" applyNumberFormat="1" applyFont="1" applyBorder="1" applyAlignment="1">
      <alignment horizontal="right" vertical="center"/>
    </xf>
    <xf numFmtId="4" fontId="25" fillId="0" borderId="0" xfId="0" applyNumberFormat="1" applyFont="1" applyAlignment="1">
      <alignment horizontal="right" vertical="center"/>
    </xf>
    <xf numFmtId="0" fontId="20" fillId="0" borderId="5" xfId="0" applyFont="1" applyBorder="1" applyAlignment="1">
      <alignment vertical="center"/>
    </xf>
    <xf numFmtId="0" fontId="21" fillId="2" borderId="0" xfId="0" applyFont="1" applyFill="1" applyAlignment="1">
      <alignment vertical="center"/>
    </xf>
    <xf numFmtId="0" fontId="21" fillId="2" borderId="0" xfId="0" applyFont="1" applyFill="1" applyAlignment="1">
      <alignment vertical="center" wrapText="1"/>
    </xf>
    <xf numFmtId="4" fontId="21" fillId="2" borderId="0" xfId="0" applyNumberFormat="1" applyFont="1" applyFill="1" applyAlignment="1">
      <alignment horizontal="right" vertical="center"/>
    </xf>
    <xf numFmtId="0" fontId="25" fillId="0" borderId="0" xfId="0" applyFont="1" applyAlignment="1">
      <alignment vertical="center"/>
    </xf>
    <xf numFmtId="0" fontId="25" fillId="0" borderId="0" xfId="0" applyFont="1" applyAlignment="1">
      <alignment vertical="center" wrapText="1"/>
    </xf>
    <xf numFmtId="0" fontId="20" fillId="0" borderId="7" xfId="0" applyFont="1" applyBorder="1" applyAlignment="1">
      <alignment vertical="center"/>
    </xf>
    <xf numFmtId="0" fontId="21" fillId="0" borderId="5" xfId="0" applyFont="1" applyBorder="1" applyAlignment="1">
      <alignment vertical="center"/>
    </xf>
    <xf numFmtId="0" fontId="21" fillId="0" borderId="5" xfId="0" applyFont="1" applyBorder="1" applyAlignment="1">
      <alignment vertical="center" wrapText="1"/>
    </xf>
    <xf numFmtId="4" fontId="21" fillId="0" borderId="5" xfId="0" applyNumberFormat="1" applyFont="1" applyBorder="1" applyAlignment="1">
      <alignment horizontal="right" vertical="center"/>
    </xf>
    <xf numFmtId="0" fontId="20" fillId="0" borderId="9" xfId="0" applyFont="1" applyBorder="1" applyAlignment="1">
      <alignment vertical="center"/>
    </xf>
    <xf numFmtId="0" fontId="21" fillId="0" borderId="7" xfId="0" applyFont="1" applyBorder="1" applyAlignment="1">
      <alignment vertical="center"/>
    </xf>
    <xf numFmtId="0" fontId="21" fillId="0" borderId="7" xfId="0" applyFont="1" applyBorder="1" applyAlignment="1">
      <alignment vertical="center" wrapText="1"/>
    </xf>
    <xf numFmtId="4" fontId="21" fillId="0" borderId="7" xfId="0" applyNumberFormat="1" applyFont="1" applyBorder="1" applyAlignment="1">
      <alignment horizontal="right" vertical="center"/>
    </xf>
    <xf numFmtId="0" fontId="23" fillId="0" borderId="0" xfId="0" applyFont="1" applyAlignment="1">
      <alignment vertical="center" wrapText="1"/>
    </xf>
    <xf numFmtId="4" fontId="23" fillId="0" borderId="0" xfId="0" applyNumberFormat="1" applyFont="1" applyAlignment="1">
      <alignment horizontal="right" vertical="center"/>
    </xf>
    <xf numFmtId="0" fontId="27" fillId="0" borderId="0" xfId="0" applyFont="1" applyAlignment="1">
      <alignment vertical="top" wrapText="1"/>
    </xf>
    <xf numFmtId="4" fontId="27" fillId="0" borderId="0" xfId="0" applyNumberFormat="1" applyFont="1" applyAlignment="1">
      <alignment horizontal="right" vertical="top"/>
    </xf>
    <xf numFmtId="0" fontId="5" fillId="0" borderId="0" xfId="0" applyFont="1" applyAlignment="1">
      <alignment vertical="top"/>
    </xf>
    <xf numFmtId="0" fontId="6" fillId="0" borderId="0" xfId="0" applyFont="1" applyAlignment="1">
      <alignment vertical="top"/>
    </xf>
    <xf numFmtId="0" fontId="10" fillId="0" borderId="0" xfId="0" applyFont="1" applyAlignment="1">
      <alignment vertical="top"/>
    </xf>
    <xf numFmtId="0" fontId="10" fillId="0" borderId="2" xfId="0" applyFont="1" applyBorder="1" applyAlignment="1">
      <alignment vertical="top" wrapText="1"/>
    </xf>
    <xf numFmtId="4" fontId="10" fillId="0" borderId="0" xfId="0" applyNumberFormat="1" applyFont="1" applyAlignment="1">
      <alignment horizontal="right" vertical="top"/>
    </xf>
    <xf numFmtId="164" fontId="10" fillId="0" borderId="2" xfId="0" applyNumberFormat="1" applyFont="1" applyBorder="1" applyAlignment="1">
      <alignment horizontal="left" vertical="top"/>
    </xf>
    <xf numFmtId="4" fontId="10" fillId="0" borderId="2" xfId="0" applyNumberFormat="1" applyFont="1" applyBorder="1" applyAlignment="1">
      <alignment horizontal="right" vertical="top"/>
    </xf>
    <xf numFmtId="0" fontId="27" fillId="0" borderId="0" xfId="0" applyFont="1" applyAlignment="1">
      <alignment vertical="top"/>
    </xf>
    <xf numFmtId="0" fontId="4" fillId="0" borderId="0" xfId="0" applyFont="1" applyAlignment="1">
      <alignment vertical="top"/>
    </xf>
    <xf numFmtId="0" fontId="4" fillId="0" borderId="0" xfId="0" applyFont="1" applyAlignment="1">
      <alignment vertical="top" wrapText="1"/>
    </xf>
    <xf numFmtId="4" fontId="4" fillId="0" borderId="0" xfId="0" applyNumberFormat="1" applyFont="1" applyAlignment="1">
      <alignment horizontal="right" vertical="top"/>
    </xf>
    <xf numFmtId="0" fontId="28" fillId="2" borderId="0" xfId="0" applyFont="1" applyFill="1" applyAlignment="1">
      <alignment vertical="center"/>
    </xf>
    <xf numFmtId="0" fontId="28" fillId="2" borderId="0" xfId="0" applyFont="1" applyFill="1" applyAlignment="1">
      <alignment vertical="center" wrapText="1"/>
    </xf>
    <xf numFmtId="4" fontId="28" fillId="2" borderId="0" xfId="0" applyNumberFormat="1" applyFont="1" applyFill="1" applyAlignment="1">
      <alignment horizontal="right" vertical="center"/>
    </xf>
    <xf numFmtId="0" fontId="29" fillId="0" borderId="0" xfId="0" applyFont="1" applyAlignment="1">
      <alignment wrapText="1"/>
    </xf>
    <xf numFmtId="4" fontId="29" fillId="0" borderId="0" xfId="0" applyNumberFormat="1" applyFont="1" applyAlignment="1">
      <alignment horizontal="right" wrapText="1"/>
    </xf>
    <xf numFmtId="4" fontId="30" fillId="0" borderId="0" xfId="0" applyNumberFormat="1" applyFont="1" applyAlignment="1">
      <alignment horizontal="right" vertical="top"/>
    </xf>
    <xf numFmtId="4" fontId="4" fillId="3" borderId="5" xfId="0" applyNumberFormat="1" applyFont="1" applyFill="1" applyBorder="1" applyAlignment="1">
      <alignment horizontal="right" vertical="top"/>
    </xf>
    <xf numFmtId="0" fontId="31" fillId="0" borderId="0" xfId="0" applyFont="1" applyAlignment="1">
      <alignment vertical="top" wrapText="1"/>
    </xf>
    <xf numFmtId="4" fontId="31" fillId="0" borderId="0" xfId="0" applyNumberFormat="1" applyFont="1" applyAlignment="1">
      <alignment horizontal="right" vertical="top" wrapText="1"/>
    </xf>
    <xf numFmtId="0" fontId="32" fillId="4" borderId="10" xfId="0" applyFont="1" applyFill="1" applyBorder="1" applyAlignment="1">
      <alignment horizontal="left" vertical="center"/>
    </xf>
    <xf numFmtId="44" fontId="32" fillId="4" borderId="10" xfId="0" applyNumberFormat="1" applyFont="1" applyFill="1" applyBorder="1" applyAlignment="1">
      <alignment horizontal="left" vertical="center"/>
    </xf>
    <xf numFmtId="0" fontId="33" fillId="5" borderId="12" xfId="0" applyFont="1" applyFill="1" applyBorder="1" applyAlignment="1">
      <alignment horizontal="center" vertical="center"/>
    </xf>
    <xf numFmtId="44" fontId="33" fillId="5" borderId="12" xfId="0" applyNumberFormat="1" applyFont="1" applyFill="1" applyBorder="1" applyAlignment="1">
      <alignment horizontal="left" vertical="center"/>
    </xf>
    <xf numFmtId="0" fontId="34" fillId="6" borderId="10" xfId="0" applyFont="1" applyFill="1" applyBorder="1" applyAlignment="1">
      <alignment horizontal="left" vertical="center"/>
    </xf>
    <xf numFmtId="44" fontId="34" fillId="6" borderId="10" xfId="0" applyNumberFormat="1" applyFont="1" applyFill="1" applyBorder="1" applyAlignment="1">
      <alignment horizontal="left" vertical="center"/>
    </xf>
    <xf numFmtId="0" fontId="34" fillId="7" borderId="10" xfId="0" applyFont="1" applyFill="1" applyBorder="1" applyAlignment="1">
      <alignment horizontal="left" vertical="center"/>
    </xf>
    <xf numFmtId="44" fontId="34" fillId="7" borderId="10" xfId="0" applyNumberFormat="1" applyFont="1" applyFill="1" applyBorder="1" applyAlignment="1">
      <alignment horizontal="left" vertical="center"/>
    </xf>
    <xf numFmtId="0" fontId="34" fillId="7" borderId="10" xfId="0" applyFont="1" applyFill="1" applyBorder="1" applyAlignment="1">
      <alignment horizontal="left" vertical="center" wrapText="1"/>
    </xf>
    <xf numFmtId="44" fontId="34" fillId="7" borderId="13" xfId="0" applyNumberFormat="1" applyFont="1" applyFill="1" applyBorder="1" applyAlignment="1">
      <alignment horizontal="left" vertical="center"/>
    </xf>
    <xf numFmtId="44" fontId="34" fillId="7" borderId="14" xfId="0" applyNumberFormat="1" applyFont="1" applyFill="1" applyBorder="1" applyAlignment="1">
      <alignment horizontal="left" vertical="center"/>
    </xf>
    <xf numFmtId="0" fontId="34" fillId="6" borderId="10" xfId="0" applyFont="1" applyFill="1" applyBorder="1" applyAlignment="1">
      <alignment horizontal="left" vertical="center" wrapText="1"/>
    </xf>
    <xf numFmtId="0" fontId="34" fillId="6" borderId="0" xfId="0" applyFont="1" applyFill="1" applyAlignment="1">
      <alignment horizontal="left" vertical="center"/>
    </xf>
    <xf numFmtId="0" fontId="32" fillId="4" borderId="15" xfId="0" applyFont="1" applyFill="1" applyBorder="1" applyAlignment="1">
      <alignment horizontal="left" vertical="center"/>
    </xf>
    <xf numFmtId="0" fontId="32" fillId="4" borderId="11" xfId="0" applyFont="1" applyFill="1" applyBorder="1" applyAlignment="1">
      <alignment vertical="center"/>
    </xf>
    <xf numFmtId="0" fontId="0" fillId="0" borderId="19" xfId="0" applyBorder="1"/>
    <xf numFmtId="0" fontId="0" fillId="0" borderId="20" xfId="0" applyBorder="1"/>
    <xf numFmtId="44" fontId="35" fillId="0" borderId="21" xfId="0" applyNumberFormat="1" applyFont="1" applyBorder="1" applyAlignment="1">
      <alignment horizontal="left" vertical="center"/>
    </xf>
    <xf numFmtId="0" fontId="33" fillId="5" borderId="10" xfId="0" applyFont="1" applyFill="1" applyBorder="1" applyAlignment="1">
      <alignment horizontal="center" vertical="center"/>
    </xf>
    <xf numFmtId="44" fontId="33" fillId="5" borderId="10" xfId="0" applyNumberFormat="1" applyFont="1" applyFill="1" applyBorder="1" applyAlignment="1">
      <alignment horizontal="left" vertical="center"/>
    </xf>
    <xf numFmtId="0" fontId="34" fillId="7" borderId="22" xfId="0" applyFont="1" applyFill="1" applyBorder="1" applyAlignment="1">
      <alignment horizontal="left" vertical="center"/>
    </xf>
    <xf numFmtId="44" fontId="34" fillId="7" borderId="22" xfId="0" applyNumberFormat="1" applyFont="1" applyFill="1" applyBorder="1" applyAlignment="1">
      <alignment horizontal="left" vertical="center"/>
    </xf>
    <xf numFmtId="0" fontId="34" fillId="6" borderId="23" xfId="0" applyFont="1" applyFill="1" applyBorder="1" applyAlignment="1">
      <alignment horizontal="left" vertical="center"/>
    </xf>
    <xf numFmtId="44" fontId="34" fillId="6" borderId="23" xfId="0" applyNumberFormat="1" applyFont="1" applyFill="1" applyBorder="1" applyAlignment="1">
      <alignment horizontal="left" vertical="center"/>
    </xf>
    <xf numFmtId="0" fontId="34" fillId="7" borderId="24" xfId="0" applyFont="1" applyFill="1" applyBorder="1" applyAlignment="1">
      <alignment horizontal="left" vertical="center"/>
    </xf>
    <xf numFmtId="0" fontId="34" fillId="7" borderId="23" xfId="0" applyFont="1" applyFill="1" applyBorder="1" applyAlignment="1">
      <alignment horizontal="left" vertical="center"/>
    </xf>
    <xf numFmtId="44" fontId="34" fillId="7" borderId="24" xfId="0" applyNumberFormat="1" applyFont="1" applyFill="1" applyBorder="1" applyAlignment="1">
      <alignment horizontal="left" vertical="center"/>
    </xf>
    <xf numFmtId="0" fontId="34" fillId="6" borderId="25" xfId="0" applyFont="1" applyFill="1" applyBorder="1" applyAlignment="1">
      <alignment horizontal="left" vertical="center"/>
    </xf>
    <xf numFmtId="0" fontId="34" fillId="6" borderId="26" xfId="0" applyFont="1" applyFill="1" applyBorder="1" applyAlignment="1">
      <alignment horizontal="left" vertical="center"/>
    </xf>
    <xf numFmtId="0" fontId="34" fillId="6" borderId="27" xfId="0" applyFont="1" applyFill="1" applyBorder="1" applyAlignment="1">
      <alignment horizontal="left" vertical="center"/>
    </xf>
    <xf numFmtId="0" fontId="32" fillId="4" borderId="11" xfId="0" applyFont="1" applyFill="1" applyBorder="1"/>
    <xf numFmtId="0" fontId="33" fillId="5" borderId="13" xfId="0" applyFont="1" applyFill="1" applyBorder="1" applyAlignment="1">
      <alignment horizontal="center" vertical="center"/>
    </xf>
    <xf numFmtId="44" fontId="33" fillId="5" borderId="13" xfId="0" applyNumberFormat="1" applyFont="1" applyFill="1" applyBorder="1" applyAlignment="1">
      <alignment horizontal="center" vertical="center"/>
    </xf>
    <xf numFmtId="0" fontId="34" fillId="6" borderId="12" xfId="0" applyFont="1" applyFill="1" applyBorder="1" applyAlignment="1">
      <alignment horizontal="left" vertical="center" wrapText="1"/>
    </xf>
    <xf numFmtId="44" fontId="34" fillId="6" borderId="12" xfId="0" applyNumberFormat="1" applyFont="1" applyFill="1" applyBorder="1" applyAlignment="1">
      <alignment horizontal="left" vertical="center"/>
    </xf>
    <xf numFmtId="44" fontId="34" fillId="7" borderId="10" xfId="0" applyNumberFormat="1" applyFont="1" applyFill="1" applyBorder="1" applyAlignment="1">
      <alignment horizontal="left" vertical="center" wrapText="1"/>
    </xf>
    <xf numFmtId="44" fontId="34" fillId="6" borderId="10" xfId="0" applyNumberFormat="1" applyFont="1" applyFill="1" applyBorder="1" applyAlignment="1">
      <alignment horizontal="left" vertical="center" wrapText="1"/>
    </xf>
    <xf numFmtId="0" fontId="34" fillId="7" borderId="12" xfId="0" applyFont="1" applyFill="1" applyBorder="1" applyAlignment="1">
      <alignment horizontal="left" vertical="center" wrapText="1"/>
    </xf>
    <xf numFmtId="0" fontId="34" fillId="7" borderId="19" xfId="0" applyFont="1" applyFill="1" applyBorder="1" applyAlignment="1">
      <alignment horizontal="left" vertical="center" wrapText="1"/>
    </xf>
    <xf numFmtId="44" fontId="34" fillId="7" borderId="22" xfId="0" applyNumberFormat="1" applyFont="1" applyFill="1" applyBorder="1" applyAlignment="1">
      <alignment horizontal="left" vertical="center" wrapText="1"/>
    </xf>
    <xf numFmtId="0" fontId="34" fillId="6" borderId="15" xfId="0" applyFont="1" applyFill="1" applyBorder="1" applyAlignment="1">
      <alignment horizontal="left" vertical="center" wrapText="1"/>
    </xf>
    <xf numFmtId="44" fontId="34" fillId="6" borderId="23" xfId="0" applyNumberFormat="1" applyFont="1" applyFill="1" applyBorder="1" applyAlignment="1">
      <alignment horizontal="left" vertical="center" wrapText="1"/>
    </xf>
    <xf numFmtId="0" fontId="34" fillId="7" borderId="15" xfId="0" applyFont="1" applyFill="1" applyBorder="1" applyAlignment="1">
      <alignment horizontal="left" vertical="center" wrapText="1"/>
    </xf>
    <xf numFmtId="44" fontId="34" fillId="7" borderId="23" xfId="0" applyNumberFormat="1" applyFont="1" applyFill="1" applyBorder="1" applyAlignment="1">
      <alignment horizontal="left" vertical="center" wrapText="1"/>
    </xf>
    <xf numFmtId="0" fontId="35" fillId="0" borderId="28" xfId="0" applyFont="1" applyBorder="1" applyAlignment="1">
      <alignment horizontal="left" vertical="center"/>
    </xf>
    <xf numFmtId="44" fontId="35" fillId="0" borderId="0" xfId="0" applyNumberFormat="1" applyFont="1" applyAlignment="1">
      <alignment horizontal="left" vertical="center"/>
    </xf>
    <xf numFmtId="0" fontId="35" fillId="0" borderId="35" xfId="0" applyFont="1" applyBorder="1" applyAlignment="1">
      <alignment horizontal="left" vertical="center"/>
    </xf>
    <xf numFmtId="0" fontId="33" fillId="5" borderId="12" xfId="0" applyFont="1" applyFill="1" applyBorder="1" applyAlignment="1">
      <alignment horizontal="left" vertical="center"/>
    </xf>
    <xf numFmtId="0" fontId="33" fillId="5" borderId="19" xfId="0" applyFont="1" applyFill="1" applyBorder="1" applyAlignment="1">
      <alignment horizontal="center" vertical="center"/>
    </xf>
    <xf numFmtId="44" fontId="33" fillId="5" borderId="22" xfId="0" applyNumberFormat="1" applyFont="1" applyFill="1" applyBorder="1" applyAlignment="1">
      <alignment horizontal="left" vertical="center"/>
    </xf>
    <xf numFmtId="44" fontId="33" fillId="5" borderId="12" xfId="0" applyNumberFormat="1" applyFont="1" applyFill="1" applyBorder="1" applyAlignment="1">
      <alignment horizontal="center" vertical="center"/>
    </xf>
    <xf numFmtId="0" fontId="32" fillId="4" borderId="16" xfId="0" applyFont="1" applyFill="1" applyBorder="1"/>
    <xf numFmtId="0" fontId="33" fillId="5" borderId="12" xfId="0" applyFont="1" applyFill="1" applyBorder="1" applyAlignment="1">
      <alignment horizontal="center" vertical="center" wrapText="1"/>
    </xf>
    <xf numFmtId="44" fontId="33" fillId="5" borderId="12" xfId="0" applyNumberFormat="1" applyFont="1" applyFill="1" applyBorder="1" applyAlignment="1">
      <alignment horizontal="center" vertical="center" wrapText="1"/>
    </xf>
    <xf numFmtId="44" fontId="33" fillId="5" borderId="36" xfId="0" applyNumberFormat="1" applyFont="1" applyFill="1" applyBorder="1" applyAlignment="1">
      <alignment horizontal="center" vertical="center" wrapText="1"/>
    </xf>
    <xf numFmtId="0" fontId="34" fillId="6" borderId="22" xfId="0" applyFont="1" applyFill="1" applyBorder="1" applyAlignment="1">
      <alignment horizontal="left" vertical="center" wrapText="1"/>
    </xf>
    <xf numFmtId="4" fontId="34" fillId="6" borderId="22" xfId="0" applyNumberFormat="1" applyFont="1" applyFill="1" applyBorder="1" applyAlignment="1">
      <alignment horizontal="left" vertical="center" wrapText="1"/>
    </xf>
    <xf numFmtId="44" fontId="34" fillId="6" borderId="22" xfId="0" applyNumberFormat="1" applyFont="1" applyFill="1" applyBorder="1" applyAlignment="1">
      <alignment horizontal="left" vertical="center" wrapText="1"/>
    </xf>
    <xf numFmtId="0" fontId="34" fillId="7" borderId="23" xfId="0" applyFont="1" applyFill="1" applyBorder="1" applyAlignment="1">
      <alignment horizontal="left" vertical="center" wrapText="1"/>
    </xf>
    <xf numFmtId="4" fontId="34" fillId="7" borderId="23" xfId="0" applyNumberFormat="1" applyFont="1" applyFill="1" applyBorder="1" applyAlignment="1">
      <alignment horizontal="left" vertical="center" wrapText="1"/>
    </xf>
    <xf numFmtId="0" fontId="34" fillId="6" borderId="23" xfId="0" applyFont="1" applyFill="1" applyBorder="1" applyAlignment="1">
      <alignment horizontal="left" vertical="center" wrapText="1"/>
    </xf>
    <xf numFmtId="4" fontId="34" fillId="6" borderId="23" xfId="0" applyNumberFormat="1" applyFont="1" applyFill="1" applyBorder="1" applyAlignment="1">
      <alignment horizontal="left" vertical="center" wrapText="1"/>
    </xf>
    <xf numFmtId="0" fontId="32" fillId="4" borderId="16" xfId="0" applyFont="1" applyFill="1" applyBorder="1" applyAlignment="1">
      <alignment vertical="center"/>
    </xf>
    <xf numFmtId="44" fontId="32" fillId="4" borderId="11" xfId="0" applyNumberFormat="1" applyFont="1" applyFill="1" applyBorder="1" applyAlignment="1">
      <alignment vertical="center"/>
    </xf>
    <xf numFmtId="0" fontId="33" fillId="5" borderId="12" xfId="0" applyFont="1" applyFill="1" applyBorder="1" applyAlignment="1">
      <alignment horizontal="left" vertical="center" wrapText="1"/>
    </xf>
    <xf numFmtId="0" fontId="32" fillId="4" borderId="16" xfId="0" applyFont="1" applyFill="1" applyBorder="1" applyAlignment="1">
      <alignment horizontal="left" vertical="center"/>
    </xf>
    <xf numFmtId="44" fontId="32" fillId="4" borderId="11" xfId="0" applyNumberFormat="1" applyFont="1" applyFill="1" applyBorder="1" applyAlignment="1">
      <alignment horizontal="left" vertical="center"/>
    </xf>
    <xf numFmtId="0" fontId="32" fillId="4" borderId="19" xfId="0" applyFont="1" applyFill="1" applyBorder="1"/>
    <xf numFmtId="0" fontId="32" fillId="4" borderId="11" xfId="0" applyFont="1" applyFill="1" applyBorder="1" applyAlignment="1">
      <alignment horizontal="left" vertical="center"/>
    </xf>
    <xf numFmtId="44" fontId="32" fillId="4" borderId="21" xfId="0" applyNumberFormat="1" applyFont="1" applyFill="1" applyBorder="1" applyAlignment="1">
      <alignment horizontal="left" vertical="center"/>
    </xf>
    <xf numFmtId="0" fontId="32" fillId="4" borderId="15" xfId="0" applyFont="1" applyFill="1" applyBorder="1"/>
    <xf numFmtId="0" fontId="32" fillId="4" borderId="15" xfId="0" applyFont="1" applyFill="1" applyBorder="1" applyAlignment="1">
      <alignment vertical="center"/>
    </xf>
    <xf numFmtId="0" fontId="32" fillId="4" borderId="13" xfId="0" applyFont="1" applyFill="1" applyBorder="1" applyAlignment="1">
      <alignment horizontal="left" vertical="center"/>
    </xf>
    <xf numFmtId="0" fontId="35" fillId="0" borderId="38" xfId="0" applyFont="1" applyBorder="1" applyAlignment="1">
      <alignment horizontal="left" vertical="center"/>
    </xf>
    <xf numFmtId="0" fontId="32" fillId="4" borderId="12" xfId="0" applyFont="1" applyFill="1" applyBorder="1" applyAlignment="1">
      <alignment vertical="center"/>
    </xf>
    <xf numFmtId="0" fontId="33" fillId="5" borderId="12" xfId="0" applyFont="1" applyFill="1" applyBorder="1" applyAlignment="1">
      <alignment vertical="center"/>
    </xf>
    <xf numFmtId="44" fontId="33" fillId="5" borderId="12" xfId="0" applyNumberFormat="1" applyFont="1" applyFill="1" applyBorder="1" applyAlignment="1">
      <alignment vertical="center"/>
    </xf>
    <xf numFmtId="0" fontId="34" fillId="6" borderId="10" xfId="0" applyFont="1" applyFill="1" applyBorder="1" applyAlignment="1">
      <alignment vertical="center"/>
    </xf>
    <xf numFmtId="44" fontId="34" fillId="6" borderId="10" xfId="0" applyNumberFormat="1" applyFont="1" applyFill="1" applyBorder="1" applyAlignment="1">
      <alignment vertical="center"/>
    </xf>
    <xf numFmtId="0" fontId="34" fillId="7" borderId="10" xfId="0" applyFont="1" applyFill="1" applyBorder="1" applyAlignment="1">
      <alignment vertical="center"/>
    </xf>
    <xf numFmtId="44" fontId="34" fillId="7" borderId="10" xfId="0" applyNumberFormat="1" applyFont="1" applyFill="1" applyBorder="1" applyAlignment="1">
      <alignment vertical="center"/>
    </xf>
    <xf numFmtId="44" fontId="35" fillId="0" borderId="0" xfId="0" applyNumberFormat="1" applyFont="1" applyAlignment="1">
      <alignment vertical="center"/>
    </xf>
    <xf numFmtId="0" fontId="32" fillId="4" borderId="10" xfId="0" applyFont="1" applyFill="1" applyBorder="1" applyAlignment="1">
      <alignment vertical="center"/>
    </xf>
    <xf numFmtId="44" fontId="32" fillId="4" borderId="10" xfId="0" applyNumberFormat="1" applyFont="1" applyFill="1" applyBorder="1" applyAlignment="1">
      <alignment vertical="center"/>
    </xf>
    <xf numFmtId="44" fontId="32" fillId="4" borderId="21" xfId="0" applyNumberFormat="1" applyFont="1" applyFill="1" applyBorder="1" applyAlignment="1">
      <alignment vertical="center"/>
    </xf>
    <xf numFmtId="0" fontId="33" fillId="5" borderId="10" xfId="0" applyFont="1" applyFill="1" applyBorder="1" applyAlignment="1">
      <alignment horizontal="left" vertical="center"/>
    </xf>
    <xf numFmtId="44" fontId="32" fillId="4" borderId="37" xfId="0" applyNumberFormat="1" applyFont="1" applyFill="1" applyBorder="1" applyAlignment="1">
      <alignment horizontal="left" vertical="center"/>
    </xf>
    <xf numFmtId="0" fontId="36" fillId="0" borderId="0" xfId="0" applyFont="1" applyAlignment="1">
      <alignment horizontal="left" vertical="center"/>
    </xf>
    <xf numFmtId="0" fontId="32" fillId="4" borderId="19" xfId="0" applyFont="1" applyFill="1" applyBorder="1" applyAlignment="1">
      <alignment horizontal="left" vertical="center"/>
    </xf>
    <xf numFmtId="0" fontId="34" fillId="0" borderId="41" xfId="0" applyFont="1" applyBorder="1" applyAlignment="1">
      <alignment horizontal="left" vertical="center"/>
    </xf>
    <xf numFmtId="0" fontId="34" fillId="0" borderId="42" xfId="0" applyFont="1" applyBorder="1" applyAlignment="1">
      <alignment horizontal="center" vertical="center"/>
    </xf>
    <xf numFmtId="44" fontId="34" fillId="0" borderId="43" xfId="0" applyNumberFormat="1" applyFont="1" applyBorder="1" applyAlignment="1">
      <alignment horizontal="right" vertical="center"/>
    </xf>
    <xf numFmtId="0" fontId="34" fillId="0" borderId="44" xfId="0" applyFont="1" applyBorder="1" applyAlignment="1">
      <alignment horizontal="left" vertical="center"/>
    </xf>
    <xf numFmtId="0" fontId="34" fillId="0" borderId="45" xfId="0" applyFont="1" applyBorder="1" applyAlignment="1">
      <alignment horizontal="center" vertical="center"/>
    </xf>
    <xf numFmtId="44" fontId="34" fillId="0" borderId="46" xfId="0" applyNumberFormat="1" applyFont="1" applyBorder="1" applyAlignment="1">
      <alignment horizontal="right" vertical="center"/>
    </xf>
    <xf numFmtId="0" fontId="34" fillId="0" borderId="47" xfId="0" applyFont="1" applyBorder="1" applyAlignment="1">
      <alignment horizontal="left" vertical="center"/>
    </xf>
    <xf numFmtId="0" fontId="34" fillId="0" borderId="48" xfId="0" applyFont="1" applyBorder="1" applyAlignment="1">
      <alignment horizontal="center" vertical="center"/>
    </xf>
    <xf numFmtId="0" fontId="34" fillId="0" borderId="49" xfId="0" applyFont="1" applyBorder="1" applyAlignment="1">
      <alignment horizontal="left" vertical="center"/>
    </xf>
    <xf numFmtId="44" fontId="34" fillId="0" borderId="50" xfId="0" applyNumberFormat="1" applyFont="1" applyBorder="1" applyAlignment="1">
      <alignment horizontal="right" vertical="center"/>
    </xf>
    <xf numFmtId="0" fontId="34" fillId="0" borderId="51" xfId="0" applyFont="1" applyBorder="1" applyAlignment="1">
      <alignment horizontal="left" vertical="center"/>
    </xf>
    <xf numFmtId="0" fontId="34" fillId="0" borderId="52" xfId="0" applyFont="1" applyBorder="1" applyAlignment="1">
      <alignment horizontal="left" vertical="center"/>
    </xf>
    <xf numFmtId="0" fontId="34" fillId="0" borderId="53" xfId="0" applyFont="1" applyBorder="1" applyAlignment="1">
      <alignment horizontal="center" vertical="center"/>
    </xf>
    <xf numFmtId="44" fontId="34" fillId="0" borderId="54" xfId="0" applyNumberFormat="1" applyFont="1" applyBorder="1" applyAlignment="1">
      <alignment horizontal="center" vertical="center"/>
    </xf>
    <xf numFmtId="0" fontId="34" fillId="6" borderId="12" xfId="0" applyFont="1" applyFill="1" applyBorder="1" applyAlignment="1">
      <alignment horizontal="left" vertical="center"/>
    </xf>
    <xf numFmtId="0" fontId="34" fillId="6" borderId="13" xfId="0" applyFont="1" applyFill="1" applyBorder="1" applyAlignment="1">
      <alignment horizontal="left" vertical="center"/>
    </xf>
    <xf numFmtId="44" fontId="34" fillId="6" borderId="13" xfId="0" applyNumberFormat="1" applyFont="1" applyFill="1" applyBorder="1" applyAlignment="1">
      <alignment horizontal="left" vertical="center"/>
    </xf>
    <xf numFmtId="0" fontId="34" fillId="6" borderId="39" xfId="0" applyFont="1" applyFill="1" applyBorder="1" applyAlignment="1">
      <alignment horizontal="left" vertical="center"/>
    </xf>
    <xf numFmtId="0" fontId="34" fillId="7" borderId="17" xfId="0" applyFont="1" applyFill="1" applyBorder="1" applyAlignment="1">
      <alignment horizontal="left" vertical="center"/>
    </xf>
    <xf numFmtId="0" fontId="34" fillId="7" borderId="26" xfId="0" applyFont="1" applyFill="1" applyBorder="1" applyAlignment="1">
      <alignment horizontal="left" vertical="center"/>
    </xf>
    <xf numFmtId="44" fontId="34" fillId="7" borderId="17" xfId="0" applyNumberFormat="1" applyFont="1" applyFill="1" applyBorder="1" applyAlignment="1">
      <alignment vertical="center"/>
    </xf>
    <xf numFmtId="0" fontId="34" fillId="7" borderId="12" xfId="0" applyFont="1" applyFill="1" applyBorder="1" applyAlignment="1">
      <alignment horizontal="left" vertical="center"/>
    </xf>
    <xf numFmtId="0" fontId="34" fillId="7" borderId="55" xfId="0" applyFont="1" applyFill="1" applyBorder="1" applyAlignment="1">
      <alignment horizontal="left" vertical="center"/>
    </xf>
    <xf numFmtId="44" fontId="34" fillId="7" borderId="12" xfId="0" applyNumberFormat="1" applyFont="1" applyFill="1" applyBorder="1" applyAlignment="1">
      <alignment vertical="center"/>
    </xf>
    <xf numFmtId="165" fontId="35" fillId="0" borderId="0" xfId="0" applyNumberFormat="1" applyFont="1" applyAlignment="1">
      <alignment horizontal="left" vertical="center"/>
    </xf>
    <xf numFmtId="0" fontId="34" fillId="7" borderId="0" xfId="0" applyFont="1" applyFill="1" applyAlignment="1">
      <alignment horizontal="left" vertical="center"/>
    </xf>
    <xf numFmtId="44" fontId="34" fillId="7" borderId="0" xfId="0" applyNumberFormat="1" applyFont="1" applyFill="1" applyAlignment="1">
      <alignment horizontal="left" vertical="center"/>
    </xf>
    <xf numFmtId="44" fontId="34" fillId="6" borderId="0" xfId="0" applyNumberFormat="1" applyFont="1" applyFill="1" applyAlignment="1">
      <alignment horizontal="left" vertical="center"/>
    </xf>
    <xf numFmtId="0" fontId="33" fillId="5" borderId="10" xfId="0" applyFont="1" applyFill="1" applyBorder="1" applyAlignment="1">
      <alignment vertical="center"/>
    </xf>
    <xf numFmtId="0" fontId="33" fillId="5" borderId="11" xfId="0" applyFont="1" applyFill="1" applyBorder="1" applyAlignment="1">
      <alignment horizontal="center" vertical="center"/>
    </xf>
    <xf numFmtId="44" fontId="33" fillId="5" borderId="10" xfId="0" applyNumberFormat="1" applyFont="1" applyFill="1" applyBorder="1" applyAlignment="1">
      <alignment horizontal="center" vertical="center"/>
    </xf>
    <xf numFmtId="0" fontId="33" fillId="5" borderId="13" xfId="0" applyFont="1" applyFill="1" applyBorder="1" applyAlignment="1">
      <alignment horizontal="left" vertical="center"/>
    </xf>
    <xf numFmtId="44" fontId="34" fillId="6" borderId="10" xfId="0" applyNumberFormat="1" applyFont="1" applyFill="1" applyBorder="1" applyAlignment="1">
      <alignment horizontal="center" vertical="center"/>
    </xf>
    <xf numFmtId="44" fontId="34" fillId="7" borderId="10" xfId="0" applyNumberFormat="1" applyFont="1" applyFill="1" applyBorder="1" applyAlignment="1">
      <alignment horizontal="center" vertical="center"/>
    </xf>
    <xf numFmtId="0" fontId="32" fillId="4" borderId="12" xfId="0" applyFont="1" applyFill="1" applyBorder="1" applyAlignment="1">
      <alignment horizontal="left" vertical="center"/>
    </xf>
    <xf numFmtId="0" fontId="32" fillId="4" borderId="10" xfId="0" applyFont="1" applyFill="1" applyBorder="1" applyAlignment="1">
      <alignment horizontal="center" vertical="center"/>
    </xf>
    <xf numFmtId="44" fontId="32" fillId="4" borderId="10" xfId="0" applyNumberFormat="1" applyFont="1" applyFill="1" applyBorder="1" applyAlignment="1">
      <alignment horizontal="center" vertical="center"/>
    </xf>
    <xf numFmtId="44" fontId="35" fillId="0" borderId="0" xfId="0" applyNumberFormat="1" applyFont="1" applyAlignment="1">
      <alignment horizontal="center" vertical="center"/>
    </xf>
    <xf numFmtId="44" fontId="36" fillId="0" borderId="0" xfId="0" applyNumberFormat="1" applyFont="1" applyAlignment="1">
      <alignment horizontal="center" vertical="center"/>
    </xf>
    <xf numFmtId="0" fontId="34" fillId="6" borderId="10" xfId="0" applyFont="1" applyFill="1" applyBorder="1" applyAlignment="1">
      <alignment horizontal="center" vertical="center"/>
    </xf>
    <xf numFmtId="0" fontId="34" fillId="7" borderId="10" xfId="0" applyFont="1" applyFill="1" applyBorder="1" applyAlignment="1">
      <alignment horizontal="center" vertical="center"/>
    </xf>
    <xf numFmtId="0" fontId="32" fillId="4" borderId="0" xfId="0" applyFont="1" applyFill="1"/>
    <xf numFmtId="0" fontId="32" fillId="4" borderId="13" xfId="0" applyFont="1" applyFill="1" applyBorder="1" applyAlignment="1">
      <alignment vertical="center"/>
    </xf>
    <xf numFmtId="44" fontId="32" fillId="4" borderId="13" xfId="0" applyNumberFormat="1" applyFont="1" applyFill="1" applyBorder="1" applyAlignment="1">
      <alignment vertical="center"/>
    </xf>
    <xf numFmtId="44" fontId="32" fillId="4" borderId="12" xfId="0" applyNumberFormat="1" applyFont="1" applyFill="1" applyBorder="1" applyAlignment="1">
      <alignment vertical="center"/>
    </xf>
    <xf numFmtId="4" fontId="33" fillId="5" borderId="10" xfId="0" applyNumberFormat="1" applyFont="1" applyFill="1" applyBorder="1" applyAlignment="1">
      <alignment horizontal="center" vertical="center"/>
    </xf>
    <xf numFmtId="0" fontId="34" fillId="0" borderId="10" xfId="0" applyFont="1" applyBorder="1" applyAlignment="1">
      <alignment horizontal="center" vertical="center"/>
    </xf>
    <xf numFmtId="44" fontId="34" fillId="0" borderId="10" xfId="0" applyNumberFormat="1" applyFont="1" applyBorder="1" applyAlignment="1">
      <alignment horizontal="center" vertical="center"/>
    </xf>
    <xf numFmtId="0" fontId="34" fillId="6" borderId="15" xfId="0" applyFont="1" applyFill="1" applyBorder="1" applyAlignment="1">
      <alignment horizontal="left" vertical="center"/>
    </xf>
    <xf numFmtId="44" fontId="34" fillId="6" borderId="16" xfId="0" applyNumberFormat="1" applyFont="1" applyFill="1" applyBorder="1" applyAlignment="1">
      <alignment horizontal="left" vertical="center"/>
    </xf>
    <xf numFmtId="44" fontId="34" fillId="6" borderId="11" xfId="0" applyNumberFormat="1" applyFont="1" applyFill="1" applyBorder="1" applyAlignment="1">
      <alignment horizontal="left" vertical="center"/>
    </xf>
    <xf numFmtId="0" fontId="34" fillId="7" borderId="13" xfId="0" applyFont="1" applyFill="1" applyBorder="1" applyAlignment="1">
      <alignment horizontal="left" vertical="center"/>
    </xf>
    <xf numFmtId="44" fontId="32" fillId="4" borderId="13" xfId="0" applyNumberFormat="1" applyFont="1" applyFill="1" applyBorder="1" applyAlignment="1">
      <alignment horizontal="left" vertical="center"/>
    </xf>
    <xf numFmtId="44" fontId="32" fillId="4" borderId="12" xfId="0" applyNumberFormat="1" applyFont="1" applyFill="1" applyBorder="1" applyAlignment="1">
      <alignment horizontal="left" vertical="center"/>
    </xf>
    <xf numFmtId="44" fontId="35" fillId="0" borderId="0" xfId="0" applyNumberFormat="1" applyFont="1"/>
    <xf numFmtId="0" fontId="34" fillId="6" borderId="10" xfId="0" applyFont="1" applyFill="1" applyBorder="1"/>
    <xf numFmtId="44" fontId="34" fillId="6" borderId="10" xfId="0" applyNumberFormat="1" applyFont="1" applyFill="1" applyBorder="1"/>
    <xf numFmtId="0" fontId="34" fillId="7" borderId="10" xfId="0" applyFont="1" applyFill="1" applyBorder="1"/>
    <xf numFmtId="44" fontId="34" fillId="7" borderId="10" xfId="0" applyNumberFormat="1" applyFont="1" applyFill="1" applyBorder="1"/>
    <xf numFmtId="0" fontId="32" fillId="4" borderId="10" xfId="0" applyFont="1" applyFill="1" applyBorder="1"/>
    <xf numFmtId="44" fontId="32" fillId="4" borderId="0" xfId="0" applyNumberFormat="1" applyFont="1" applyFill="1"/>
    <xf numFmtId="44" fontId="33" fillId="5" borderId="10" xfId="0" applyNumberFormat="1" applyFont="1" applyFill="1" applyBorder="1" applyAlignment="1">
      <alignment vertical="center"/>
    </xf>
    <xf numFmtId="44" fontId="32" fillId="4" borderId="10" xfId="0" applyNumberFormat="1" applyFont="1" applyFill="1" applyBorder="1"/>
    <xf numFmtId="44" fontId="33" fillId="5" borderId="15" xfId="0" applyNumberFormat="1" applyFont="1" applyFill="1" applyBorder="1" applyAlignment="1">
      <alignment horizontal="left" vertical="center"/>
    </xf>
    <xf numFmtId="44" fontId="33" fillId="5" borderId="11" xfId="0" applyNumberFormat="1" applyFont="1" applyFill="1" applyBorder="1" applyAlignment="1">
      <alignment horizontal="left" vertical="center"/>
    </xf>
    <xf numFmtId="0" fontId="33" fillId="5" borderId="15" xfId="0" applyFont="1" applyFill="1" applyBorder="1" applyAlignment="1">
      <alignment horizontal="left" vertical="center"/>
    </xf>
    <xf numFmtId="0" fontId="33" fillId="5" borderId="40" xfId="0" applyFont="1" applyFill="1" applyBorder="1" applyAlignment="1">
      <alignment horizontal="left" vertical="center"/>
    </xf>
    <xf numFmtId="44" fontId="33" fillId="5" borderId="13" xfId="0" applyNumberFormat="1" applyFont="1" applyFill="1" applyBorder="1" applyAlignment="1">
      <alignment horizontal="left" vertical="center"/>
    </xf>
    <xf numFmtId="0" fontId="34" fillId="7" borderId="40" xfId="0" applyFont="1" applyFill="1" applyBorder="1" applyAlignment="1">
      <alignment horizontal="left" vertical="center"/>
    </xf>
    <xf numFmtId="44" fontId="34" fillId="7" borderId="39" xfId="0" applyNumberFormat="1" applyFont="1" applyFill="1" applyBorder="1" applyAlignment="1">
      <alignment horizontal="left" vertical="center"/>
    </xf>
    <xf numFmtId="44" fontId="34" fillId="7" borderId="37" xfId="0" applyNumberFormat="1" applyFont="1" applyFill="1" applyBorder="1" applyAlignment="1">
      <alignment horizontal="left" vertical="center"/>
    </xf>
    <xf numFmtId="0" fontId="34" fillId="7" borderId="19" xfId="0" applyFont="1" applyFill="1" applyBorder="1" applyAlignment="1">
      <alignment horizontal="left" vertical="center"/>
    </xf>
    <xf numFmtId="44" fontId="34" fillId="7" borderId="20" xfId="0" applyNumberFormat="1" applyFont="1" applyFill="1" applyBorder="1" applyAlignment="1">
      <alignment horizontal="left" vertical="center"/>
    </xf>
    <xf numFmtId="0" fontId="33" fillId="5" borderId="10" xfId="0" applyFont="1" applyFill="1" applyBorder="1"/>
    <xf numFmtId="44" fontId="34" fillId="6" borderId="10" xfId="2" applyFont="1" applyFill="1" applyBorder="1"/>
    <xf numFmtId="44" fontId="34" fillId="7" borderId="10" xfId="2" applyFont="1" applyFill="1" applyBorder="1"/>
    <xf numFmtId="0" fontId="32" fillId="4" borderId="39" xfId="0" applyFont="1" applyFill="1" applyBorder="1"/>
    <xf numFmtId="0" fontId="32" fillId="4" borderId="37" xfId="0" applyFont="1" applyFill="1" applyBorder="1"/>
    <xf numFmtId="0" fontId="33" fillId="5" borderId="15" xfId="0" applyFont="1" applyFill="1" applyBorder="1"/>
    <xf numFmtId="0" fontId="34" fillId="6" borderId="10" xfId="0" applyFont="1" applyFill="1" applyBorder="1" applyAlignment="1">
      <alignment vertical="center" wrapText="1"/>
    </xf>
    <xf numFmtId="0" fontId="32" fillId="4" borderId="0" xfId="0" applyFont="1" applyFill="1" applyAlignment="1">
      <alignment horizontal="left" vertical="center"/>
    </xf>
    <xf numFmtId="44" fontId="32" fillId="4" borderId="16" xfId="0" applyNumberFormat="1" applyFont="1" applyFill="1" applyBorder="1" applyAlignment="1">
      <alignment vertical="center"/>
    </xf>
    <xf numFmtId="44" fontId="35" fillId="0" borderId="0" xfId="0" applyNumberFormat="1" applyFont="1" applyAlignment="1">
      <alignment vertical="center" wrapText="1"/>
    </xf>
    <xf numFmtId="44" fontId="33" fillId="5" borderId="10" xfId="0" applyNumberFormat="1" applyFont="1" applyFill="1" applyBorder="1" applyAlignment="1">
      <alignment vertical="center" wrapText="1"/>
    </xf>
    <xf numFmtId="44" fontId="34" fillId="6" borderId="10" xfId="0" applyNumberFormat="1" applyFont="1" applyFill="1" applyBorder="1" applyAlignment="1">
      <alignment vertical="center" wrapText="1"/>
    </xf>
    <xf numFmtId="44" fontId="34" fillId="7" borderId="10" xfId="0" applyNumberFormat="1" applyFont="1" applyFill="1" applyBorder="1" applyAlignment="1">
      <alignment vertical="center" wrapText="1"/>
    </xf>
    <xf numFmtId="44" fontId="32" fillId="4" borderId="16" xfId="0" applyNumberFormat="1" applyFont="1" applyFill="1" applyBorder="1" applyAlignment="1">
      <alignment vertical="center" wrapText="1"/>
    </xf>
    <xf numFmtId="44" fontId="35" fillId="0" borderId="11" xfId="0" applyNumberFormat="1" applyFont="1" applyBorder="1" applyAlignment="1">
      <alignment vertical="center"/>
    </xf>
    <xf numFmtId="44" fontId="39" fillId="0" borderId="0" xfId="0" applyNumberFormat="1" applyFont="1" applyAlignment="1">
      <alignment vertical="center"/>
    </xf>
    <xf numFmtId="0" fontId="34" fillId="0" borderId="0" xfId="0" applyFont="1"/>
    <xf numFmtId="0" fontId="40" fillId="8" borderId="10" xfId="0" applyFont="1" applyFill="1" applyBorder="1" applyAlignment="1">
      <alignment horizontal="center" vertical="center"/>
    </xf>
    <xf numFmtId="44" fontId="34" fillId="0" borderId="0" xfId="0" applyNumberFormat="1" applyFont="1" applyAlignment="1">
      <alignment vertical="center"/>
    </xf>
    <xf numFmtId="0" fontId="34" fillId="0" borderId="0" xfId="0" applyFont="1" applyAlignment="1">
      <alignment horizontal="center" vertical="center"/>
    </xf>
    <xf numFmtId="0" fontId="32" fillId="4" borderId="0" xfId="0" applyFont="1" applyFill="1" applyAlignment="1">
      <alignment vertical="center"/>
    </xf>
    <xf numFmtId="44" fontId="32" fillId="4" borderId="0" xfId="0" applyNumberFormat="1" applyFont="1" applyFill="1" applyAlignment="1">
      <alignment vertical="center"/>
    </xf>
    <xf numFmtId="0" fontId="34" fillId="0" borderId="40" xfId="0" applyFont="1" applyBorder="1" applyAlignment="1">
      <alignment vertical="center"/>
    </xf>
    <xf numFmtId="0" fontId="34" fillId="0" borderId="39" xfId="0" applyFont="1" applyBorder="1"/>
    <xf numFmtId="44" fontId="34" fillId="0" borderId="37" xfId="0" applyNumberFormat="1" applyFont="1" applyBorder="1" applyAlignment="1">
      <alignment vertical="center"/>
    </xf>
    <xf numFmtId="0" fontId="34" fillId="0" borderId="38" xfId="0" applyFont="1" applyBorder="1" applyAlignment="1">
      <alignment vertical="center"/>
    </xf>
    <xf numFmtId="44" fontId="34" fillId="0" borderId="18" xfId="0" applyNumberFormat="1" applyFont="1" applyBorder="1" applyAlignment="1">
      <alignment vertical="center"/>
    </xf>
    <xf numFmtId="0" fontId="0" fillId="0" borderId="38" xfId="0" applyBorder="1"/>
    <xf numFmtId="44" fontId="35" fillId="0" borderId="18" xfId="0" applyNumberFormat="1" applyFont="1" applyBorder="1" applyAlignment="1">
      <alignment vertical="center"/>
    </xf>
    <xf numFmtId="0" fontId="40" fillId="0" borderId="38" xfId="0" applyFont="1" applyBorder="1" applyAlignment="1">
      <alignment vertical="center"/>
    </xf>
    <xf numFmtId="0" fontId="34" fillId="0" borderId="19" xfId="0" applyFont="1" applyBorder="1" applyAlignment="1">
      <alignment vertical="center"/>
    </xf>
    <xf numFmtId="0" fontId="34" fillId="0" borderId="20" xfId="0" applyFont="1" applyBorder="1"/>
    <xf numFmtId="44" fontId="34" fillId="0" borderId="21" xfId="0" applyNumberFormat="1" applyFont="1" applyBorder="1" applyAlignment="1">
      <alignment vertical="center"/>
    </xf>
    <xf numFmtId="44" fontId="32" fillId="4" borderId="0" xfId="0" applyNumberFormat="1" applyFont="1" applyFill="1" applyAlignment="1">
      <alignment horizontal="left" vertical="center"/>
    </xf>
    <xf numFmtId="0" fontId="36" fillId="0" borderId="0" xfId="0" applyFont="1" applyAlignment="1">
      <alignment horizontal="center" vertical="center"/>
    </xf>
    <xf numFmtId="44" fontId="34" fillId="6" borderId="10" xfId="2" applyFont="1" applyFill="1" applyBorder="1" applyAlignment="1">
      <alignment vertical="center"/>
    </xf>
    <xf numFmtId="44" fontId="34" fillId="7" borderId="10" xfId="2" applyFont="1" applyFill="1" applyBorder="1" applyAlignment="1">
      <alignment vertical="center"/>
    </xf>
    <xf numFmtId="0" fontId="41" fillId="0" borderId="0" xfId="0" applyFont="1"/>
    <xf numFmtId="0" fontId="16" fillId="0" borderId="2" xfId="0" applyFont="1" applyBorder="1"/>
    <xf numFmtId="0" fontId="17" fillId="0" borderId="0" xfId="0" applyFont="1" applyAlignment="1">
      <alignment horizontal="left"/>
    </xf>
    <xf numFmtId="4" fontId="17" fillId="0" borderId="0" xfId="0" applyNumberFormat="1" applyFont="1" applyAlignment="1">
      <alignment horizontal="right"/>
    </xf>
    <xf numFmtId="4" fontId="9" fillId="0" borderId="0" xfId="1" applyNumberFormat="1" applyFont="1" applyAlignment="1">
      <alignment horizontal="right" vertical="center"/>
    </xf>
    <xf numFmtId="0" fontId="21" fillId="0" borderId="0" xfId="0" applyFont="1" applyAlignment="1">
      <alignment horizontal="left" wrapText="1"/>
    </xf>
    <xf numFmtId="0" fontId="17" fillId="0" borderId="9" xfId="0" applyFont="1" applyBorder="1" applyAlignment="1">
      <alignment vertical="top"/>
    </xf>
    <xf numFmtId="0" fontId="17" fillId="0" borderId="9" xfId="0" applyFont="1" applyBorder="1" applyAlignment="1">
      <alignment vertical="top" wrapText="1"/>
    </xf>
    <xf numFmtId="0" fontId="17" fillId="0" borderId="9" xfId="0" applyFont="1" applyBorder="1" applyAlignment="1">
      <alignment horizontal="left" vertical="top"/>
    </xf>
    <xf numFmtId="4" fontId="17" fillId="0" borderId="9" xfId="0" applyNumberFormat="1" applyFont="1" applyBorder="1" applyAlignment="1">
      <alignment horizontal="right" vertical="top"/>
    </xf>
    <xf numFmtId="0" fontId="17" fillId="0" borderId="7" xfId="0" applyFont="1" applyBorder="1" applyAlignment="1">
      <alignment vertical="top"/>
    </xf>
    <xf numFmtId="0" fontId="17" fillId="0" borderId="7" xfId="0" applyFont="1" applyBorder="1" applyAlignment="1">
      <alignment vertical="top" wrapText="1"/>
    </xf>
    <xf numFmtId="0" fontId="17" fillId="0" borderId="7" xfId="0" applyFont="1" applyBorder="1" applyAlignment="1">
      <alignment horizontal="left" vertical="top"/>
    </xf>
    <xf numFmtId="4" fontId="17" fillId="0" borderId="7" xfId="0" applyNumberFormat="1" applyFont="1" applyBorder="1" applyAlignment="1">
      <alignment horizontal="right" vertical="top"/>
    </xf>
    <xf numFmtId="0" fontId="17" fillId="0" borderId="5" xfId="0" applyFont="1" applyBorder="1" applyAlignment="1">
      <alignment vertical="top"/>
    </xf>
    <xf numFmtId="0" fontId="17" fillId="0" borderId="5" xfId="0" applyFont="1" applyBorder="1" applyAlignment="1">
      <alignment vertical="top" wrapText="1"/>
    </xf>
    <xf numFmtId="0" fontId="17" fillId="0" borderId="5" xfId="0" applyFont="1" applyBorder="1" applyAlignment="1">
      <alignment horizontal="left" vertical="top"/>
    </xf>
    <xf numFmtId="4" fontId="17" fillId="0" borderId="5" xfId="0" applyNumberFormat="1" applyFont="1" applyBorder="1" applyAlignment="1">
      <alignment horizontal="right" vertical="top"/>
    </xf>
    <xf numFmtId="0" fontId="17" fillId="0" borderId="57" xfId="0" applyFont="1" applyBorder="1" applyAlignment="1">
      <alignment vertical="top"/>
    </xf>
    <xf numFmtId="0" fontId="17" fillId="0" borderId="57" xfId="0" applyFont="1" applyBorder="1" applyAlignment="1">
      <alignment vertical="top" wrapText="1"/>
    </xf>
    <xf numFmtId="0" fontId="17" fillId="0" borderId="57" xfId="0" applyFont="1" applyBorder="1" applyAlignment="1">
      <alignment horizontal="left" vertical="top"/>
    </xf>
    <xf numFmtId="4" fontId="17" fillId="0" borderId="57" xfId="0" applyNumberFormat="1" applyFont="1" applyBorder="1" applyAlignment="1">
      <alignment horizontal="right" vertical="top"/>
    </xf>
    <xf numFmtId="0" fontId="42" fillId="0" borderId="0" xfId="3"/>
    <xf numFmtId="8" fontId="43" fillId="0" borderId="0" xfId="3" applyNumberFormat="1" applyFont="1"/>
    <xf numFmtId="167" fontId="42" fillId="0" borderId="0" xfId="3" applyNumberFormat="1"/>
    <xf numFmtId="0" fontId="45" fillId="0" borderId="0" xfId="3" applyFont="1"/>
    <xf numFmtId="0" fontId="42" fillId="0" borderId="0" xfId="3" applyAlignment="1">
      <alignment horizontal="center"/>
    </xf>
    <xf numFmtId="0" fontId="44" fillId="0" borderId="0" xfId="5"/>
    <xf numFmtId="0" fontId="47" fillId="0" borderId="0" xfId="3" applyFont="1"/>
    <xf numFmtId="0" fontId="49" fillId="0" borderId="10" xfId="3" applyFont="1" applyBorder="1" applyAlignment="1">
      <alignment vertical="center"/>
    </xf>
    <xf numFmtId="4" fontId="49" fillId="9" borderId="10" xfId="4" applyNumberFormat="1" applyFont="1" applyFill="1" applyBorder="1" applyAlignment="1">
      <alignment horizontal="center" vertical="center"/>
    </xf>
    <xf numFmtId="4" fontId="49" fillId="9" borderId="10" xfId="3" applyNumberFormat="1" applyFont="1" applyFill="1" applyBorder="1" applyAlignment="1">
      <alignment horizontal="center" vertical="center"/>
    </xf>
    <xf numFmtId="0" fontId="49" fillId="0" borderId="10" xfId="3" applyFont="1" applyBorder="1" applyAlignment="1">
      <alignment vertical="center" wrapText="1"/>
    </xf>
    <xf numFmtId="4" fontId="49" fillId="9" borderId="10" xfId="4" applyNumberFormat="1" applyFont="1" applyFill="1" applyBorder="1" applyAlignment="1">
      <alignment horizontal="right" vertical="center"/>
    </xf>
    <xf numFmtId="4" fontId="49" fillId="9" borderId="10" xfId="3" applyNumberFormat="1" applyFont="1" applyFill="1" applyBorder="1" applyAlignment="1">
      <alignment horizontal="right" vertical="center"/>
    </xf>
    <xf numFmtId="168" fontId="50" fillId="10" borderId="10" xfId="3" applyNumberFormat="1" applyFont="1" applyFill="1" applyBorder="1" applyAlignment="1">
      <alignment horizontal="center" vertical="center"/>
    </xf>
    <xf numFmtId="0" fontId="47" fillId="11" borderId="38" xfId="3" applyFont="1" applyFill="1" applyBorder="1"/>
    <xf numFmtId="0" fontId="47" fillId="0" borderId="38" xfId="3" applyFont="1" applyBorder="1"/>
    <xf numFmtId="0" fontId="49" fillId="0" borderId="10" xfId="3" applyFont="1" applyBorder="1" applyAlignment="1">
      <alignment horizontal="center" vertical="center"/>
    </xf>
    <xf numFmtId="0" fontId="53" fillId="0" borderId="10" xfId="3" applyFont="1" applyBorder="1" applyAlignment="1">
      <alignment horizontal="center" vertical="center"/>
    </xf>
    <xf numFmtId="0" fontId="49" fillId="9" borderId="10" xfId="3" applyFont="1" applyFill="1" applyBorder="1" applyAlignment="1">
      <alignment horizontal="center" vertical="center"/>
    </xf>
    <xf numFmtId="9" fontId="49" fillId="9" borderId="10" xfId="3" applyNumberFormat="1" applyFont="1" applyFill="1" applyBorder="1" applyAlignment="1">
      <alignment horizontal="center" vertical="center"/>
    </xf>
    <xf numFmtId="0" fontId="51" fillId="0" borderId="10" xfId="3" applyFont="1" applyBorder="1" applyAlignment="1">
      <alignment vertical="center"/>
    </xf>
    <xf numFmtId="0" fontId="56" fillId="0" borderId="10" xfId="3" applyFont="1" applyBorder="1" applyAlignment="1">
      <alignment horizontal="center" vertical="center"/>
    </xf>
    <xf numFmtId="0" fontId="57" fillId="0" borderId="0" xfId="5" applyFont="1"/>
    <xf numFmtId="166" fontId="58" fillId="0" borderId="0" xfId="5" applyNumberFormat="1" applyFont="1" applyAlignment="1">
      <alignment horizontal="left"/>
    </xf>
    <xf numFmtId="0" fontId="57" fillId="10" borderId="10" xfId="5" applyFont="1" applyFill="1" applyBorder="1"/>
    <xf numFmtId="0" fontId="57" fillId="0" borderId="38" xfId="5" applyFont="1" applyBorder="1"/>
    <xf numFmtId="0" fontId="57" fillId="0" borderId="18" xfId="5" applyFont="1" applyBorder="1"/>
    <xf numFmtId="0" fontId="47" fillId="0" borderId="0" xfId="3" applyFont="1" applyAlignment="1">
      <alignment horizontal="center"/>
    </xf>
    <xf numFmtId="0" fontId="47" fillId="0" borderId="18" xfId="3" applyFont="1" applyBorder="1"/>
    <xf numFmtId="0" fontId="57" fillId="12" borderId="10" xfId="5" applyFont="1" applyFill="1" applyBorder="1" applyAlignment="1">
      <alignment horizontal="center" vertical="center"/>
    </xf>
    <xf numFmtId="0" fontId="57" fillId="12" borderId="10" xfId="5" applyFont="1" applyFill="1" applyBorder="1"/>
    <xf numFmtId="0" fontId="42" fillId="12" borderId="0" xfId="3" applyFill="1"/>
    <xf numFmtId="0" fontId="47" fillId="12" borderId="10" xfId="3" applyFont="1" applyFill="1" applyBorder="1" applyAlignment="1">
      <alignment horizontal="left"/>
    </xf>
    <xf numFmtId="0" fontId="52" fillId="12" borderId="10" xfId="3" applyFont="1" applyFill="1" applyBorder="1" applyAlignment="1">
      <alignment horizontal="center" vertical="center"/>
    </xf>
    <xf numFmtId="0" fontId="48" fillId="13" borderId="10" xfId="3" applyFont="1" applyFill="1" applyBorder="1" applyAlignment="1">
      <alignment horizontal="center"/>
    </xf>
    <xf numFmtId="0" fontId="49" fillId="13" borderId="10" xfId="3" applyFont="1" applyFill="1" applyBorder="1" applyAlignment="1">
      <alignment horizontal="center" vertical="center"/>
    </xf>
    <xf numFmtId="14" fontId="58" fillId="13" borderId="10" xfId="5" applyNumberFormat="1" applyFont="1" applyFill="1" applyBorder="1" applyAlignment="1">
      <alignment horizontal="left" vertical="center"/>
    </xf>
    <xf numFmtId="20" fontId="57" fillId="13" borderId="10" xfId="5" applyNumberFormat="1" applyFont="1" applyFill="1" applyBorder="1" applyAlignment="1">
      <alignment horizontal="left" vertical="center"/>
    </xf>
    <xf numFmtId="0" fontId="48" fillId="14" borderId="10" xfId="3" applyFont="1" applyFill="1" applyBorder="1" applyAlignment="1">
      <alignment horizontal="center"/>
    </xf>
    <xf numFmtId="14" fontId="58" fillId="15" borderId="10" xfId="5" applyNumberFormat="1" applyFont="1" applyFill="1" applyBorder="1" applyAlignment="1">
      <alignment horizontal="left" vertical="center"/>
    </xf>
    <xf numFmtId="20" fontId="57" fillId="15" borderId="10" xfId="5" applyNumberFormat="1" applyFont="1" applyFill="1" applyBorder="1" applyAlignment="1">
      <alignment horizontal="left" vertical="center"/>
    </xf>
    <xf numFmtId="0" fontId="57" fillId="15" borderId="10" xfId="5" applyFont="1" applyFill="1" applyBorder="1" applyAlignment="1">
      <alignment horizontal="left" vertical="center"/>
    </xf>
    <xf numFmtId="0" fontId="48" fillId="15" borderId="10" xfId="3" applyFont="1" applyFill="1" applyBorder="1" applyAlignment="1">
      <alignment horizontal="center"/>
    </xf>
    <xf numFmtId="0" fontId="49" fillId="15" borderId="10" xfId="3" applyFont="1" applyFill="1" applyBorder="1" applyAlignment="1">
      <alignment horizontal="center" vertical="center"/>
    </xf>
    <xf numFmtId="0" fontId="47" fillId="0" borderId="19" xfId="3" applyFont="1" applyBorder="1" applyAlignment="1">
      <alignment horizontal="center"/>
    </xf>
    <xf numFmtId="0" fontId="47" fillId="0" borderId="21" xfId="3" applyFont="1" applyBorder="1" applyAlignment="1">
      <alignment horizontal="center"/>
    </xf>
    <xf numFmtId="0" fontId="47" fillId="0" borderId="20" xfId="3" applyFont="1" applyBorder="1" applyAlignment="1">
      <alignment horizontal="center"/>
    </xf>
    <xf numFmtId="165" fontId="50" fillId="12" borderId="15" xfId="3" applyNumberFormat="1" applyFont="1" applyFill="1" applyBorder="1" applyAlignment="1">
      <alignment horizontal="center" vertical="center"/>
    </xf>
    <xf numFmtId="165" fontId="50" fillId="12" borderId="16" xfId="3" applyNumberFormat="1" applyFont="1" applyFill="1" applyBorder="1" applyAlignment="1">
      <alignment horizontal="center" vertical="center"/>
    </xf>
    <xf numFmtId="165" fontId="50" fillId="12" borderId="11" xfId="3" applyNumberFormat="1" applyFont="1" applyFill="1" applyBorder="1" applyAlignment="1">
      <alignment horizontal="center" vertical="center"/>
    </xf>
    <xf numFmtId="0" fontId="48" fillId="15" borderId="15" xfId="3" applyFont="1" applyFill="1" applyBorder="1" applyAlignment="1">
      <alignment horizontal="center" vertical="center"/>
    </xf>
    <xf numFmtId="0" fontId="48" fillId="15" borderId="16" xfId="3" applyFont="1" applyFill="1" applyBorder="1" applyAlignment="1">
      <alignment horizontal="center" vertical="center"/>
    </xf>
    <xf numFmtId="0" fontId="48" fillId="15" borderId="11" xfId="3" applyFont="1" applyFill="1" applyBorder="1" applyAlignment="1">
      <alignment horizontal="center" vertical="center"/>
    </xf>
    <xf numFmtId="0" fontId="47" fillId="12" borderId="10" xfId="3" applyFont="1" applyFill="1" applyBorder="1" applyAlignment="1">
      <alignment horizontal="left"/>
    </xf>
    <xf numFmtId="166" fontId="48" fillId="15" borderId="10" xfId="3" applyNumberFormat="1" applyFont="1" applyFill="1" applyBorder="1" applyAlignment="1">
      <alignment horizontal="center"/>
    </xf>
    <xf numFmtId="0" fontId="48" fillId="10" borderId="40" xfId="3" applyFont="1" applyFill="1" applyBorder="1" applyAlignment="1">
      <alignment horizontal="center"/>
    </xf>
    <xf numFmtId="0" fontId="48" fillId="10" borderId="37" xfId="3" applyFont="1" applyFill="1" applyBorder="1" applyAlignment="1">
      <alignment horizontal="center"/>
    </xf>
    <xf numFmtId="0" fontId="48" fillId="10" borderId="39" xfId="3" applyFont="1" applyFill="1" applyBorder="1" applyAlignment="1">
      <alignment horizontal="center"/>
    </xf>
    <xf numFmtId="0" fontId="46" fillId="12" borderId="15" xfId="3" applyFont="1" applyFill="1" applyBorder="1" applyAlignment="1">
      <alignment horizontal="center"/>
    </xf>
    <xf numFmtId="0" fontId="46" fillId="12" borderId="16" xfId="3" applyFont="1" applyFill="1" applyBorder="1" applyAlignment="1">
      <alignment horizontal="center"/>
    </xf>
    <xf numFmtId="0" fontId="46" fillId="12" borderId="11" xfId="3" applyFont="1" applyFill="1" applyBorder="1" applyAlignment="1">
      <alignment horizontal="center"/>
    </xf>
    <xf numFmtId="0" fontId="47" fillId="12" borderId="10" xfId="3" applyFont="1" applyFill="1" applyBorder="1" applyAlignment="1">
      <alignment horizontal="left" vertical="center"/>
    </xf>
    <xf numFmtId="1" fontId="55" fillId="15" borderId="10" xfId="3" applyNumberFormat="1" applyFont="1" applyFill="1" applyBorder="1" applyAlignment="1">
      <alignment horizontal="center" vertical="center"/>
    </xf>
    <xf numFmtId="0" fontId="48" fillId="15" borderId="10" xfId="3" applyFont="1" applyFill="1" applyBorder="1" applyAlignment="1">
      <alignment horizontal="center"/>
    </xf>
    <xf numFmtId="166" fontId="48" fillId="13" borderId="10" xfId="3" applyNumberFormat="1" applyFont="1" applyFill="1" applyBorder="1" applyAlignment="1">
      <alignment horizontal="center"/>
    </xf>
    <xf numFmtId="0" fontId="48" fillId="13" borderId="15" xfId="3" applyFont="1" applyFill="1" applyBorder="1" applyAlignment="1">
      <alignment horizontal="center" vertical="center"/>
    </xf>
    <xf numFmtId="0" fontId="48" fillId="13" borderId="16" xfId="3" applyFont="1" applyFill="1" applyBorder="1" applyAlignment="1">
      <alignment horizontal="center" vertical="center"/>
    </xf>
    <xf numFmtId="0" fontId="48" fillId="13" borderId="11" xfId="3" applyFont="1" applyFill="1" applyBorder="1" applyAlignment="1">
      <alignment horizontal="center" vertical="center"/>
    </xf>
    <xf numFmtId="1" fontId="55" fillId="13" borderId="10" xfId="3" applyNumberFormat="1" applyFont="1" applyFill="1" applyBorder="1" applyAlignment="1">
      <alignment horizontal="center" vertical="center"/>
    </xf>
    <xf numFmtId="0" fontId="48" fillId="13" borderId="10" xfId="3" applyFont="1" applyFill="1" applyBorder="1" applyAlignment="1">
      <alignment horizontal="center"/>
    </xf>
    <xf numFmtId="1" fontId="59" fillId="13" borderId="40" xfId="5" applyNumberFormat="1" applyFont="1" applyFill="1" applyBorder="1" applyAlignment="1">
      <alignment horizontal="center" vertical="center"/>
    </xf>
    <xf numFmtId="1" fontId="59" fillId="13" borderId="37" xfId="5" applyNumberFormat="1" applyFont="1" applyFill="1" applyBorder="1" applyAlignment="1">
      <alignment horizontal="center" vertical="center"/>
    </xf>
    <xf numFmtId="1" fontId="59" fillId="13" borderId="38" xfId="5" applyNumberFormat="1" applyFont="1" applyFill="1" applyBorder="1" applyAlignment="1">
      <alignment horizontal="center" vertical="center"/>
    </xf>
    <xf numFmtId="1" fontId="59" fillId="13" borderId="18" xfId="5" applyNumberFormat="1" applyFont="1" applyFill="1" applyBorder="1" applyAlignment="1">
      <alignment horizontal="center" vertical="center"/>
    </xf>
    <xf numFmtId="1" fontId="59" fillId="13" borderId="19" xfId="5" applyNumberFormat="1" applyFont="1" applyFill="1" applyBorder="1" applyAlignment="1">
      <alignment horizontal="center" vertical="center"/>
    </xf>
    <xf numFmtId="1" fontId="59" fillId="13" borderId="21" xfId="5" applyNumberFormat="1" applyFont="1" applyFill="1" applyBorder="1" applyAlignment="1">
      <alignment horizontal="center" vertical="center"/>
    </xf>
    <xf numFmtId="166" fontId="58" fillId="0" borderId="0" xfId="5" applyNumberFormat="1" applyFont="1" applyAlignment="1">
      <alignment horizontal="left"/>
    </xf>
    <xf numFmtId="0" fontId="58" fillId="13" borderId="10" xfId="5" applyFont="1" applyFill="1" applyBorder="1" applyAlignment="1">
      <alignment horizontal="center"/>
    </xf>
    <xf numFmtId="166" fontId="58" fillId="13" borderId="10" xfId="5" applyNumberFormat="1" applyFont="1" applyFill="1" applyBorder="1" applyAlignment="1">
      <alignment horizontal="center" vertical="center"/>
    </xf>
    <xf numFmtId="0" fontId="60" fillId="12" borderId="40" xfId="5" applyFont="1" applyFill="1" applyBorder="1" applyAlignment="1">
      <alignment horizontal="center" vertical="center"/>
    </xf>
    <xf numFmtId="0" fontId="60" fillId="12" borderId="37" xfId="5" applyFont="1" applyFill="1" applyBorder="1" applyAlignment="1">
      <alignment horizontal="center" vertical="center"/>
    </xf>
    <xf numFmtId="0" fontId="60" fillId="12" borderId="38" xfId="5" applyFont="1" applyFill="1" applyBorder="1" applyAlignment="1">
      <alignment horizontal="center" vertical="center"/>
    </xf>
    <xf numFmtId="0" fontId="60" fillId="12" borderId="18" xfId="5" applyFont="1" applyFill="1" applyBorder="1" applyAlignment="1">
      <alignment horizontal="center" vertical="center"/>
    </xf>
    <xf numFmtId="0" fontId="60" fillId="12" borderId="19" xfId="5" applyFont="1" applyFill="1" applyBorder="1" applyAlignment="1">
      <alignment horizontal="center" vertical="center"/>
    </xf>
    <xf numFmtId="0" fontId="60" fillId="12" borderId="21" xfId="5" applyFont="1" applyFill="1" applyBorder="1" applyAlignment="1">
      <alignment horizontal="center" vertical="center"/>
    </xf>
    <xf numFmtId="0" fontId="57" fillId="0" borderId="10" xfId="5" applyFont="1" applyBorder="1" applyAlignment="1">
      <alignment horizontal="center"/>
    </xf>
    <xf numFmtId="0" fontId="58" fillId="13" borderId="10" xfId="5" applyFont="1" applyFill="1" applyBorder="1" applyAlignment="1">
      <alignment horizontal="center" wrapText="1"/>
    </xf>
    <xf numFmtId="0" fontId="57" fillId="12" borderId="10" xfId="5" applyFont="1" applyFill="1" applyBorder="1" applyAlignment="1">
      <alignment horizontal="center" vertical="center"/>
    </xf>
    <xf numFmtId="0" fontId="57" fillId="12" borderId="15" xfId="5" applyFont="1" applyFill="1" applyBorder="1" applyAlignment="1">
      <alignment horizontal="center" vertical="center"/>
    </xf>
    <xf numFmtId="0" fontId="57" fillId="12" borderId="16" xfId="5" applyFont="1" applyFill="1" applyBorder="1" applyAlignment="1">
      <alignment horizontal="center" vertical="center"/>
    </xf>
    <xf numFmtId="0" fontId="57" fillId="12" borderId="11" xfId="5" applyFont="1" applyFill="1" applyBorder="1" applyAlignment="1">
      <alignment horizontal="center" vertical="center"/>
    </xf>
    <xf numFmtId="166" fontId="58" fillId="13" borderId="15" xfId="5" applyNumberFormat="1" applyFont="1" applyFill="1" applyBorder="1" applyAlignment="1">
      <alignment horizontal="center" vertical="center"/>
    </xf>
    <xf numFmtId="166" fontId="58" fillId="13" borderId="16" xfId="5" applyNumberFormat="1" applyFont="1" applyFill="1" applyBorder="1" applyAlignment="1">
      <alignment horizontal="center" vertical="center"/>
    </xf>
    <xf numFmtId="166" fontId="58" fillId="13" borderId="11" xfId="5" applyNumberFormat="1" applyFont="1" applyFill="1" applyBorder="1" applyAlignment="1">
      <alignment horizontal="center" vertical="center"/>
    </xf>
    <xf numFmtId="0" fontId="57" fillId="13" borderId="10" xfId="5" applyFont="1" applyFill="1" applyBorder="1" applyAlignment="1">
      <alignment horizontal="left" vertical="center" wrapText="1"/>
    </xf>
    <xf numFmtId="0" fontId="57" fillId="13" borderId="10" xfId="5" applyFont="1" applyFill="1" applyBorder="1" applyAlignment="1">
      <alignment horizontal="left" vertical="center"/>
    </xf>
    <xf numFmtId="0" fontId="58" fillId="13" borderId="10" xfId="5" applyFont="1" applyFill="1" applyBorder="1" applyAlignment="1">
      <alignment horizontal="left" vertical="center" wrapText="1"/>
    </xf>
    <xf numFmtId="0" fontId="57" fillId="0" borderId="40" xfId="5" applyFont="1" applyBorder="1" applyAlignment="1">
      <alignment horizontal="center"/>
    </xf>
    <xf numFmtId="0" fontId="57" fillId="0" borderId="39" xfId="5" applyFont="1" applyBorder="1" applyAlignment="1">
      <alignment horizontal="center"/>
    </xf>
    <xf numFmtId="0" fontId="57" fillId="0" borderId="37" xfId="5" applyFont="1" applyBorder="1" applyAlignment="1">
      <alignment horizontal="center"/>
    </xf>
    <xf numFmtId="0" fontId="57" fillId="0" borderId="19" xfId="5" applyFont="1" applyBorder="1" applyAlignment="1">
      <alignment horizontal="center"/>
    </xf>
    <xf numFmtId="0" fontId="57" fillId="0" borderId="20" xfId="5" applyFont="1" applyBorder="1" applyAlignment="1">
      <alignment horizontal="center"/>
    </xf>
    <xf numFmtId="0" fontId="57" fillId="0" borderId="21" xfId="5" applyFont="1" applyBorder="1" applyAlignment="1">
      <alignment horizontal="center"/>
    </xf>
    <xf numFmtId="1" fontId="59" fillId="15" borderId="40" xfId="5" applyNumberFormat="1" applyFont="1" applyFill="1" applyBorder="1" applyAlignment="1">
      <alignment horizontal="center" vertical="center"/>
    </xf>
    <xf numFmtId="1" fontId="59" fillId="15" borderId="37" xfId="5" applyNumberFormat="1" applyFont="1" applyFill="1" applyBorder="1" applyAlignment="1">
      <alignment horizontal="center" vertical="center"/>
    </xf>
    <xf numFmtId="1" fontId="59" fillId="15" borderId="38" xfId="5" applyNumberFormat="1" applyFont="1" applyFill="1" applyBorder="1" applyAlignment="1">
      <alignment horizontal="center" vertical="center"/>
    </xf>
    <xf numFmtId="1" fontId="59" fillId="15" borderId="18" xfId="5" applyNumberFormat="1" applyFont="1" applyFill="1" applyBorder="1" applyAlignment="1">
      <alignment horizontal="center" vertical="center"/>
    </xf>
    <xf numFmtId="1" fontId="59" fillId="15" borderId="19" xfId="5" applyNumberFormat="1" applyFont="1" applyFill="1" applyBorder="1" applyAlignment="1">
      <alignment horizontal="center" vertical="center"/>
    </xf>
    <xf numFmtId="1" fontId="59" fillId="15" borderId="21" xfId="5" applyNumberFormat="1" applyFont="1" applyFill="1" applyBorder="1" applyAlignment="1">
      <alignment horizontal="center" vertical="center"/>
    </xf>
    <xf numFmtId="0" fontId="58" fillId="15" borderId="10" xfId="5" applyFont="1" applyFill="1" applyBorder="1" applyAlignment="1">
      <alignment horizontal="center"/>
    </xf>
    <xf numFmtId="166" fontId="58" fillId="15" borderId="10" xfId="5" applyNumberFormat="1" applyFont="1" applyFill="1" applyBorder="1" applyAlignment="1">
      <alignment horizontal="center" vertical="center"/>
    </xf>
    <xf numFmtId="0" fontId="58" fillId="15" borderId="10" xfId="5" applyFont="1" applyFill="1" applyBorder="1" applyAlignment="1">
      <alignment horizontal="center" wrapText="1"/>
    </xf>
    <xf numFmtId="166" fontId="58" fillId="15" borderId="15" xfId="5" applyNumberFormat="1" applyFont="1" applyFill="1" applyBorder="1" applyAlignment="1">
      <alignment horizontal="center" vertical="center"/>
    </xf>
    <xf numFmtId="166" fontId="58" fillId="15" borderId="16" xfId="5" applyNumberFormat="1" applyFont="1" applyFill="1" applyBorder="1" applyAlignment="1">
      <alignment horizontal="center" vertical="center"/>
    </xf>
    <xf numFmtId="166" fontId="58" fillId="15" borderId="11" xfId="5" applyNumberFormat="1" applyFont="1" applyFill="1" applyBorder="1" applyAlignment="1">
      <alignment horizontal="center" vertical="center"/>
    </xf>
    <xf numFmtId="0" fontId="57" fillId="15" borderId="10" xfId="5" applyFont="1" applyFill="1" applyBorder="1" applyAlignment="1">
      <alignment horizontal="left" vertical="center"/>
    </xf>
    <xf numFmtId="0" fontId="22" fillId="0" borderId="0" xfId="0" applyFont="1" applyAlignment="1">
      <alignment vertical="center" wrapText="1"/>
    </xf>
    <xf numFmtId="0" fontId="12" fillId="0" borderId="0" xfId="0" applyFont="1" applyAlignment="1">
      <alignment horizontal="left" vertical="top" wrapText="1"/>
    </xf>
    <xf numFmtId="0" fontId="31" fillId="0" borderId="0" xfId="0" applyFont="1" applyAlignment="1">
      <alignment horizontal="left" vertical="top" wrapText="1"/>
    </xf>
    <xf numFmtId="0" fontId="28" fillId="2" borderId="0" xfId="0" applyFont="1" applyFill="1" applyAlignment="1">
      <alignment horizontal="left" vertic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20" fillId="2" borderId="0" xfId="0" applyFont="1" applyFill="1" applyAlignment="1">
      <alignment vertical="center"/>
    </xf>
    <xf numFmtId="0" fontId="20" fillId="2" borderId="0" xfId="0" applyFont="1" applyFill="1" applyAlignment="1">
      <alignment horizontal="left" vertical="center"/>
    </xf>
    <xf numFmtId="4" fontId="20" fillId="2" borderId="0" xfId="0" applyNumberFormat="1" applyFont="1" applyFill="1" applyAlignment="1">
      <alignment horizontal="right" vertical="center"/>
    </xf>
    <xf numFmtId="0" fontId="18" fillId="0" borderId="56" xfId="0" applyFont="1" applyBorder="1"/>
    <xf numFmtId="0" fontId="18" fillId="0" borderId="56" xfId="0" applyFont="1" applyBorder="1" applyAlignment="1">
      <alignment horizontal="left"/>
    </xf>
    <xf numFmtId="4" fontId="18" fillId="0" borderId="56" xfId="0" applyNumberFormat="1" applyFont="1" applyBorder="1" applyAlignment="1">
      <alignment horizontal="right"/>
    </xf>
    <xf numFmtId="0" fontId="22" fillId="0" borderId="0" xfId="0" applyFont="1" applyAlignment="1">
      <alignment vertical="top" wrapText="1"/>
    </xf>
    <xf numFmtId="4" fontId="22" fillId="0" borderId="0" xfId="0" applyNumberFormat="1" applyFont="1" applyAlignment="1">
      <alignment horizontal="right" vertical="top" wrapText="1"/>
    </xf>
    <xf numFmtId="0" fontId="34" fillId="0" borderId="17" xfId="0" applyFont="1" applyBorder="1" applyAlignment="1">
      <alignment horizontal="center" vertical="center"/>
    </xf>
    <xf numFmtId="0" fontId="0" fillId="0" borderId="0" xfId="0"/>
    <xf numFmtId="0" fontId="0" fillId="0" borderId="18" xfId="0" applyBorder="1"/>
    <xf numFmtId="0" fontId="34" fillId="6" borderId="10" xfId="0" applyFont="1" applyFill="1" applyBorder="1" applyAlignment="1">
      <alignment horizontal="left" vertical="center"/>
    </xf>
    <xf numFmtId="0" fontId="0" fillId="0" borderId="17" xfId="0" applyBorder="1"/>
    <xf numFmtId="0" fontId="0" fillId="0" borderId="12" xfId="0" applyBorder="1"/>
    <xf numFmtId="44" fontId="34" fillId="6" borderId="10" xfId="0" applyNumberFormat="1" applyFont="1" applyFill="1" applyBorder="1" applyAlignment="1">
      <alignment horizontal="left" vertical="center"/>
    </xf>
    <xf numFmtId="0" fontId="32" fillId="4" borderId="15" xfId="0" applyFont="1" applyFill="1" applyBorder="1" applyAlignment="1">
      <alignment horizontal="left"/>
    </xf>
    <xf numFmtId="0" fontId="0" fillId="0" borderId="16" xfId="0" applyBorder="1"/>
    <xf numFmtId="0" fontId="34" fillId="0" borderId="12" xfId="0" applyFont="1" applyBorder="1" applyAlignment="1">
      <alignment horizontal="center" vertical="center" wrapText="1"/>
    </xf>
    <xf numFmtId="0" fontId="0" fillId="0" borderId="20" xfId="0" applyBorder="1"/>
    <xf numFmtId="0" fontId="0" fillId="0" borderId="21" xfId="0" applyBorder="1"/>
    <xf numFmtId="0" fontId="32" fillId="4" borderId="10" xfId="0" applyFont="1" applyFill="1" applyBorder="1" applyAlignment="1">
      <alignment horizontal="left" vertical="center"/>
    </xf>
    <xf numFmtId="0" fontId="0" fillId="0" borderId="11" xfId="0" applyBorder="1"/>
    <xf numFmtId="0" fontId="34" fillId="7" borderId="10" xfId="0" applyFont="1" applyFill="1" applyBorder="1" applyAlignment="1">
      <alignment horizontal="left" vertical="center"/>
    </xf>
    <xf numFmtId="0" fontId="32" fillId="4" borderId="15" xfId="0" applyFont="1" applyFill="1" applyBorder="1" applyAlignment="1">
      <alignment horizontal="left" vertical="center"/>
    </xf>
    <xf numFmtId="0" fontId="32" fillId="4" borderId="13" xfId="0" applyFont="1" applyFill="1" applyBorder="1" applyAlignment="1">
      <alignment horizontal="left" vertical="center"/>
    </xf>
    <xf numFmtId="0" fontId="0" fillId="0" borderId="37" xfId="0" applyBorder="1"/>
    <xf numFmtId="0" fontId="34" fillId="0" borderId="29" xfId="0" applyFont="1" applyBorder="1" applyAlignment="1">
      <alignment horizontal="center" vertical="center"/>
    </xf>
    <xf numFmtId="0" fontId="0" fillId="0" borderId="30" xfId="0" applyBorder="1"/>
    <xf numFmtId="0" fontId="0" fillId="0" borderId="31" xfId="0" applyBorder="1"/>
    <xf numFmtId="0" fontId="34" fillId="0" borderId="32" xfId="0" applyFont="1" applyBorder="1" applyAlignment="1">
      <alignment horizontal="center" vertical="center"/>
    </xf>
    <xf numFmtId="0" fontId="0" fillId="0" borderId="33" xfId="0" applyBorder="1"/>
    <xf numFmtId="0" fontId="0" fillId="0" borderId="34" xfId="0" applyBorder="1"/>
    <xf numFmtId="0" fontId="35" fillId="0" borderId="16" xfId="0" applyFont="1" applyBorder="1" applyAlignment="1">
      <alignment horizontal="left" vertical="center"/>
    </xf>
    <xf numFmtId="0" fontId="32" fillId="4" borderId="12" xfId="0" applyFont="1" applyFill="1" applyBorder="1" applyAlignment="1">
      <alignment vertical="center"/>
    </xf>
    <xf numFmtId="0" fontId="0" fillId="0" borderId="17" xfId="0" applyBorder="1" applyAlignment="1">
      <alignment horizontal="center"/>
    </xf>
    <xf numFmtId="0" fontId="34" fillId="0" borderId="17" xfId="0" applyFont="1" applyBorder="1" applyAlignment="1">
      <alignment horizontal="left" vertical="center"/>
    </xf>
    <xf numFmtId="0" fontId="34" fillId="0" borderId="13" xfId="0" applyFont="1" applyBorder="1" applyAlignment="1">
      <alignment horizontal="left" vertical="center"/>
    </xf>
    <xf numFmtId="0" fontId="0" fillId="0" borderId="39" xfId="0" applyBorder="1"/>
    <xf numFmtId="0" fontId="32" fillId="4" borderId="19" xfId="0" applyFont="1" applyFill="1" applyBorder="1" applyAlignment="1">
      <alignment horizontal="left" vertical="center"/>
    </xf>
    <xf numFmtId="0" fontId="34" fillId="0" borderId="12" xfId="0" applyFont="1" applyBorder="1" applyAlignment="1">
      <alignment horizontal="left" vertical="center"/>
    </xf>
    <xf numFmtId="0" fontId="37" fillId="4" borderId="10" xfId="0" applyFont="1" applyFill="1" applyBorder="1" applyAlignment="1">
      <alignment horizontal="left" vertical="center"/>
    </xf>
    <xf numFmtId="0" fontId="32" fillId="4" borderId="40" xfId="0" applyFont="1" applyFill="1" applyBorder="1" applyAlignment="1">
      <alignment horizontal="left" vertical="center"/>
    </xf>
    <xf numFmtId="0" fontId="38" fillId="4" borderId="10" xfId="0" applyFont="1" applyFill="1" applyBorder="1" applyAlignment="1">
      <alignment horizontal="left" vertical="center"/>
    </xf>
    <xf numFmtId="44" fontId="33" fillId="5" borderId="10" xfId="0" applyNumberFormat="1" applyFont="1" applyFill="1" applyBorder="1" applyAlignment="1">
      <alignment horizontal="left" vertical="center"/>
    </xf>
    <xf numFmtId="44" fontId="34" fillId="7" borderId="10" xfId="0" applyNumberFormat="1" applyFont="1" applyFill="1" applyBorder="1" applyAlignment="1">
      <alignment horizontal="left" vertical="center"/>
    </xf>
    <xf numFmtId="0" fontId="33" fillId="5" borderId="10" xfId="0" applyFont="1" applyFill="1" applyBorder="1" applyAlignment="1">
      <alignment horizontal="left" vertical="center"/>
    </xf>
    <xf numFmtId="0" fontId="33" fillId="5" borderId="12" xfId="0" applyFont="1" applyFill="1" applyBorder="1" applyAlignment="1">
      <alignment horizontal="center" vertical="center"/>
    </xf>
    <xf numFmtId="0" fontId="33" fillId="5" borderId="12" xfId="0" applyFont="1" applyFill="1" applyBorder="1" applyAlignment="1">
      <alignment horizontal="left" vertical="center"/>
    </xf>
    <xf numFmtId="44" fontId="33" fillId="5" borderId="12" xfId="0" applyNumberFormat="1" applyFont="1" applyFill="1" applyBorder="1" applyAlignment="1">
      <alignment horizontal="left" vertical="center"/>
    </xf>
    <xf numFmtId="0" fontId="33" fillId="5" borderId="10" xfId="0" applyFont="1" applyFill="1" applyBorder="1" applyAlignment="1">
      <alignment horizontal="center" vertical="center"/>
    </xf>
    <xf numFmtId="44" fontId="33" fillId="5" borderId="10" xfId="0" applyNumberFormat="1" applyFont="1" applyFill="1" applyBorder="1" applyAlignment="1">
      <alignment horizontal="center" vertical="center"/>
    </xf>
    <xf numFmtId="44" fontId="34" fillId="6" borderId="10" xfId="0" applyNumberFormat="1" applyFont="1" applyFill="1" applyBorder="1" applyAlignment="1">
      <alignment horizontal="center" vertical="center"/>
    </xf>
    <xf numFmtId="44" fontId="34" fillId="7" borderId="10" xfId="0" applyNumberFormat="1" applyFont="1" applyFill="1" applyBorder="1" applyAlignment="1">
      <alignment horizontal="center" vertical="center"/>
    </xf>
    <xf numFmtId="0" fontId="32" fillId="4" borderId="12" xfId="0" applyFont="1" applyFill="1" applyBorder="1" applyAlignment="1">
      <alignment horizontal="left" vertical="center"/>
    </xf>
    <xf numFmtId="0" fontId="32" fillId="4" borderId="20" xfId="0" applyFont="1" applyFill="1" applyBorder="1" applyAlignment="1">
      <alignment horizontal="left"/>
    </xf>
    <xf numFmtId="4" fontId="33" fillId="5" borderId="10" xfId="0" applyNumberFormat="1" applyFont="1" applyFill="1" applyBorder="1" applyAlignment="1">
      <alignment horizontal="center" vertical="center"/>
    </xf>
    <xf numFmtId="0" fontId="34" fillId="0" borderId="10" xfId="0" applyFont="1" applyBorder="1" applyAlignment="1">
      <alignment horizontal="center" vertical="center"/>
    </xf>
    <xf numFmtId="0" fontId="32" fillId="4" borderId="10" xfId="0" applyFont="1" applyFill="1" applyBorder="1" applyAlignment="1">
      <alignment horizontal="left" vertical="center" wrapText="1"/>
    </xf>
    <xf numFmtId="0" fontId="32" fillId="4" borderId="11" xfId="0" applyFont="1" applyFill="1" applyBorder="1" applyAlignment="1">
      <alignment horizontal="left" vertical="center"/>
    </xf>
    <xf numFmtId="0" fontId="32" fillId="4" borderId="10" xfId="0" applyFont="1" applyFill="1" applyBorder="1" applyAlignment="1">
      <alignment horizontal="left"/>
    </xf>
    <xf numFmtId="44" fontId="34" fillId="6" borderId="13" xfId="0" applyNumberFormat="1" applyFont="1" applyFill="1" applyBorder="1" applyAlignment="1">
      <alignment horizontal="left" vertical="center"/>
    </xf>
    <xf numFmtId="44" fontId="32" fillId="4" borderId="10" xfId="0" applyNumberFormat="1" applyFont="1" applyFill="1" applyBorder="1" applyAlignment="1">
      <alignment horizontal="left" vertical="center"/>
    </xf>
    <xf numFmtId="44" fontId="32" fillId="4" borderId="15" xfId="0" applyNumberFormat="1" applyFont="1" applyFill="1" applyBorder="1" applyAlignment="1">
      <alignment horizontal="left" vertical="center"/>
    </xf>
    <xf numFmtId="0" fontId="32" fillId="4" borderId="0" xfId="0" applyFont="1" applyFill="1" applyAlignment="1">
      <alignment horizontal="left" vertical="center"/>
    </xf>
    <xf numFmtId="0" fontId="32" fillId="4" borderId="21" xfId="0" applyFont="1" applyFill="1" applyBorder="1" applyAlignment="1">
      <alignment horizontal="left" vertical="center"/>
    </xf>
    <xf numFmtId="0" fontId="34" fillId="6" borderId="10" xfId="0" applyFont="1" applyFill="1" applyBorder="1" applyAlignment="1">
      <alignment horizontal="left" vertical="center" wrapText="1"/>
    </xf>
    <xf numFmtId="0" fontId="34" fillId="7" borderId="10" xfId="0" applyFont="1" applyFill="1" applyBorder="1" applyAlignment="1">
      <alignment horizontal="left" vertical="center" wrapText="1"/>
    </xf>
    <xf numFmtId="0" fontId="32" fillId="4" borderId="20" xfId="0" applyFont="1" applyFill="1" applyBorder="1" applyAlignment="1">
      <alignment horizontal="left" vertical="center"/>
    </xf>
    <xf numFmtId="0" fontId="32" fillId="4" borderId="18" xfId="0" applyFont="1" applyFill="1" applyBorder="1" applyAlignment="1">
      <alignment vertical="center"/>
    </xf>
    <xf numFmtId="44" fontId="34" fillId="6" borderId="10" xfId="2" applyFont="1" applyFill="1" applyBorder="1" applyAlignment="1">
      <alignment horizontal="center"/>
    </xf>
    <xf numFmtId="0" fontId="48" fillId="12" borderId="10" xfId="3" applyFont="1" applyFill="1" applyBorder="1" applyAlignment="1">
      <alignment horizontal="center" vertical="center"/>
    </xf>
  </cellXfs>
  <cellStyles count="6">
    <cellStyle name="Currency 2" xfId="2" xr:uid="{FFEF266E-C005-40CF-9A39-0FE19055EE7E}"/>
    <cellStyle name="Hyperlink" xfId="1" builtinId="8"/>
    <cellStyle name="Normal" xfId="0" builtinId="0"/>
    <cellStyle name="Normal 2 2 2" xfId="5" xr:uid="{138F8A24-8111-491A-88A7-7B7BA6F60343}"/>
    <cellStyle name="إخراج 3" xfId="4" xr:uid="{67C5E9FE-7870-4ADD-822E-52E40E747B99}"/>
    <cellStyle name="عادي 3" xfId="3" xr:uid="{D98DC0BA-E9ED-415B-A363-0896EF11101E}"/>
  </cellStyles>
  <dxfs count="0"/>
  <tableStyles count="0" defaultTableStyle="TableStyleMedium2" defaultPivotStyle="PivotStyleLight16"/>
  <colors>
    <mruColors>
      <color rgb="FFFCE4D6"/>
      <color rgb="FFF8CB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sharedStrings" Target="sharedStrings.xml"/><Relationship Id="rId3" Type="http://schemas.openxmlformats.org/officeDocument/2006/relationships/worksheet" Target="worksheets/sheet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91440</xdr:colOff>
      <xdr:row>2</xdr:row>
      <xdr:rowOff>83820</xdr:rowOff>
    </xdr:from>
    <xdr:to>
      <xdr:col>1</xdr:col>
      <xdr:colOff>636243</xdr:colOff>
      <xdr:row>4</xdr:row>
      <xdr:rowOff>411480</xdr:rowOff>
    </xdr:to>
    <xdr:sp macro="" textlink="">
      <xdr:nvSpPr>
        <xdr:cNvPr id="3" name="WordArt 237">
          <a:extLst>
            <a:ext uri="{FF2B5EF4-FFF2-40B4-BE49-F238E27FC236}">
              <a16:creationId xmlns:a16="http://schemas.microsoft.com/office/drawing/2014/main" id="{8BE346AA-A4A1-482C-AF49-8152F53AB335}"/>
            </a:ext>
          </a:extLst>
        </xdr:cNvPr>
        <xdr:cNvSpPr>
          <a:spLocks noChangeArrowheads="1" noChangeShapeType="1" noTextEdit="1"/>
        </xdr:cNvSpPr>
      </xdr:nvSpPr>
      <xdr:spPr>
        <a:xfrm>
          <a:off x="91440" y="419100"/>
          <a:ext cx="1421103" cy="662940"/>
        </a:xfrm>
        <a:prstGeom prst="rect">
          <a:avLst/>
        </a:prstGeom>
        <a:solidFill>
          <a:sysClr val="window" lastClr="FFFFFF"/>
        </a:solidFill>
      </xdr:spPr>
      <xdr:txBody>
        <a:bodyPr wrap="none" fromWordArt="1">
          <a:prstTxWarp prst="textPlain">
            <a:avLst>
              <a:gd name="adj" fmla="val 50000"/>
            </a:avLst>
          </a:prstTxWarp>
        </a:bodyPr>
        <a:lstStyle/>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MAKAMAN LIBYA COMPANY</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OIL SERVICES INCORPORATED</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TOOLS &amp; TESTING</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TRIPOLI- LIBYA</a:t>
          </a:r>
          <a:endParaRPr lang="ar-SA"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endParaRPr>
        </a:p>
      </xdr:txBody>
    </xdr:sp>
    <xdr:clientData/>
  </xdr:twoCellAnchor>
  <xdr:twoCellAnchor>
    <xdr:from>
      <xdr:col>4</xdr:col>
      <xdr:colOff>289561</xdr:colOff>
      <xdr:row>1</xdr:row>
      <xdr:rowOff>160020</xdr:rowOff>
    </xdr:from>
    <xdr:to>
      <xdr:col>5</xdr:col>
      <xdr:colOff>754381</xdr:colOff>
      <xdr:row>4</xdr:row>
      <xdr:rowOff>487680</xdr:rowOff>
    </xdr:to>
    <xdr:sp macro="" textlink="">
      <xdr:nvSpPr>
        <xdr:cNvPr id="4" name="WordArt 241">
          <a:extLst>
            <a:ext uri="{FF2B5EF4-FFF2-40B4-BE49-F238E27FC236}">
              <a16:creationId xmlns:a16="http://schemas.microsoft.com/office/drawing/2014/main" id="{2F2BF432-4706-4CC6-8E83-98B23B39AB58}"/>
            </a:ext>
          </a:extLst>
        </xdr:cNvPr>
        <xdr:cNvSpPr>
          <a:spLocks noChangeArrowheads="1" noChangeShapeType="1" noTextEdit="1"/>
        </xdr:cNvSpPr>
      </xdr:nvSpPr>
      <xdr:spPr>
        <a:xfrm>
          <a:off x="5554981" y="327660"/>
          <a:ext cx="1325880" cy="830580"/>
        </a:xfrm>
        <a:prstGeom prst="rect">
          <a:avLst/>
        </a:prstGeom>
        <a:solidFill>
          <a:sysClr val="window" lastClr="FFFFFF"/>
        </a:solidFill>
      </xdr:spPr>
      <xdr:txBody>
        <a:bodyPr wrap="none" fromWordArt="1">
          <a:prstTxWarp prst="textPlain">
            <a:avLst>
              <a:gd name="adj" fmla="val 50000"/>
            </a:avLst>
          </a:prstTxWarp>
        </a:bodyPr>
        <a:lstStyle/>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شركة مكامن ليبيا</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للخدمات النفطية المساهمة</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للاختبارات ومعدات صيانة الاّبار</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طرابلس- ليبيا</a:t>
          </a:r>
        </a:p>
      </xdr:txBody>
    </xdr:sp>
    <xdr:clientData/>
  </xdr:twoCellAnchor>
  <xdr:twoCellAnchor editAs="oneCell">
    <xdr:from>
      <xdr:col>1</xdr:col>
      <xdr:colOff>1554481</xdr:colOff>
      <xdr:row>0</xdr:row>
      <xdr:rowOff>0</xdr:rowOff>
    </xdr:from>
    <xdr:to>
      <xdr:col>3</xdr:col>
      <xdr:colOff>396241</xdr:colOff>
      <xdr:row>4</xdr:row>
      <xdr:rowOff>705326</xdr:rowOff>
    </xdr:to>
    <xdr:pic>
      <xdr:nvPicPr>
        <xdr:cNvPr id="6" name="Picture 5">
          <a:extLst>
            <a:ext uri="{FF2B5EF4-FFF2-40B4-BE49-F238E27FC236}">
              <a16:creationId xmlns:a16="http://schemas.microsoft.com/office/drawing/2014/main" id="{C9CF4EFB-9973-D5D0-5997-3323188D63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30781" y="0"/>
          <a:ext cx="2446020" cy="13758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91440</xdr:colOff>
      <xdr:row>2</xdr:row>
      <xdr:rowOff>83820</xdr:rowOff>
    </xdr:from>
    <xdr:to>
      <xdr:col>1</xdr:col>
      <xdr:colOff>636243</xdr:colOff>
      <xdr:row>4</xdr:row>
      <xdr:rowOff>411480</xdr:rowOff>
    </xdr:to>
    <xdr:sp macro="" textlink="">
      <xdr:nvSpPr>
        <xdr:cNvPr id="2" name="WordArt 237">
          <a:extLst>
            <a:ext uri="{FF2B5EF4-FFF2-40B4-BE49-F238E27FC236}">
              <a16:creationId xmlns:a16="http://schemas.microsoft.com/office/drawing/2014/main" id="{3BDB4B36-361D-4E0D-B20D-C0B3C45511E5}"/>
            </a:ext>
          </a:extLst>
        </xdr:cNvPr>
        <xdr:cNvSpPr>
          <a:spLocks noChangeArrowheads="1" noChangeShapeType="1" noTextEdit="1"/>
        </xdr:cNvSpPr>
      </xdr:nvSpPr>
      <xdr:spPr>
        <a:xfrm>
          <a:off x="91440" y="419100"/>
          <a:ext cx="1421103" cy="662940"/>
        </a:xfrm>
        <a:prstGeom prst="rect">
          <a:avLst/>
        </a:prstGeom>
        <a:solidFill>
          <a:sysClr val="window" lastClr="FFFFFF"/>
        </a:solidFill>
      </xdr:spPr>
      <xdr:txBody>
        <a:bodyPr wrap="none" fromWordArt="1">
          <a:prstTxWarp prst="textPlain">
            <a:avLst>
              <a:gd name="adj" fmla="val 50000"/>
            </a:avLst>
          </a:prstTxWarp>
        </a:bodyPr>
        <a:lstStyle/>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MAKAMAN LIBYA COMPANY</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OIL SERVICES INCORPORATED</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TOOLS &amp; TESTING</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TRIPOLI- LIBYA</a:t>
          </a:r>
          <a:endParaRPr lang="ar-SA"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endParaRPr>
        </a:p>
      </xdr:txBody>
    </xdr:sp>
    <xdr:clientData/>
  </xdr:twoCellAnchor>
  <xdr:twoCellAnchor>
    <xdr:from>
      <xdr:col>4</xdr:col>
      <xdr:colOff>289561</xdr:colOff>
      <xdr:row>1</xdr:row>
      <xdr:rowOff>160020</xdr:rowOff>
    </xdr:from>
    <xdr:to>
      <xdr:col>5</xdr:col>
      <xdr:colOff>754381</xdr:colOff>
      <xdr:row>4</xdr:row>
      <xdr:rowOff>487680</xdr:rowOff>
    </xdr:to>
    <xdr:sp macro="" textlink="">
      <xdr:nvSpPr>
        <xdr:cNvPr id="3" name="WordArt 241">
          <a:extLst>
            <a:ext uri="{FF2B5EF4-FFF2-40B4-BE49-F238E27FC236}">
              <a16:creationId xmlns:a16="http://schemas.microsoft.com/office/drawing/2014/main" id="{6A89E1FE-B8DD-4E8E-816B-109FEE1FC2E1}"/>
            </a:ext>
          </a:extLst>
        </xdr:cNvPr>
        <xdr:cNvSpPr>
          <a:spLocks noChangeArrowheads="1" noChangeShapeType="1" noTextEdit="1"/>
        </xdr:cNvSpPr>
      </xdr:nvSpPr>
      <xdr:spPr>
        <a:xfrm>
          <a:off x="5554981" y="327660"/>
          <a:ext cx="1325880" cy="830580"/>
        </a:xfrm>
        <a:prstGeom prst="rect">
          <a:avLst/>
        </a:prstGeom>
        <a:solidFill>
          <a:sysClr val="window" lastClr="FFFFFF"/>
        </a:solidFill>
      </xdr:spPr>
      <xdr:txBody>
        <a:bodyPr wrap="none" fromWordArt="1">
          <a:prstTxWarp prst="textPlain">
            <a:avLst>
              <a:gd name="adj" fmla="val 50000"/>
            </a:avLst>
          </a:prstTxWarp>
        </a:bodyPr>
        <a:lstStyle/>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شركة مكامن ليبيا</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للخدمات النفطية المساهمة</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للاختبارات ومعدات صيانة الاّبار</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طرابلس- ليبيا</a:t>
          </a:r>
        </a:p>
      </xdr:txBody>
    </xdr:sp>
    <xdr:clientData/>
  </xdr:twoCellAnchor>
  <xdr:twoCellAnchor editAs="oneCell">
    <xdr:from>
      <xdr:col>1</xdr:col>
      <xdr:colOff>1554481</xdr:colOff>
      <xdr:row>0</xdr:row>
      <xdr:rowOff>0</xdr:rowOff>
    </xdr:from>
    <xdr:to>
      <xdr:col>3</xdr:col>
      <xdr:colOff>396241</xdr:colOff>
      <xdr:row>4</xdr:row>
      <xdr:rowOff>705326</xdr:rowOff>
    </xdr:to>
    <xdr:pic>
      <xdr:nvPicPr>
        <xdr:cNvPr id="4" name="Picture 3">
          <a:extLst>
            <a:ext uri="{FF2B5EF4-FFF2-40B4-BE49-F238E27FC236}">
              <a16:creationId xmlns:a16="http://schemas.microsoft.com/office/drawing/2014/main" id="{E23A43A9-2B29-4E24-B795-E1DB9CD0999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30781" y="0"/>
          <a:ext cx="2446020" cy="13758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160020</xdr:colOff>
      <xdr:row>0</xdr:row>
      <xdr:rowOff>0</xdr:rowOff>
    </xdr:from>
    <xdr:to>
      <xdr:col>5</xdr:col>
      <xdr:colOff>426720</xdr:colOff>
      <xdr:row>5</xdr:row>
      <xdr:rowOff>199072</xdr:rowOff>
    </xdr:to>
    <xdr:pic>
      <xdr:nvPicPr>
        <xdr:cNvPr id="4" name="Picture 3">
          <a:extLst>
            <a:ext uri="{FF2B5EF4-FFF2-40B4-BE49-F238E27FC236}">
              <a16:creationId xmlns:a16="http://schemas.microsoft.com/office/drawing/2014/main" id="{748C74F7-F6A2-4A4F-B784-7035EFF825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54580" y="0"/>
          <a:ext cx="1844040" cy="1037272"/>
        </a:xfrm>
        <a:prstGeom prst="rect">
          <a:avLst/>
        </a:prstGeom>
      </xdr:spPr>
    </xdr:pic>
    <xdr:clientData/>
  </xdr:twoCellAnchor>
  <xdr:twoCellAnchor>
    <xdr:from>
      <xdr:col>0</xdr:col>
      <xdr:colOff>45720</xdr:colOff>
      <xdr:row>0</xdr:row>
      <xdr:rowOff>91440</xdr:rowOff>
    </xdr:from>
    <xdr:to>
      <xdr:col>1</xdr:col>
      <xdr:colOff>506703</xdr:colOff>
      <xdr:row>4</xdr:row>
      <xdr:rowOff>83820</xdr:rowOff>
    </xdr:to>
    <xdr:sp macro="" textlink="">
      <xdr:nvSpPr>
        <xdr:cNvPr id="5" name="WordArt 237">
          <a:extLst>
            <a:ext uri="{FF2B5EF4-FFF2-40B4-BE49-F238E27FC236}">
              <a16:creationId xmlns:a16="http://schemas.microsoft.com/office/drawing/2014/main" id="{5CCB91E4-EF82-4AE9-A256-502D5760851F}"/>
            </a:ext>
          </a:extLst>
        </xdr:cNvPr>
        <xdr:cNvSpPr>
          <a:spLocks noChangeArrowheads="1" noChangeShapeType="1" noTextEdit="1"/>
        </xdr:cNvSpPr>
      </xdr:nvSpPr>
      <xdr:spPr>
        <a:xfrm>
          <a:off x="45720" y="91440"/>
          <a:ext cx="1421103" cy="662940"/>
        </a:xfrm>
        <a:prstGeom prst="rect">
          <a:avLst/>
        </a:prstGeom>
        <a:solidFill>
          <a:sysClr val="window" lastClr="FFFFFF"/>
        </a:solidFill>
      </xdr:spPr>
      <xdr:txBody>
        <a:bodyPr wrap="none" fromWordArt="1">
          <a:prstTxWarp prst="textPlain">
            <a:avLst>
              <a:gd name="adj" fmla="val 50000"/>
            </a:avLst>
          </a:prstTxWarp>
        </a:bodyPr>
        <a:lstStyle/>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MAKAMAN LIBYA COMPANY</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OIL SERVICES INCORPORATED</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TOOLS &amp; TESTING</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TRIPOLI- LIBYA</a:t>
          </a:r>
          <a:endParaRPr lang="ar-SA"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endParaRPr>
        </a:p>
      </xdr:txBody>
    </xdr:sp>
    <xdr:clientData/>
  </xdr:twoCellAnchor>
  <xdr:twoCellAnchor>
    <xdr:from>
      <xdr:col>7</xdr:col>
      <xdr:colOff>76200</xdr:colOff>
      <xdr:row>0</xdr:row>
      <xdr:rowOff>22860</xdr:rowOff>
    </xdr:from>
    <xdr:to>
      <xdr:col>8</xdr:col>
      <xdr:colOff>754380</xdr:colOff>
      <xdr:row>4</xdr:row>
      <xdr:rowOff>99060</xdr:rowOff>
    </xdr:to>
    <xdr:sp macro="" textlink="">
      <xdr:nvSpPr>
        <xdr:cNvPr id="6" name="WordArt 241">
          <a:extLst>
            <a:ext uri="{FF2B5EF4-FFF2-40B4-BE49-F238E27FC236}">
              <a16:creationId xmlns:a16="http://schemas.microsoft.com/office/drawing/2014/main" id="{EF7FFBEE-B61F-4FBF-ACDD-FDF478A1E0FD}"/>
            </a:ext>
          </a:extLst>
        </xdr:cNvPr>
        <xdr:cNvSpPr>
          <a:spLocks noChangeArrowheads="1" noChangeShapeType="1" noTextEdit="1"/>
        </xdr:cNvSpPr>
      </xdr:nvSpPr>
      <xdr:spPr>
        <a:xfrm>
          <a:off x="5036820" y="22860"/>
          <a:ext cx="1287780" cy="746760"/>
        </a:xfrm>
        <a:prstGeom prst="rect">
          <a:avLst/>
        </a:prstGeom>
        <a:solidFill>
          <a:sysClr val="window" lastClr="FFFFFF"/>
        </a:solidFill>
      </xdr:spPr>
      <xdr:txBody>
        <a:bodyPr wrap="none" fromWordArt="1">
          <a:prstTxWarp prst="textPlain">
            <a:avLst>
              <a:gd name="adj" fmla="val 50000"/>
            </a:avLst>
          </a:prstTxWarp>
        </a:bodyPr>
        <a:lstStyle/>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شركة مكامن ليبيا</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للخدمات النفطية المساهمة</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للاختبارات ومعدات صيانة الاّبار</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طرابلس- ليبيا</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160020</xdr:colOff>
      <xdr:row>0</xdr:row>
      <xdr:rowOff>0</xdr:rowOff>
    </xdr:from>
    <xdr:to>
      <xdr:col>5</xdr:col>
      <xdr:colOff>426720</xdr:colOff>
      <xdr:row>5</xdr:row>
      <xdr:rowOff>199072</xdr:rowOff>
    </xdr:to>
    <xdr:pic>
      <xdr:nvPicPr>
        <xdr:cNvPr id="2" name="Picture 1">
          <a:extLst>
            <a:ext uri="{FF2B5EF4-FFF2-40B4-BE49-F238E27FC236}">
              <a16:creationId xmlns:a16="http://schemas.microsoft.com/office/drawing/2014/main" id="{52758474-C947-4081-A94B-3AA1CDC2C93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620" y="0"/>
          <a:ext cx="1800225" cy="1008697"/>
        </a:xfrm>
        <a:prstGeom prst="rect">
          <a:avLst/>
        </a:prstGeom>
      </xdr:spPr>
    </xdr:pic>
    <xdr:clientData/>
  </xdr:twoCellAnchor>
  <xdr:twoCellAnchor>
    <xdr:from>
      <xdr:col>0</xdr:col>
      <xdr:colOff>45720</xdr:colOff>
      <xdr:row>0</xdr:row>
      <xdr:rowOff>91440</xdr:rowOff>
    </xdr:from>
    <xdr:to>
      <xdr:col>1</xdr:col>
      <xdr:colOff>506703</xdr:colOff>
      <xdr:row>4</xdr:row>
      <xdr:rowOff>83820</xdr:rowOff>
    </xdr:to>
    <xdr:sp macro="" textlink="">
      <xdr:nvSpPr>
        <xdr:cNvPr id="3" name="WordArt 237">
          <a:extLst>
            <a:ext uri="{FF2B5EF4-FFF2-40B4-BE49-F238E27FC236}">
              <a16:creationId xmlns:a16="http://schemas.microsoft.com/office/drawing/2014/main" id="{C5835717-DF25-4416-B886-0192C2CA5B3C}"/>
            </a:ext>
          </a:extLst>
        </xdr:cNvPr>
        <xdr:cNvSpPr>
          <a:spLocks noChangeArrowheads="1" noChangeShapeType="1" noTextEdit="1"/>
        </xdr:cNvSpPr>
      </xdr:nvSpPr>
      <xdr:spPr>
        <a:xfrm>
          <a:off x="45720" y="91440"/>
          <a:ext cx="1394433" cy="640080"/>
        </a:xfrm>
        <a:prstGeom prst="rect">
          <a:avLst/>
        </a:prstGeom>
        <a:solidFill>
          <a:sysClr val="window" lastClr="FFFFFF"/>
        </a:solidFill>
      </xdr:spPr>
      <xdr:txBody>
        <a:bodyPr wrap="none" fromWordArt="1">
          <a:prstTxWarp prst="textPlain">
            <a:avLst>
              <a:gd name="adj" fmla="val 50000"/>
            </a:avLst>
          </a:prstTxWarp>
        </a:bodyPr>
        <a:lstStyle/>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MAKAMAN LIBYA COMPANY</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OIL SERVICES INCORPORATED</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TOOLS &amp; TESTING</a:t>
          </a:r>
        </a:p>
        <a:p>
          <a:pPr algn="ctr" rtl="0">
            <a:buNone/>
          </a:pPr>
          <a:r>
            <a:rPr lang="en-US"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rPr>
            <a:t>TRIPOLI- LIBYA</a:t>
          </a:r>
          <a:endParaRPr lang="ar-SA" sz="1600" b="1" kern="10" spc="0">
            <a:ln>
              <a:noFill/>
            </a:ln>
            <a:solidFill>
              <a:sysClr val="windowText" lastClr="000000"/>
            </a:solidFill>
            <a:effectLst>
              <a:outerShdw dist="35921" dir="2700000" algn="ctr" rotWithShape="0">
                <a:srgbClr val="C0C0C0">
                  <a:alpha val="80000"/>
                </a:srgbClr>
              </a:outerShdw>
            </a:effectLst>
            <a:latin typeface="Arial" panose="020B0604020202020204"/>
            <a:cs typeface="Arial" panose="020B0604020202020204"/>
          </a:endParaRPr>
        </a:p>
      </xdr:txBody>
    </xdr:sp>
    <xdr:clientData/>
  </xdr:twoCellAnchor>
  <xdr:twoCellAnchor>
    <xdr:from>
      <xdr:col>7</xdr:col>
      <xdr:colOff>76200</xdr:colOff>
      <xdr:row>0</xdr:row>
      <xdr:rowOff>22860</xdr:rowOff>
    </xdr:from>
    <xdr:to>
      <xdr:col>8</xdr:col>
      <xdr:colOff>754380</xdr:colOff>
      <xdr:row>4</xdr:row>
      <xdr:rowOff>99060</xdr:rowOff>
    </xdr:to>
    <xdr:sp macro="" textlink="">
      <xdr:nvSpPr>
        <xdr:cNvPr id="4" name="WordArt 241">
          <a:extLst>
            <a:ext uri="{FF2B5EF4-FFF2-40B4-BE49-F238E27FC236}">
              <a16:creationId xmlns:a16="http://schemas.microsoft.com/office/drawing/2014/main" id="{E4C71B29-5B59-491D-AC5E-F57CB9C3CC6A}"/>
            </a:ext>
          </a:extLst>
        </xdr:cNvPr>
        <xdr:cNvSpPr>
          <a:spLocks noChangeArrowheads="1" noChangeShapeType="1" noTextEdit="1"/>
        </xdr:cNvSpPr>
      </xdr:nvSpPr>
      <xdr:spPr>
        <a:xfrm>
          <a:off x="4905375" y="22860"/>
          <a:ext cx="1268730" cy="723900"/>
        </a:xfrm>
        <a:prstGeom prst="rect">
          <a:avLst/>
        </a:prstGeom>
        <a:solidFill>
          <a:sysClr val="window" lastClr="FFFFFF"/>
        </a:solidFill>
      </xdr:spPr>
      <xdr:txBody>
        <a:bodyPr wrap="none" fromWordArt="1">
          <a:prstTxWarp prst="textPlain">
            <a:avLst>
              <a:gd name="adj" fmla="val 50000"/>
            </a:avLst>
          </a:prstTxWarp>
        </a:bodyPr>
        <a:lstStyle/>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شركة مكامن ليبيا</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للخدمات النفطية المساهمة</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للاختبارات ومعدات صيانة الاّبار</a:t>
          </a:r>
        </a:p>
        <a:p>
          <a:pPr algn="ctr" rtl="1">
            <a:buNone/>
          </a:pPr>
          <a:r>
            <a:rPr lang="ar-SA" sz="1600" b="1" kern="10" spc="0">
              <a:ln>
                <a:noFill/>
              </a:ln>
              <a:solidFill>
                <a:sysClr val="windowText" lastClr="000000"/>
              </a:solidFill>
              <a:effectLst>
                <a:outerShdw dist="35921" dir="2700000" algn="ctr" rotWithShape="0">
                  <a:srgbClr val="C0C0C0">
                    <a:alpha val="80000"/>
                  </a:srgbClr>
                </a:outerShdw>
              </a:effectLst>
              <a:latin typeface="Harlow Solid Italic" panose="04030604020F02020D02"/>
            </a:rPr>
            <a:t>طرابلس- ليبيا</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49CCAF-D212-4C6F-90CE-218F200DFD71}">
  <we:reference id="wa200009404" version="1.0.0.8" store="en-US" storeType="OMEX"/>
  <we:alternateReferences>
    <we:reference id="WA200009404" version="1.0.0.8" store="" storeType="OMEX"/>
  </we:alternateReferences>
  <we:properties>
    <we:property name="claude.fileId" value="&quot;b0ccf2ee-2f10-407e-bd72-f756d3924f6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C313B-6F35-4401-94A3-C5DB26AA3491}">
  <sheetPr>
    <pageSetUpPr fitToPage="1"/>
  </sheetPr>
  <dimension ref="A5:T50"/>
  <sheetViews>
    <sheetView view="pageBreakPreview" topLeftCell="A4" zoomScaleNormal="100" workbookViewId="0">
      <selection activeCell="B13" sqref="B13:F13"/>
    </sheetView>
  </sheetViews>
  <sheetFormatPr defaultColWidth="9.140625" defaultRowHeight="12.75" x14ac:dyDescent="0.2"/>
  <cols>
    <col min="1" max="1" width="12.7109375" style="345" bestFit="1" customWidth="1"/>
    <col min="2" max="2" width="48" style="345" customWidth="1"/>
    <col min="3" max="3" width="4.5703125" style="345" bestFit="1" customWidth="1"/>
    <col min="4" max="4" width="12.85546875" style="345" bestFit="1" customWidth="1"/>
    <col min="5" max="5" width="12.5703125" style="345" customWidth="1"/>
    <col min="6" max="6" width="19" style="345" customWidth="1"/>
    <col min="7" max="7" width="9.140625" style="345"/>
    <col min="8" max="8" width="10.140625" style="345" customWidth="1"/>
    <col min="9" max="9" width="11.140625" style="345" customWidth="1"/>
    <col min="10" max="16384" width="9.140625" style="345"/>
  </cols>
  <sheetData>
    <row r="5" spans="1:7" ht="58.15" customHeight="1" x14ac:dyDescent="0.2"/>
    <row r="6" spans="1:7" ht="21" x14ac:dyDescent="0.35">
      <c r="A6" s="403" t="s">
        <v>2559</v>
      </c>
      <c r="B6" s="404"/>
      <c r="C6" s="404"/>
      <c r="D6" s="404"/>
      <c r="E6" s="404"/>
      <c r="F6" s="405"/>
    </row>
    <row r="7" spans="1:7" ht="13.9" customHeight="1" x14ac:dyDescent="0.25">
      <c r="A7" s="351"/>
      <c r="B7" s="351"/>
      <c r="C7" s="351"/>
      <c r="D7" s="351"/>
      <c r="E7" s="351"/>
      <c r="F7" s="351"/>
    </row>
    <row r="8" spans="1:7" ht="21" customHeight="1" x14ac:dyDescent="0.25">
      <c r="A8" s="377" t="s">
        <v>2560</v>
      </c>
      <c r="B8" s="383" t="s">
        <v>2561</v>
      </c>
      <c r="C8" s="406" t="s">
        <v>2562</v>
      </c>
      <c r="D8" s="406"/>
      <c r="E8" s="413">
        <v>1897</v>
      </c>
      <c r="F8" s="413"/>
    </row>
    <row r="9" spans="1:7" ht="21" customHeight="1" x14ac:dyDescent="0.25">
      <c r="A9" s="377" t="s">
        <v>2563</v>
      </c>
      <c r="B9" s="379" t="s">
        <v>2564</v>
      </c>
      <c r="C9" s="406"/>
      <c r="D9" s="406"/>
      <c r="E9" s="413"/>
      <c r="F9" s="413"/>
    </row>
    <row r="10" spans="1:7" ht="21" customHeight="1" x14ac:dyDescent="0.25">
      <c r="A10" s="377" t="s">
        <v>2565</v>
      </c>
      <c r="B10" s="379" t="s">
        <v>2566</v>
      </c>
      <c r="C10" s="398" t="s">
        <v>2632</v>
      </c>
      <c r="D10" s="398"/>
      <c r="E10" s="414" t="s">
        <v>2567</v>
      </c>
      <c r="F10" s="414"/>
    </row>
    <row r="11" spans="1:7" ht="21" customHeight="1" x14ac:dyDescent="0.25">
      <c r="A11" s="377" t="s">
        <v>2568</v>
      </c>
      <c r="B11" s="379" t="s">
        <v>2569</v>
      </c>
      <c r="C11" s="398" t="s">
        <v>2570</v>
      </c>
      <c r="D11" s="398"/>
      <c r="E11" s="409">
        <v>46207</v>
      </c>
      <c r="F11" s="409"/>
    </row>
    <row r="12" spans="1:7" ht="21" customHeight="1" x14ac:dyDescent="0.25">
      <c r="A12" s="377" t="s">
        <v>2571</v>
      </c>
      <c r="B12" s="379">
        <v>450</v>
      </c>
      <c r="C12" s="398" t="s">
        <v>2572</v>
      </c>
      <c r="D12" s="398"/>
      <c r="E12" s="409">
        <v>46220</v>
      </c>
      <c r="F12" s="409"/>
    </row>
    <row r="13" spans="1:7" ht="21" customHeight="1" x14ac:dyDescent="0.25">
      <c r="A13" s="377" t="s">
        <v>2626</v>
      </c>
      <c r="B13" s="537" t="s">
        <v>2630</v>
      </c>
      <c r="C13" s="537"/>
      <c r="D13" s="537"/>
      <c r="E13" s="537"/>
      <c r="F13" s="537"/>
    </row>
    <row r="14" spans="1:7" ht="26.45" customHeight="1" x14ac:dyDescent="0.2">
      <c r="A14" s="410" t="s">
        <v>2637</v>
      </c>
      <c r="B14" s="411"/>
      <c r="C14" s="411"/>
      <c r="D14" s="411"/>
      <c r="E14" s="411"/>
      <c r="F14" s="412"/>
    </row>
    <row r="15" spans="1:7" ht="15.75" x14ac:dyDescent="0.2">
      <c r="A15" s="378" t="s">
        <v>2573</v>
      </c>
      <c r="B15" s="378" t="s">
        <v>2574</v>
      </c>
      <c r="C15" s="378" t="s">
        <v>2575</v>
      </c>
      <c r="D15" s="378" t="s">
        <v>9</v>
      </c>
      <c r="E15" s="378" t="s">
        <v>2627</v>
      </c>
      <c r="F15" s="378" t="s">
        <v>2628</v>
      </c>
    </row>
    <row r="16" spans="1:7" ht="21" customHeight="1" x14ac:dyDescent="0.2">
      <c r="A16" s="380" t="s">
        <v>2576</v>
      </c>
      <c r="B16" s="352" t="s">
        <v>2577</v>
      </c>
      <c r="C16" s="361">
        <f>B12*2</f>
        <v>900</v>
      </c>
      <c r="D16" s="366" t="s">
        <v>2633</v>
      </c>
      <c r="E16" s="353">
        <v>3.9</v>
      </c>
      <c r="F16" s="354">
        <f t="shared" ref="F16:F21" si="0">C16*E16</f>
        <v>3510</v>
      </c>
      <c r="G16" s="346"/>
    </row>
    <row r="17" spans="1:20" ht="24" customHeight="1" x14ac:dyDescent="0.2">
      <c r="A17" s="380" t="s">
        <v>2578</v>
      </c>
      <c r="B17" s="352" t="s">
        <v>2579</v>
      </c>
      <c r="C17" s="361">
        <v>4</v>
      </c>
      <c r="D17" s="361" t="s">
        <v>2580</v>
      </c>
      <c r="E17" s="354">
        <v>1050</v>
      </c>
      <c r="F17" s="354">
        <f t="shared" si="0"/>
        <v>4200</v>
      </c>
      <c r="G17" s="346"/>
      <c r="H17" s="346"/>
    </row>
    <row r="18" spans="1:20" ht="24" customHeight="1" x14ac:dyDescent="0.2">
      <c r="A18" s="380" t="s">
        <v>2581</v>
      </c>
      <c r="B18" s="355" t="s">
        <v>2582</v>
      </c>
      <c r="C18" s="362">
        <v>1</v>
      </c>
      <c r="D18" s="361" t="s">
        <v>2580</v>
      </c>
      <c r="E18" s="354">
        <v>1900</v>
      </c>
      <c r="F18" s="354">
        <f t="shared" si="0"/>
        <v>1900</v>
      </c>
      <c r="G18" s="346"/>
      <c r="H18" s="346"/>
      <c r="I18" s="346"/>
      <c r="J18" s="346"/>
      <c r="K18" s="346"/>
      <c r="L18" s="346"/>
      <c r="M18" s="346"/>
      <c r="N18" s="346"/>
      <c r="O18" s="346"/>
      <c r="P18" s="346"/>
      <c r="Q18" s="346"/>
      <c r="R18" s="346"/>
      <c r="S18" s="346"/>
      <c r="T18" s="346"/>
    </row>
    <row r="19" spans="1:20" ht="30.75" customHeight="1" x14ac:dyDescent="0.2">
      <c r="A19" s="380" t="s">
        <v>2583</v>
      </c>
      <c r="B19" s="355" t="s">
        <v>2584</v>
      </c>
      <c r="C19" s="362">
        <v>13</v>
      </c>
      <c r="D19" s="361" t="s">
        <v>2580</v>
      </c>
      <c r="E19" s="354">
        <v>800</v>
      </c>
      <c r="F19" s="354">
        <f t="shared" si="0"/>
        <v>10400</v>
      </c>
      <c r="G19" s="346"/>
      <c r="H19" s="346"/>
      <c r="I19" s="346"/>
      <c r="J19" s="346"/>
      <c r="K19" s="346"/>
      <c r="L19" s="346"/>
      <c r="M19" s="346"/>
      <c r="N19" s="346"/>
      <c r="O19" s="346"/>
      <c r="P19" s="346"/>
      <c r="Q19" s="346"/>
      <c r="R19" s="346"/>
      <c r="S19" s="346"/>
      <c r="T19" s="346"/>
    </row>
    <row r="20" spans="1:20" ht="24" customHeight="1" x14ac:dyDescent="0.2">
      <c r="A20" s="380" t="s">
        <v>2585</v>
      </c>
      <c r="B20" s="352" t="s">
        <v>2586</v>
      </c>
      <c r="C20" s="361">
        <v>1</v>
      </c>
      <c r="D20" s="361" t="s">
        <v>2580</v>
      </c>
      <c r="E20" s="354">
        <v>2200</v>
      </c>
      <c r="F20" s="354">
        <f t="shared" si="0"/>
        <v>2200</v>
      </c>
      <c r="G20" s="346"/>
      <c r="H20" s="346"/>
    </row>
    <row r="21" spans="1:20" ht="24" customHeight="1" x14ac:dyDescent="0.2">
      <c r="A21" s="380" t="s">
        <v>2587</v>
      </c>
      <c r="B21" s="355" t="s">
        <v>2588</v>
      </c>
      <c r="C21" s="362">
        <v>3</v>
      </c>
      <c r="D21" s="361" t="s">
        <v>2580</v>
      </c>
      <c r="E21" s="354">
        <v>800</v>
      </c>
      <c r="F21" s="354">
        <f t="shared" si="0"/>
        <v>2400</v>
      </c>
      <c r="G21" s="346"/>
      <c r="H21" s="346"/>
      <c r="I21" s="346"/>
      <c r="J21" s="346"/>
      <c r="K21" s="346"/>
      <c r="L21" s="346"/>
      <c r="M21" s="346"/>
      <c r="N21" s="346"/>
      <c r="O21" s="346"/>
      <c r="P21" s="346"/>
      <c r="Q21" s="346"/>
      <c r="R21" s="346"/>
      <c r="S21" s="346"/>
      <c r="T21" s="346"/>
    </row>
    <row r="22" spans="1:20" ht="15" x14ac:dyDescent="0.2">
      <c r="A22" s="380" t="s">
        <v>2589</v>
      </c>
      <c r="B22" s="355" t="s">
        <v>2631</v>
      </c>
      <c r="C22" s="363"/>
      <c r="D22" s="364">
        <v>0.2</v>
      </c>
      <c r="E22" s="354">
        <f>SUM(F16:F21)</f>
        <v>24610</v>
      </c>
      <c r="F22" s="354">
        <f>E22*0.2</f>
        <v>4922</v>
      </c>
    </row>
    <row r="23" spans="1:20" ht="15" x14ac:dyDescent="0.2">
      <c r="A23" s="380"/>
      <c r="B23" s="352"/>
      <c r="C23" s="361"/>
      <c r="D23" s="361"/>
      <c r="E23" s="356"/>
      <c r="F23" s="354"/>
    </row>
    <row r="24" spans="1:20" ht="15" x14ac:dyDescent="0.2">
      <c r="A24" s="380"/>
      <c r="B24" s="352" t="s">
        <v>2590</v>
      </c>
      <c r="C24" s="361"/>
      <c r="D24" s="361"/>
      <c r="E24" s="354">
        <f>E22+F22</f>
        <v>29532</v>
      </c>
      <c r="F24" s="354">
        <f>-(E24*0.6)</f>
        <v>-17719.2</v>
      </c>
    </row>
    <row r="25" spans="1:20" ht="15" x14ac:dyDescent="0.2">
      <c r="A25" s="380"/>
      <c r="B25" s="365"/>
      <c r="C25" s="361"/>
      <c r="D25" s="361"/>
      <c r="E25" s="353"/>
      <c r="F25" s="354"/>
    </row>
    <row r="26" spans="1:20" ht="15" x14ac:dyDescent="0.2">
      <c r="A26" s="380"/>
      <c r="B26" s="352"/>
      <c r="C26" s="361"/>
      <c r="D26" s="361"/>
      <c r="E26" s="356"/>
      <c r="F26" s="354"/>
    </row>
    <row r="27" spans="1:20" ht="15" x14ac:dyDescent="0.2">
      <c r="A27" s="380"/>
      <c r="B27" s="352"/>
      <c r="C27" s="361"/>
      <c r="D27" s="361"/>
      <c r="E27" s="356"/>
      <c r="F27" s="354"/>
    </row>
    <row r="28" spans="1:20" ht="15" x14ac:dyDescent="0.2">
      <c r="A28" s="380"/>
      <c r="B28" s="352"/>
      <c r="C28" s="361"/>
      <c r="D28" s="361"/>
      <c r="E28" s="356"/>
      <c r="F28" s="357"/>
    </row>
    <row r="29" spans="1:20" ht="15" x14ac:dyDescent="0.2">
      <c r="A29" s="380"/>
      <c r="B29" s="352"/>
      <c r="C29" s="361"/>
      <c r="D29" s="361"/>
      <c r="E29" s="356"/>
      <c r="F29" s="354"/>
    </row>
    <row r="30" spans="1:20" ht="15" x14ac:dyDescent="0.2">
      <c r="A30" s="380"/>
      <c r="B30" s="352"/>
      <c r="C30" s="361"/>
      <c r="D30" s="361"/>
      <c r="E30" s="356"/>
      <c r="F30" s="357"/>
    </row>
    <row r="31" spans="1:20" ht="15" x14ac:dyDescent="0.2">
      <c r="A31" s="380"/>
      <c r="B31" s="352"/>
      <c r="C31" s="361"/>
      <c r="D31" s="361"/>
      <c r="E31" s="356"/>
      <c r="F31" s="357"/>
      <c r="I31" s="347"/>
    </row>
    <row r="32" spans="1:20" ht="15" x14ac:dyDescent="0.2">
      <c r="A32" s="380"/>
      <c r="B32" s="352"/>
      <c r="C32" s="361"/>
      <c r="D32" s="361"/>
      <c r="E32" s="356"/>
      <c r="F32" s="357"/>
    </row>
    <row r="33" spans="1:8" ht="15" x14ac:dyDescent="0.2">
      <c r="A33" s="380"/>
      <c r="B33" s="352"/>
      <c r="C33" s="361"/>
      <c r="D33" s="361"/>
      <c r="E33" s="356"/>
      <c r="F33" s="357"/>
    </row>
    <row r="34" spans="1:8" ht="15" x14ac:dyDescent="0.2">
      <c r="A34" s="380"/>
      <c r="B34" s="352"/>
      <c r="C34" s="361"/>
      <c r="D34" s="361"/>
      <c r="E34" s="356"/>
      <c r="F34" s="357"/>
    </row>
    <row r="35" spans="1:8" ht="15" x14ac:dyDescent="0.2">
      <c r="A35" s="380"/>
      <c r="B35" s="352"/>
      <c r="C35" s="361"/>
      <c r="D35" s="361"/>
      <c r="E35" s="356"/>
      <c r="F35" s="357"/>
    </row>
    <row r="36" spans="1:8" ht="15" x14ac:dyDescent="0.2">
      <c r="A36" s="380"/>
      <c r="B36" s="352"/>
      <c r="C36" s="361"/>
      <c r="D36" s="361"/>
      <c r="E36" s="356"/>
      <c r="F36" s="357"/>
    </row>
    <row r="37" spans="1:8" ht="15" x14ac:dyDescent="0.2">
      <c r="A37" s="380"/>
      <c r="B37" s="352"/>
      <c r="C37" s="361"/>
      <c r="D37" s="361"/>
      <c r="E37" s="356"/>
      <c r="F37" s="357"/>
    </row>
    <row r="38" spans="1:8" ht="15" x14ac:dyDescent="0.2">
      <c r="A38" s="380"/>
      <c r="B38" s="352"/>
      <c r="C38" s="361"/>
      <c r="D38" s="361"/>
      <c r="E38" s="357"/>
      <c r="F38" s="357"/>
    </row>
    <row r="39" spans="1:8" ht="15" x14ac:dyDescent="0.2">
      <c r="A39" s="380"/>
      <c r="B39" s="352"/>
      <c r="C39" s="352"/>
      <c r="D39" s="352"/>
      <c r="E39" s="357"/>
      <c r="F39" s="357"/>
    </row>
    <row r="40" spans="1:8" ht="18.75" x14ac:dyDescent="0.2">
      <c r="A40" s="392" t="s">
        <v>2629</v>
      </c>
      <c r="B40" s="393"/>
      <c r="C40" s="393"/>
      <c r="D40" s="393"/>
      <c r="E40" s="394"/>
      <c r="F40" s="358">
        <f>E24+F24</f>
        <v>11812.8</v>
      </c>
      <c r="G40" s="348"/>
      <c r="H40" s="348"/>
    </row>
    <row r="41" spans="1:8" ht="13.5" x14ac:dyDescent="0.25">
      <c r="A41" s="351"/>
      <c r="B41" s="351"/>
      <c r="C41" s="351"/>
      <c r="D41" s="351"/>
      <c r="E41" s="351"/>
      <c r="F41" s="351"/>
      <c r="G41" s="348"/>
      <c r="H41" s="348"/>
    </row>
    <row r="42" spans="1:8" ht="13.5" x14ac:dyDescent="0.25">
      <c r="A42" s="351"/>
      <c r="B42" s="351"/>
      <c r="C42" s="351"/>
      <c r="D42" s="351"/>
      <c r="E42" s="351"/>
      <c r="F42" s="351"/>
      <c r="G42" s="348"/>
      <c r="H42" s="348"/>
    </row>
    <row r="43" spans="1:8" ht="13.5" x14ac:dyDescent="0.25">
      <c r="A43" s="351"/>
      <c r="B43" s="351"/>
      <c r="C43" s="351"/>
      <c r="D43" s="351"/>
      <c r="E43" s="351"/>
      <c r="F43" s="351"/>
      <c r="G43" s="348"/>
      <c r="H43" s="348"/>
    </row>
    <row r="44" spans="1:8" ht="13.5" x14ac:dyDescent="0.25">
      <c r="A44" s="400" t="s">
        <v>2591</v>
      </c>
      <c r="B44" s="401"/>
      <c r="C44" s="400" t="s">
        <v>2592</v>
      </c>
      <c r="D44" s="402"/>
      <c r="E44" s="402"/>
      <c r="F44" s="401"/>
      <c r="G44" s="348"/>
      <c r="H44" s="348"/>
    </row>
    <row r="45" spans="1:8" ht="13.5" x14ac:dyDescent="0.25">
      <c r="A45" s="360"/>
      <c r="B45" s="372"/>
      <c r="C45" s="359"/>
      <c r="D45" s="351"/>
      <c r="E45" s="351"/>
      <c r="F45" s="373"/>
      <c r="G45" s="348"/>
      <c r="H45" s="348"/>
    </row>
    <row r="46" spans="1:8" ht="13.5" x14ac:dyDescent="0.25">
      <c r="A46" s="360"/>
      <c r="B46" s="372"/>
      <c r="C46" s="359"/>
      <c r="D46" s="351"/>
      <c r="E46" s="351"/>
      <c r="F46" s="373"/>
    </row>
    <row r="47" spans="1:8" ht="13.5" x14ac:dyDescent="0.25">
      <c r="A47" s="360"/>
      <c r="B47" s="372"/>
      <c r="C47" s="359"/>
      <c r="D47" s="351"/>
      <c r="E47" s="351"/>
      <c r="F47" s="373"/>
    </row>
    <row r="48" spans="1:8" ht="13.5" x14ac:dyDescent="0.25">
      <c r="A48" s="360"/>
      <c r="B48" s="351"/>
      <c r="C48" s="360"/>
      <c r="D48" s="351"/>
      <c r="E48" s="351"/>
      <c r="F48" s="373"/>
    </row>
    <row r="49" spans="1:6" ht="13.5" x14ac:dyDescent="0.25">
      <c r="A49" s="389" t="s">
        <v>2593</v>
      </c>
      <c r="B49" s="390"/>
      <c r="C49" s="389" t="s">
        <v>2593</v>
      </c>
      <c r="D49" s="391"/>
      <c r="E49" s="391"/>
      <c r="F49" s="390"/>
    </row>
    <row r="50" spans="1:6" x14ac:dyDescent="0.2">
      <c r="B50" s="349"/>
    </row>
  </sheetData>
  <mergeCells count="16">
    <mergeCell ref="A49:B49"/>
    <mergeCell ref="C49:F49"/>
    <mergeCell ref="B13:F13"/>
    <mergeCell ref="C12:D12"/>
    <mergeCell ref="E12:F12"/>
    <mergeCell ref="A44:B44"/>
    <mergeCell ref="C44:F44"/>
    <mergeCell ref="C11:D11"/>
    <mergeCell ref="E11:F11"/>
    <mergeCell ref="A40:E40"/>
    <mergeCell ref="A14:F14"/>
    <mergeCell ref="A6:F6"/>
    <mergeCell ref="C8:D9"/>
    <mergeCell ref="E8:F9"/>
    <mergeCell ref="C10:D10"/>
    <mergeCell ref="E10:F10"/>
  </mergeCells>
  <pageMargins left="0.7" right="0.7" top="0.75" bottom="0.75" header="0.3" footer="0.3"/>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7651-D608-49A5-B718-5DFA0ACF46D1}">
  <sheetPr>
    <pageSetUpPr fitToPage="1"/>
  </sheetPr>
  <dimension ref="A5:T50"/>
  <sheetViews>
    <sheetView tabSelected="1" view="pageBreakPreview" topLeftCell="A2" zoomScaleNormal="100" workbookViewId="0">
      <selection activeCell="B24" sqref="B24"/>
    </sheetView>
  </sheetViews>
  <sheetFormatPr defaultColWidth="9.140625" defaultRowHeight="12.75" x14ac:dyDescent="0.2"/>
  <cols>
    <col min="1" max="1" width="12.7109375" style="345" bestFit="1" customWidth="1"/>
    <col min="2" max="2" width="48" style="345" customWidth="1"/>
    <col min="3" max="3" width="4.5703125" style="345" bestFit="1" customWidth="1"/>
    <col min="4" max="4" width="12.85546875" style="345" bestFit="1" customWidth="1"/>
    <col min="5" max="5" width="12.5703125" style="345" customWidth="1"/>
    <col min="6" max="6" width="19" style="345" customWidth="1"/>
    <col min="7" max="7" width="9.140625" style="345"/>
    <col min="8" max="8" width="10.140625" style="345" customWidth="1"/>
    <col min="9" max="9" width="11.140625" style="345" customWidth="1"/>
    <col min="10" max="16384" width="9.140625" style="345"/>
  </cols>
  <sheetData>
    <row r="5" spans="1:7" ht="56.45" customHeight="1" x14ac:dyDescent="0.2"/>
    <row r="6" spans="1:7" s="376" customFormat="1" ht="21" x14ac:dyDescent="0.35">
      <c r="A6" s="403" t="s">
        <v>2634</v>
      </c>
      <c r="B6" s="404"/>
      <c r="C6" s="404"/>
      <c r="D6" s="404"/>
      <c r="E6" s="404"/>
      <c r="F6" s="405"/>
    </row>
    <row r="7" spans="1:7" ht="13.9" customHeight="1" x14ac:dyDescent="0.25">
      <c r="A7" s="351"/>
      <c r="B7" s="351"/>
      <c r="C7" s="351"/>
      <c r="D7" s="351"/>
      <c r="E7" s="351"/>
      <c r="F7" s="351"/>
    </row>
    <row r="8" spans="1:7" ht="21" customHeight="1" x14ac:dyDescent="0.25">
      <c r="A8" s="377" t="s">
        <v>2560</v>
      </c>
      <c r="B8" s="387" t="str">
        <f>'Service Ticket (Original)'!B8</f>
        <v>HAROUGE</v>
      </c>
      <c r="C8" s="406" t="s">
        <v>2562</v>
      </c>
      <c r="D8" s="406"/>
      <c r="E8" s="407">
        <f>'Service Ticket (Original)'!E8</f>
        <v>1897</v>
      </c>
      <c r="F8" s="407"/>
    </row>
    <row r="9" spans="1:7" ht="21" customHeight="1" x14ac:dyDescent="0.25">
      <c r="A9" s="377" t="s">
        <v>2563</v>
      </c>
      <c r="B9" s="387" t="str">
        <f>'Service Ticket (Original)'!B9</f>
        <v>GHANI</v>
      </c>
      <c r="C9" s="406"/>
      <c r="D9" s="406"/>
      <c r="E9" s="407"/>
      <c r="F9" s="407"/>
    </row>
    <row r="10" spans="1:7" ht="21" customHeight="1" x14ac:dyDescent="0.25">
      <c r="A10" s="377" t="s">
        <v>2565</v>
      </c>
      <c r="B10" s="387" t="str">
        <f>'Service Ticket (Original)'!B10</f>
        <v>VVV08-11</v>
      </c>
      <c r="C10" s="398" t="s">
        <v>2632</v>
      </c>
      <c r="D10" s="398"/>
      <c r="E10" s="408" t="str">
        <f>'Service Ticket (Original)'!E10</f>
        <v>M. Gomoha , Abdsalam</v>
      </c>
      <c r="F10" s="408"/>
    </row>
    <row r="11" spans="1:7" ht="21" customHeight="1" x14ac:dyDescent="0.25">
      <c r="A11" s="377" t="s">
        <v>2568</v>
      </c>
      <c r="B11" s="387" t="str">
        <f>'Service Ticket (Original)'!B11</f>
        <v>ADC#27</v>
      </c>
      <c r="C11" s="398" t="s">
        <v>2570</v>
      </c>
      <c r="D11" s="398"/>
      <c r="E11" s="399">
        <f>'Service Ticket (Original)'!E11</f>
        <v>46207</v>
      </c>
      <c r="F11" s="399"/>
    </row>
    <row r="12" spans="1:7" ht="21" customHeight="1" x14ac:dyDescent="0.25">
      <c r="A12" s="377" t="s">
        <v>2571</v>
      </c>
      <c r="B12" s="387">
        <f>'Service Ticket (Original)'!B12</f>
        <v>450</v>
      </c>
      <c r="C12" s="398" t="s">
        <v>2572</v>
      </c>
      <c r="D12" s="398"/>
      <c r="E12" s="399">
        <f>'Service Ticket (Original)'!E12</f>
        <v>46220</v>
      </c>
      <c r="F12" s="399"/>
    </row>
    <row r="13" spans="1:7" ht="21" customHeight="1" x14ac:dyDescent="0.25">
      <c r="A13" s="377" t="s">
        <v>2626</v>
      </c>
      <c r="B13" s="537" t="str">
        <f>'Service Ticket (Original)'!B13</f>
        <v>Operational Base Coordinates: Awjilah (+29.107970, +21.376782)</v>
      </c>
      <c r="C13" s="537"/>
      <c r="D13" s="537"/>
      <c r="E13" s="537"/>
      <c r="F13" s="537"/>
    </row>
    <row r="14" spans="1:7" ht="26.45" customHeight="1" x14ac:dyDescent="0.2">
      <c r="A14" s="395" t="str">
        <f>'Service Ticket (Original)'!A14</f>
        <v xml:space="preserve"> 7'' Combination For CSG Test &amp; Cement Job</v>
      </c>
      <c r="B14" s="396"/>
      <c r="C14" s="396"/>
      <c r="D14" s="396"/>
      <c r="E14" s="396"/>
      <c r="F14" s="397"/>
    </row>
    <row r="15" spans="1:7" ht="15.75" x14ac:dyDescent="0.2">
      <c r="A15" s="378" t="s">
        <v>2573</v>
      </c>
      <c r="B15" s="378" t="s">
        <v>2574</v>
      </c>
      <c r="C15" s="378" t="s">
        <v>2575</v>
      </c>
      <c r="D15" s="378" t="s">
        <v>9</v>
      </c>
      <c r="E15" s="378" t="s">
        <v>2627</v>
      </c>
      <c r="F15" s="378" t="s">
        <v>2628</v>
      </c>
    </row>
    <row r="16" spans="1:7" ht="21" customHeight="1" x14ac:dyDescent="0.2">
      <c r="A16" s="388" t="str">
        <f>'Service Ticket (Original)'!A16</f>
        <v>MKN-1801</v>
      </c>
      <c r="B16" s="352" t="str">
        <f>'Service Ticket (Original)'!B16</f>
        <v>Pick-up with tools traveling to wells, per KM.</v>
      </c>
      <c r="C16" s="361">
        <f>'Service Ticket (Original)'!C16</f>
        <v>900</v>
      </c>
      <c r="D16" s="366" t="str">
        <f>'Service Ticket (Original)'!D16</f>
        <v>km (Round Trip)</v>
      </c>
      <c r="E16" s="353">
        <f>'Service Ticket (Original)'!E16</f>
        <v>3.9</v>
      </c>
      <c r="F16" s="354">
        <f>'Service Ticket (Original)'!F16</f>
        <v>3510</v>
      </c>
      <c r="G16" s="346"/>
    </row>
    <row r="17" spans="1:20" ht="24" customHeight="1" x14ac:dyDescent="0.2">
      <c r="A17" s="388" t="str">
        <f>'Service Ticket (Original)'!A17</f>
        <v>MKN-1804</v>
      </c>
      <c r="B17" s="352" t="str">
        <f>'Service Ticket (Original)'!B17</f>
        <v>Supervisor or Engineer, per day or fraction</v>
      </c>
      <c r="C17" s="361">
        <f>'Service Ticket (Original)'!C17</f>
        <v>4</v>
      </c>
      <c r="D17" s="361" t="str">
        <f>'Service Ticket (Original)'!D17</f>
        <v>Day</v>
      </c>
      <c r="E17" s="353">
        <f>'Service Ticket (Original)'!E17</f>
        <v>1050</v>
      </c>
      <c r="F17" s="354">
        <f>'Service Ticket (Original)'!F17</f>
        <v>4200</v>
      </c>
      <c r="G17" s="346"/>
      <c r="H17" s="346"/>
    </row>
    <row r="18" spans="1:20" ht="24" customHeight="1" x14ac:dyDescent="0.2">
      <c r="A18" s="388" t="str">
        <f>'Service Ticket (Original)'!A18</f>
        <v>MKN-1828</v>
      </c>
      <c r="B18" s="352" t="str">
        <f>'Service Ticket (Original)'!B18</f>
        <v>Retrievable Bridg Plug Size thru 7'': First  Day</v>
      </c>
      <c r="C18" s="361">
        <f>'Service Ticket (Original)'!C18</f>
        <v>1</v>
      </c>
      <c r="D18" s="361" t="str">
        <f>'Service Ticket (Original)'!D18</f>
        <v>Day</v>
      </c>
      <c r="E18" s="353">
        <f>'Service Ticket (Original)'!E18</f>
        <v>1900</v>
      </c>
      <c r="F18" s="354">
        <f>'Service Ticket (Original)'!F18</f>
        <v>1900</v>
      </c>
      <c r="G18" s="346"/>
      <c r="H18" s="346"/>
      <c r="I18" s="346"/>
      <c r="J18" s="346"/>
      <c r="K18" s="346"/>
      <c r="L18" s="346"/>
      <c r="M18" s="346"/>
      <c r="N18" s="346"/>
      <c r="O18" s="346"/>
      <c r="P18" s="346"/>
      <c r="Q18" s="346"/>
      <c r="R18" s="346"/>
      <c r="S18" s="346"/>
      <c r="T18" s="346"/>
    </row>
    <row r="19" spans="1:20" ht="30.75" customHeight="1" x14ac:dyDescent="0.2">
      <c r="A19" s="388" t="str">
        <f>'Service Ticket (Original)'!A19</f>
        <v>MKN-1829</v>
      </c>
      <c r="B19" s="352" t="str">
        <f>'Service Ticket (Original)'!B19</f>
        <v>Retrievable Bridg Plug Size thru 7'': After First  Day</v>
      </c>
      <c r="C19" s="361">
        <f>'Service Ticket (Original)'!C19</f>
        <v>13</v>
      </c>
      <c r="D19" s="361" t="str">
        <f>'Service Ticket (Original)'!D19</f>
        <v>Day</v>
      </c>
      <c r="E19" s="353">
        <f>'Service Ticket (Original)'!E19</f>
        <v>800</v>
      </c>
      <c r="F19" s="354">
        <f>'Service Ticket (Original)'!F19</f>
        <v>10400</v>
      </c>
      <c r="G19" s="346"/>
      <c r="H19" s="346"/>
      <c r="I19" s="346"/>
      <c r="J19" s="346"/>
      <c r="K19" s="346"/>
      <c r="L19" s="346"/>
      <c r="M19" s="346"/>
      <c r="N19" s="346"/>
      <c r="O19" s="346"/>
      <c r="P19" s="346"/>
      <c r="Q19" s="346"/>
      <c r="R19" s="346"/>
      <c r="S19" s="346"/>
      <c r="T19" s="346"/>
    </row>
    <row r="20" spans="1:20" ht="24" customHeight="1" x14ac:dyDescent="0.2">
      <c r="A20" s="388" t="str">
        <f>'Service Ticket (Original)'!A20</f>
        <v>MKN-1808</v>
      </c>
      <c r="B20" s="352" t="str">
        <f>'Service Ticket (Original)'!B20</f>
        <v xml:space="preserve">Packer Size thru 7'': First Day </v>
      </c>
      <c r="C20" s="361">
        <f>'Service Ticket (Original)'!C20</f>
        <v>1</v>
      </c>
      <c r="D20" s="361" t="str">
        <f>'Service Ticket (Original)'!D20</f>
        <v>Day</v>
      </c>
      <c r="E20" s="353">
        <f>'Service Ticket (Original)'!E20</f>
        <v>2200</v>
      </c>
      <c r="F20" s="354">
        <f>'Service Ticket (Original)'!F20</f>
        <v>2200</v>
      </c>
      <c r="G20" s="346"/>
      <c r="H20" s="346"/>
    </row>
    <row r="21" spans="1:20" ht="24" customHeight="1" x14ac:dyDescent="0.2">
      <c r="A21" s="388" t="str">
        <f>'Service Ticket (Original)'!A21</f>
        <v>MKN-1809</v>
      </c>
      <c r="B21" s="352" t="str">
        <f>'Service Ticket (Original)'!B21</f>
        <v xml:space="preserve">Packer Size thru 7'': After First Day </v>
      </c>
      <c r="C21" s="361">
        <f>'Service Ticket (Original)'!C21</f>
        <v>3</v>
      </c>
      <c r="D21" s="361" t="str">
        <f>'Service Ticket (Original)'!D21</f>
        <v>Day</v>
      </c>
      <c r="E21" s="353">
        <f>'Service Ticket (Original)'!E21</f>
        <v>800</v>
      </c>
      <c r="F21" s="354">
        <f>'Service Ticket (Original)'!F21</f>
        <v>2400</v>
      </c>
      <c r="G21" s="346"/>
      <c r="H21" s="346"/>
      <c r="I21" s="346"/>
      <c r="J21" s="346"/>
      <c r="K21" s="346"/>
      <c r="L21" s="346"/>
      <c r="M21" s="346"/>
      <c r="N21" s="346"/>
      <c r="O21" s="346"/>
      <c r="P21" s="346"/>
      <c r="Q21" s="346"/>
      <c r="R21" s="346"/>
      <c r="S21" s="346"/>
      <c r="T21" s="346"/>
    </row>
    <row r="22" spans="1:20" ht="15" x14ac:dyDescent="0.2">
      <c r="A22" s="388" t="str">
        <f>'Service Ticket (Original)'!A22</f>
        <v>MKN-1963</v>
      </c>
      <c r="B22" s="352" t="str">
        <f>'Service Ticket (Original)'!B22</f>
        <v>DESERT/MARINE Surchargeadd to all invoices</v>
      </c>
      <c r="C22" s="361">
        <f>'Service Ticket (Original)'!C22</f>
        <v>0</v>
      </c>
      <c r="D22" s="361">
        <f>'Service Ticket (Original)'!D22</f>
        <v>0.2</v>
      </c>
      <c r="E22" s="353">
        <f>'Service Ticket (Original)'!E22</f>
        <v>24610</v>
      </c>
      <c r="F22" s="354">
        <f>'Service Ticket (Original)'!F22</f>
        <v>4922</v>
      </c>
    </row>
    <row r="23" spans="1:20" ht="15" x14ac:dyDescent="0.2">
      <c r="A23" s="388">
        <f>'Service Ticket (Original)'!A23</f>
        <v>0</v>
      </c>
      <c r="B23" s="352">
        <f>'Service Ticket (Original)'!B23</f>
        <v>0</v>
      </c>
      <c r="C23" s="361">
        <f>'Service Ticket (Original)'!C23</f>
        <v>0</v>
      </c>
      <c r="D23" s="361">
        <f>'Service Ticket (Original)'!D23</f>
        <v>0</v>
      </c>
      <c r="E23" s="353">
        <f>'Service Ticket (Original)'!E23</f>
        <v>0</v>
      </c>
      <c r="F23" s="354">
        <f>'Service Ticket (Original)'!F23</f>
        <v>0</v>
      </c>
    </row>
    <row r="24" spans="1:20" ht="15" x14ac:dyDescent="0.2">
      <c r="A24" s="388">
        <f>'Service Ticket (Original)'!A24</f>
        <v>0</v>
      </c>
      <c r="B24" s="352" t="str">
        <f>'Service Ticket (Original)'!B24</f>
        <v>Discount 60%</v>
      </c>
      <c r="C24" s="361">
        <f>'Service Ticket (Original)'!C24</f>
        <v>0</v>
      </c>
      <c r="D24" s="361">
        <f>'Service Ticket (Original)'!D24</f>
        <v>0</v>
      </c>
      <c r="E24" s="353">
        <f>'Service Ticket (Original)'!E24</f>
        <v>29532</v>
      </c>
      <c r="F24" s="354">
        <f>'Service Ticket (Original)'!F24</f>
        <v>-17719.2</v>
      </c>
    </row>
    <row r="25" spans="1:20" ht="15" x14ac:dyDescent="0.2">
      <c r="A25" s="388">
        <f>'Service Ticket (Original)'!A25</f>
        <v>0</v>
      </c>
      <c r="B25" s="352">
        <f>'Service Ticket (Original)'!B25</f>
        <v>0</v>
      </c>
      <c r="C25" s="361">
        <f>'Service Ticket (Original)'!C25</f>
        <v>0</v>
      </c>
      <c r="D25" s="361">
        <f>'Service Ticket (Original)'!D25</f>
        <v>0</v>
      </c>
      <c r="E25" s="353">
        <f>'Service Ticket (Original)'!E25</f>
        <v>0</v>
      </c>
      <c r="F25" s="354">
        <f>'Service Ticket (Original)'!F25</f>
        <v>0</v>
      </c>
    </row>
    <row r="26" spans="1:20" ht="15" x14ac:dyDescent="0.2">
      <c r="A26" s="388">
        <f>'Service Ticket (Original)'!A26</f>
        <v>0</v>
      </c>
      <c r="B26" s="352">
        <f>'Service Ticket (Original)'!B26</f>
        <v>0</v>
      </c>
      <c r="C26" s="361">
        <f>'Service Ticket (Original)'!C26</f>
        <v>0</v>
      </c>
      <c r="D26" s="361">
        <f>'Service Ticket (Original)'!D26</f>
        <v>0</v>
      </c>
      <c r="E26" s="353">
        <f>'Service Ticket (Original)'!E26</f>
        <v>0</v>
      </c>
      <c r="F26" s="354">
        <f>'Service Ticket (Original)'!F26</f>
        <v>0</v>
      </c>
    </row>
    <row r="27" spans="1:20" ht="15" x14ac:dyDescent="0.2">
      <c r="A27" s="388">
        <f>'Service Ticket (Original)'!A27</f>
        <v>0</v>
      </c>
      <c r="B27" s="352">
        <f>'Service Ticket (Original)'!B27</f>
        <v>0</v>
      </c>
      <c r="C27" s="361">
        <f>'Service Ticket (Original)'!C27</f>
        <v>0</v>
      </c>
      <c r="D27" s="361">
        <f>'Service Ticket (Original)'!D27</f>
        <v>0</v>
      </c>
      <c r="E27" s="353">
        <f>'Service Ticket (Original)'!E27</f>
        <v>0</v>
      </c>
      <c r="F27" s="354">
        <f>'Service Ticket (Original)'!F27</f>
        <v>0</v>
      </c>
    </row>
    <row r="28" spans="1:20" ht="15" x14ac:dyDescent="0.2">
      <c r="A28" s="388">
        <f>'Service Ticket (Original)'!A28</f>
        <v>0</v>
      </c>
      <c r="B28" s="352">
        <f>'Service Ticket (Original)'!B28</f>
        <v>0</v>
      </c>
      <c r="C28" s="361">
        <f>'Service Ticket (Original)'!C28</f>
        <v>0</v>
      </c>
      <c r="D28" s="361">
        <f>'Service Ticket (Original)'!D28</f>
        <v>0</v>
      </c>
      <c r="E28" s="353">
        <f>'Service Ticket (Original)'!E28</f>
        <v>0</v>
      </c>
      <c r="F28" s="354">
        <f>'Service Ticket (Original)'!F28</f>
        <v>0</v>
      </c>
    </row>
    <row r="29" spans="1:20" ht="15" x14ac:dyDescent="0.2">
      <c r="A29" s="388">
        <f>'Service Ticket (Original)'!A29</f>
        <v>0</v>
      </c>
      <c r="B29" s="352">
        <f>'Service Ticket (Original)'!B29</f>
        <v>0</v>
      </c>
      <c r="C29" s="361">
        <f>'Service Ticket (Original)'!C29</f>
        <v>0</v>
      </c>
      <c r="D29" s="361">
        <f>'Service Ticket (Original)'!D29</f>
        <v>0</v>
      </c>
      <c r="E29" s="353">
        <f>'Service Ticket (Original)'!E29</f>
        <v>0</v>
      </c>
      <c r="F29" s="354">
        <f>'Service Ticket (Original)'!F29</f>
        <v>0</v>
      </c>
    </row>
    <row r="30" spans="1:20" ht="15" x14ac:dyDescent="0.2">
      <c r="A30" s="388">
        <f>'Service Ticket (Original)'!A30</f>
        <v>0</v>
      </c>
      <c r="B30" s="352">
        <f>'Service Ticket (Original)'!B30</f>
        <v>0</v>
      </c>
      <c r="C30" s="361">
        <f>'Service Ticket (Original)'!C30</f>
        <v>0</v>
      </c>
      <c r="D30" s="361">
        <f>'Service Ticket (Original)'!D30</f>
        <v>0</v>
      </c>
      <c r="E30" s="353">
        <f>'Service Ticket (Original)'!E30</f>
        <v>0</v>
      </c>
      <c r="F30" s="354">
        <f>'Service Ticket (Original)'!F30</f>
        <v>0</v>
      </c>
    </row>
    <row r="31" spans="1:20" ht="15" x14ac:dyDescent="0.2">
      <c r="A31" s="388">
        <f>'Service Ticket (Original)'!A31</f>
        <v>0</v>
      </c>
      <c r="B31" s="352">
        <f>'Service Ticket (Original)'!B31</f>
        <v>0</v>
      </c>
      <c r="C31" s="361">
        <f>'Service Ticket (Original)'!C31</f>
        <v>0</v>
      </c>
      <c r="D31" s="361">
        <f>'Service Ticket (Original)'!D31</f>
        <v>0</v>
      </c>
      <c r="E31" s="353">
        <f>'Service Ticket (Original)'!E31</f>
        <v>0</v>
      </c>
      <c r="F31" s="354">
        <f>'Service Ticket (Original)'!F31</f>
        <v>0</v>
      </c>
      <c r="I31" s="347"/>
    </row>
    <row r="32" spans="1:20" ht="15" x14ac:dyDescent="0.2">
      <c r="A32" s="388">
        <f>'Service Ticket (Original)'!A32</f>
        <v>0</v>
      </c>
      <c r="B32" s="352">
        <f>'Service Ticket (Original)'!B32</f>
        <v>0</v>
      </c>
      <c r="C32" s="361">
        <f>'Service Ticket (Original)'!C32</f>
        <v>0</v>
      </c>
      <c r="D32" s="361">
        <f>'Service Ticket (Original)'!D32</f>
        <v>0</v>
      </c>
      <c r="E32" s="353">
        <f>'Service Ticket (Original)'!E32</f>
        <v>0</v>
      </c>
      <c r="F32" s="354">
        <f>'Service Ticket (Original)'!F32</f>
        <v>0</v>
      </c>
    </row>
    <row r="33" spans="1:8" ht="15" x14ac:dyDescent="0.2">
      <c r="A33" s="388">
        <f>'Service Ticket (Original)'!A33</f>
        <v>0</v>
      </c>
      <c r="B33" s="352">
        <f>'Service Ticket (Original)'!B33</f>
        <v>0</v>
      </c>
      <c r="C33" s="361">
        <f>'Service Ticket (Original)'!C33</f>
        <v>0</v>
      </c>
      <c r="D33" s="361">
        <f>'Service Ticket (Original)'!D33</f>
        <v>0</v>
      </c>
      <c r="E33" s="353">
        <f>'Service Ticket (Original)'!E33</f>
        <v>0</v>
      </c>
      <c r="F33" s="354">
        <f>'Service Ticket (Original)'!F33</f>
        <v>0</v>
      </c>
    </row>
    <row r="34" spans="1:8" ht="15" x14ac:dyDescent="0.2">
      <c r="A34" s="388">
        <f>'Service Ticket (Original)'!A34</f>
        <v>0</v>
      </c>
      <c r="B34" s="352">
        <f>'Service Ticket (Original)'!B34</f>
        <v>0</v>
      </c>
      <c r="C34" s="361">
        <f>'Service Ticket (Original)'!C34</f>
        <v>0</v>
      </c>
      <c r="D34" s="361">
        <f>'Service Ticket (Original)'!D34</f>
        <v>0</v>
      </c>
      <c r="E34" s="353">
        <f>'Service Ticket (Original)'!E34</f>
        <v>0</v>
      </c>
      <c r="F34" s="354">
        <f>'Service Ticket (Original)'!F34</f>
        <v>0</v>
      </c>
    </row>
    <row r="35" spans="1:8" ht="15" x14ac:dyDescent="0.2">
      <c r="A35" s="388">
        <f>'Service Ticket (Original)'!A35</f>
        <v>0</v>
      </c>
      <c r="B35" s="352">
        <f>'Service Ticket (Original)'!B35</f>
        <v>0</v>
      </c>
      <c r="C35" s="361">
        <f>'Service Ticket (Original)'!C35</f>
        <v>0</v>
      </c>
      <c r="D35" s="361">
        <f>'Service Ticket (Original)'!D35</f>
        <v>0</v>
      </c>
      <c r="E35" s="353">
        <f>'Service Ticket (Original)'!E35</f>
        <v>0</v>
      </c>
      <c r="F35" s="354">
        <f>'Service Ticket (Original)'!F35</f>
        <v>0</v>
      </c>
    </row>
    <row r="36" spans="1:8" ht="15" x14ac:dyDescent="0.2">
      <c r="A36" s="388">
        <f>'Service Ticket (Original)'!A36</f>
        <v>0</v>
      </c>
      <c r="B36" s="352">
        <f>'Service Ticket (Original)'!B36</f>
        <v>0</v>
      </c>
      <c r="C36" s="361">
        <f>'Service Ticket (Original)'!C36</f>
        <v>0</v>
      </c>
      <c r="D36" s="361">
        <f>'Service Ticket (Original)'!D36</f>
        <v>0</v>
      </c>
      <c r="E36" s="353">
        <f>'Service Ticket (Original)'!E36</f>
        <v>0</v>
      </c>
      <c r="F36" s="354">
        <f>'Service Ticket (Original)'!F36</f>
        <v>0</v>
      </c>
    </row>
    <row r="37" spans="1:8" ht="15" x14ac:dyDescent="0.2">
      <c r="A37" s="388">
        <f>'Service Ticket (Original)'!A37</f>
        <v>0</v>
      </c>
      <c r="B37" s="352">
        <f>'Service Ticket (Original)'!B37</f>
        <v>0</v>
      </c>
      <c r="C37" s="361">
        <f>'Service Ticket (Original)'!C37</f>
        <v>0</v>
      </c>
      <c r="D37" s="361">
        <f>'Service Ticket (Original)'!D37</f>
        <v>0</v>
      </c>
      <c r="E37" s="353">
        <f>'Service Ticket (Original)'!E37</f>
        <v>0</v>
      </c>
      <c r="F37" s="354">
        <f>'Service Ticket (Original)'!F37</f>
        <v>0</v>
      </c>
    </row>
    <row r="38" spans="1:8" ht="15" x14ac:dyDescent="0.2">
      <c r="A38" s="388">
        <f>'Service Ticket (Original)'!A38</f>
        <v>0</v>
      </c>
      <c r="B38" s="352">
        <f>'Service Ticket (Original)'!B38</f>
        <v>0</v>
      </c>
      <c r="C38" s="361">
        <f>'Service Ticket (Original)'!C38</f>
        <v>0</v>
      </c>
      <c r="D38" s="361">
        <f>'Service Ticket (Original)'!D38</f>
        <v>0</v>
      </c>
      <c r="E38" s="353">
        <f>'Service Ticket (Original)'!E38</f>
        <v>0</v>
      </c>
      <c r="F38" s="354">
        <f>'Service Ticket (Original)'!F38</f>
        <v>0</v>
      </c>
    </row>
    <row r="39" spans="1:8" ht="15" x14ac:dyDescent="0.2">
      <c r="A39" s="388">
        <f>'Service Ticket (Original)'!A39</f>
        <v>0</v>
      </c>
      <c r="B39" s="352">
        <f>'Service Ticket (Original)'!B39</f>
        <v>0</v>
      </c>
      <c r="C39" s="361">
        <f>'Service Ticket (Original)'!C39</f>
        <v>0</v>
      </c>
      <c r="D39" s="361">
        <f>'Service Ticket (Original)'!D39</f>
        <v>0</v>
      </c>
      <c r="E39" s="353">
        <f>'Service Ticket (Original)'!E39</f>
        <v>0</v>
      </c>
      <c r="F39" s="354">
        <f>'Service Ticket (Original)'!F39</f>
        <v>0</v>
      </c>
    </row>
    <row r="40" spans="1:8" ht="18.75" x14ac:dyDescent="0.2">
      <c r="A40" s="392" t="str">
        <f>'Service Ticket (Original)'!A40</f>
        <v xml:space="preserve"> Total =</v>
      </c>
      <c r="B40" s="393"/>
      <c r="C40" s="393"/>
      <c r="D40" s="393"/>
      <c r="E40" s="394"/>
      <c r="F40" s="358">
        <f>'Service Ticket (Original)'!F40</f>
        <v>11812.8</v>
      </c>
      <c r="G40" s="348"/>
      <c r="H40" s="348"/>
    </row>
    <row r="41" spans="1:8" ht="13.5" x14ac:dyDescent="0.25">
      <c r="A41" s="351"/>
      <c r="B41" s="351"/>
      <c r="C41" s="351"/>
      <c r="D41" s="351"/>
      <c r="E41" s="351"/>
      <c r="F41" s="351"/>
      <c r="G41" s="348"/>
      <c r="H41" s="348"/>
    </row>
    <row r="42" spans="1:8" ht="13.5" x14ac:dyDescent="0.25">
      <c r="A42" s="351"/>
      <c r="B42" s="351"/>
      <c r="C42" s="351"/>
      <c r="D42" s="351"/>
      <c r="E42" s="351"/>
      <c r="F42" s="351"/>
      <c r="G42" s="348"/>
      <c r="H42" s="348"/>
    </row>
    <row r="43" spans="1:8" ht="13.5" x14ac:dyDescent="0.25">
      <c r="A43" s="351"/>
      <c r="B43" s="351"/>
      <c r="C43" s="351"/>
      <c r="D43" s="351"/>
      <c r="E43" s="351"/>
      <c r="F43" s="351"/>
      <c r="G43" s="348"/>
      <c r="H43" s="348"/>
    </row>
    <row r="44" spans="1:8" ht="13.5" x14ac:dyDescent="0.25">
      <c r="A44" s="400" t="s">
        <v>2591</v>
      </c>
      <c r="B44" s="401"/>
      <c r="C44" s="400" t="s">
        <v>2592</v>
      </c>
      <c r="D44" s="402"/>
      <c r="E44" s="402"/>
      <c r="F44" s="401"/>
      <c r="G44" s="348"/>
      <c r="H44" s="348"/>
    </row>
    <row r="45" spans="1:8" ht="13.5" x14ac:dyDescent="0.25">
      <c r="A45" s="360"/>
      <c r="B45" s="372"/>
      <c r="C45" s="359"/>
      <c r="D45" s="351"/>
      <c r="E45" s="351"/>
      <c r="F45" s="373"/>
      <c r="G45" s="348"/>
      <c r="H45" s="348"/>
    </row>
    <row r="46" spans="1:8" ht="13.5" x14ac:dyDescent="0.25">
      <c r="A46" s="360"/>
      <c r="B46" s="372"/>
      <c r="C46" s="359"/>
      <c r="D46" s="351"/>
      <c r="E46" s="351"/>
      <c r="F46" s="373"/>
    </row>
    <row r="47" spans="1:8" ht="13.5" x14ac:dyDescent="0.25">
      <c r="A47" s="360"/>
      <c r="B47" s="372"/>
      <c r="C47" s="359"/>
      <c r="D47" s="351"/>
      <c r="E47" s="351"/>
      <c r="F47" s="373"/>
    </row>
    <row r="48" spans="1:8" ht="13.5" x14ac:dyDescent="0.25">
      <c r="A48" s="360"/>
      <c r="B48" s="351"/>
      <c r="C48" s="360"/>
      <c r="D48" s="351"/>
      <c r="E48" s="351"/>
      <c r="F48" s="373"/>
    </row>
    <row r="49" spans="1:6" ht="13.5" x14ac:dyDescent="0.25">
      <c r="A49" s="389" t="s">
        <v>2593</v>
      </c>
      <c r="B49" s="390"/>
      <c r="C49" s="389" t="s">
        <v>2593</v>
      </c>
      <c r="D49" s="391"/>
      <c r="E49" s="391"/>
      <c r="F49" s="390"/>
    </row>
    <row r="50" spans="1:6" x14ac:dyDescent="0.2">
      <c r="B50" s="349"/>
    </row>
  </sheetData>
  <mergeCells count="16">
    <mergeCell ref="C11:D11"/>
    <mergeCell ref="E11:F11"/>
    <mergeCell ref="A6:F6"/>
    <mergeCell ref="C8:D9"/>
    <mergeCell ref="E8:F9"/>
    <mergeCell ref="C10:D10"/>
    <mergeCell ref="E10:F10"/>
    <mergeCell ref="A49:B49"/>
    <mergeCell ref="C49:F49"/>
    <mergeCell ref="A40:E40"/>
    <mergeCell ref="A14:F14"/>
    <mergeCell ref="C12:D12"/>
    <mergeCell ref="E12:F12"/>
    <mergeCell ref="B13:F13"/>
    <mergeCell ref="A44:B44"/>
    <mergeCell ref="C44:F44"/>
  </mergeCells>
  <pageMargins left="0.7" right="0.7" top="0.75" bottom="0.75" header="0.3" footer="0.3"/>
  <pageSetup scale="8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C453D-EFE6-4A34-815A-1BE9F07E2485}">
  <sheetPr>
    <pageSetUpPr fitToPage="1"/>
  </sheetPr>
  <dimension ref="A6:I48"/>
  <sheetViews>
    <sheetView view="pageBreakPreview" topLeftCell="A6" zoomScaleNormal="100" workbookViewId="0">
      <selection activeCell="E28" sqref="E28:I28"/>
    </sheetView>
  </sheetViews>
  <sheetFormatPr defaultColWidth="8.85546875" defaultRowHeight="12.75" x14ac:dyDescent="0.2"/>
  <cols>
    <col min="1" max="1" width="14" style="350" customWidth="1"/>
    <col min="2" max="2" width="9.85546875" style="350" customWidth="1"/>
    <col min="3" max="3" width="8.140625" style="350" customWidth="1"/>
    <col min="4" max="4" width="9.140625" style="350" customWidth="1"/>
    <col min="5" max="5" width="13.85546875" style="350" customWidth="1"/>
    <col min="6" max="7" width="8.7109375" style="350" customWidth="1"/>
    <col min="8" max="8" width="8.85546875" style="350"/>
    <col min="9" max="9" width="14.28515625" style="350" customWidth="1"/>
    <col min="10" max="16384" width="8.85546875" style="350"/>
  </cols>
  <sheetData>
    <row r="6" spans="1:9" s="345" customFormat="1" ht="21" x14ac:dyDescent="0.35">
      <c r="A6" s="403" t="s">
        <v>2594</v>
      </c>
      <c r="B6" s="404"/>
      <c r="C6" s="404"/>
      <c r="D6" s="404"/>
      <c r="E6" s="404"/>
      <c r="F6" s="404"/>
      <c r="G6" s="405"/>
      <c r="H6" s="415">
        <f>'Service Ticket (Original)'!E8</f>
        <v>1897</v>
      </c>
      <c r="I6" s="416"/>
    </row>
    <row r="7" spans="1:9" ht="17.45" customHeight="1" x14ac:dyDescent="0.25">
      <c r="A7" s="367"/>
      <c r="B7" s="421"/>
      <c r="C7" s="421"/>
      <c r="D7" s="368"/>
      <c r="E7" s="367"/>
      <c r="F7" s="424" t="s">
        <v>2595</v>
      </c>
      <c r="G7" s="425"/>
      <c r="H7" s="417"/>
      <c r="I7" s="418"/>
    </row>
    <row r="8" spans="1:9" ht="13.15" customHeight="1" x14ac:dyDescent="0.25">
      <c r="A8" s="367"/>
      <c r="B8" s="367"/>
      <c r="C8" s="367"/>
      <c r="D8" s="367"/>
      <c r="E8" s="367"/>
      <c r="F8" s="426"/>
      <c r="G8" s="427"/>
      <c r="H8" s="417"/>
      <c r="I8" s="418"/>
    </row>
    <row r="9" spans="1:9" ht="13.5" x14ac:dyDescent="0.25">
      <c r="A9" s="367"/>
      <c r="B9" s="367"/>
      <c r="C9" s="367"/>
      <c r="D9" s="367"/>
      <c r="E9" s="367"/>
      <c r="F9" s="428"/>
      <c r="G9" s="429"/>
      <c r="H9" s="419"/>
      <c r="I9" s="420"/>
    </row>
    <row r="10" spans="1:9" ht="13.5" x14ac:dyDescent="0.25">
      <c r="A10" s="375" t="s">
        <v>2560</v>
      </c>
      <c r="B10" s="422" t="str">
        <f>'Service Ticket (Original)'!B8</f>
        <v>HAROUGE</v>
      </c>
      <c r="C10" s="422"/>
      <c r="D10" s="422"/>
      <c r="E10" s="375" t="s">
        <v>3</v>
      </c>
      <c r="F10" s="423">
        <f>'Service Ticket (Original)'!E12</f>
        <v>46220</v>
      </c>
      <c r="G10" s="423"/>
      <c r="H10" s="423"/>
      <c r="I10" s="423"/>
    </row>
    <row r="11" spans="1:9" ht="13.5" x14ac:dyDescent="0.25">
      <c r="A11" s="369"/>
      <c r="B11" s="430"/>
      <c r="C11" s="430"/>
      <c r="D11" s="430"/>
      <c r="E11" s="369"/>
      <c r="F11" s="430"/>
      <c r="G11" s="430"/>
      <c r="H11" s="430"/>
      <c r="I11" s="430"/>
    </row>
    <row r="12" spans="1:9" ht="15.75" customHeight="1" x14ac:dyDescent="0.25">
      <c r="A12" s="375" t="s">
        <v>2596</v>
      </c>
      <c r="B12" s="422" t="str">
        <f>'Service Ticket (Original)'!B9</f>
        <v>GHANI</v>
      </c>
      <c r="C12" s="422"/>
      <c r="D12" s="422"/>
      <c r="E12" s="375" t="s">
        <v>2597</v>
      </c>
      <c r="F12" s="431" t="str">
        <f>'Service Ticket (Original)'!A14</f>
        <v xml:space="preserve"> 7'' Combination For CSG Test &amp; Cement Job</v>
      </c>
      <c r="G12" s="431"/>
      <c r="H12" s="431"/>
      <c r="I12" s="431"/>
    </row>
    <row r="13" spans="1:9" ht="13.5" x14ac:dyDescent="0.25">
      <c r="A13" s="369"/>
      <c r="B13" s="430"/>
      <c r="C13" s="430"/>
      <c r="D13" s="430"/>
      <c r="E13" s="369"/>
      <c r="F13" s="430"/>
      <c r="G13" s="430"/>
      <c r="H13" s="430"/>
      <c r="I13" s="430"/>
    </row>
    <row r="14" spans="1:9" ht="13.5" x14ac:dyDescent="0.25">
      <c r="A14" s="375" t="s">
        <v>2565</v>
      </c>
      <c r="B14" s="422" t="str">
        <f>'Service Ticket (Original)'!B10</f>
        <v>VVV08-11</v>
      </c>
      <c r="C14" s="422"/>
      <c r="D14" s="422"/>
      <c r="E14" s="375" t="s">
        <v>2598</v>
      </c>
      <c r="F14" s="422" t="s">
        <v>2599</v>
      </c>
      <c r="G14" s="422"/>
      <c r="H14" s="422"/>
      <c r="I14" s="422"/>
    </row>
    <row r="15" spans="1:9" ht="13.5" x14ac:dyDescent="0.25">
      <c r="A15" s="369"/>
      <c r="B15" s="430"/>
      <c r="C15" s="430"/>
      <c r="D15" s="430"/>
      <c r="E15" s="369"/>
      <c r="F15" s="430"/>
      <c r="G15" s="430"/>
      <c r="H15" s="430"/>
      <c r="I15" s="430"/>
    </row>
    <row r="16" spans="1:9" ht="13.5" x14ac:dyDescent="0.25">
      <c r="A16" s="375" t="s">
        <v>2600</v>
      </c>
      <c r="B16" s="422" t="str">
        <f>'Service Ticket (Original)'!E10</f>
        <v>M. Gomoha , Abdsalam</v>
      </c>
      <c r="C16" s="422"/>
      <c r="D16" s="422"/>
      <c r="E16" s="375" t="s">
        <v>2568</v>
      </c>
      <c r="F16" s="422" t="str">
        <f>'Service Ticket (Original)'!B11</f>
        <v>ADC#27</v>
      </c>
      <c r="G16" s="422"/>
      <c r="H16" s="422"/>
      <c r="I16" s="422"/>
    </row>
    <row r="17" spans="1:9" ht="15.75" customHeight="1" x14ac:dyDescent="0.2">
      <c r="A17" s="433" t="s">
        <v>2601</v>
      </c>
      <c r="B17" s="434"/>
      <c r="C17" s="435"/>
      <c r="D17" s="432" t="s">
        <v>2602</v>
      </c>
      <c r="E17" s="432"/>
      <c r="F17" s="433" t="s">
        <v>2635</v>
      </c>
      <c r="G17" s="434"/>
      <c r="H17" s="434"/>
      <c r="I17" s="435"/>
    </row>
    <row r="18" spans="1:9" ht="17.25" customHeight="1" x14ac:dyDescent="0.2">
      <c r="A18" s="436">
        <f>'Service Ticket (Original)'!E11</f>
        <v>46207</v>
      </c>
      <c r="B18" s="437"/>
      <c r="C18" s="438"/>
      <c r="D18" s="423">
        <f>'Service Ticket (Original)'!E12</f>
        <v>46220</v>
      </c>
      <c r="E18" s="423"/>
      <c r="F18" s="436">
        <f>'Service Ticket (Original)'!E11</f>
        <v>46207</v>
      </c>
      <c r="G18" s="437"/>
      <c r="H18" s="437"/>
      <c r="I18" s="438"/>
    </row>
    <row r="19" spans="1:9" ht="21" customHeight="1" x14ac:dyDescent="0.2">
      <c r="A19" s="374" t="s">
        <v>2603</v>
      </c>
      <c r="B19" s="374" t="s">
        <v>2604</v>
      </c>
      <c r="C19" s="374" t="s">
        <v>2605</v>
      </c>
      <c r="D19" s="374" t="s">
        <v>2606</v>
      </c>
      <c r="E19" s="432" t="s">
        <v>2607</v>
      </c>
      <c r="F19" s="432"/>
      <c r="G19" s="432"/>
      <c r="H19" s="432"/>
      <c r="I19" s="432"/>
    </row>
    <row r="20" spans="1:9" ht="13.5" x14ac:dyDescent="0.2">
      <c r="A20" s="381">
        <f>A18</f>
        <v>46207</v>
      </c>
      <c r="B20" s="382">
        <v>0.47916666666666669</v>
      </c>
      <c r="C20" s="382" t="s">
        <v>2378</v>
      </c>
      <c r="D20" s="382" t="s">
        <v>2378</v>
      </c>
      <c r="E20" s="440" t="s">
        <v>2608</v>
      </c>
      <c r="F20" s="440"/>
      <c r="G20" s="440"/>
      <c r="H20" s="440"/>
      <c r="I20" s="440"/>
    </row>
    <row r="21" spans="1:9" ht="12.75" customHeight="1" x14ac:dyDescent="0.2">
      <c r="A21" s="381">
        <v>46208</v>
      </c>
      <c r="B21" s="382">
        <v>0.3125</v>
      </c>
      <c r="C21" s="382" t="s">
        <v>2378</v>
      </c>
      <c r="D21" s="382" t="s">
        <v>2378</v>
      </c>
      <c r="E21" s="439" t="s">
        <v>2609</v>
      </c>
      <c r="F21" s="439"/>
      <c r="G21" s="439"/>
      <c r="H21" s="439"/>
      <c r="I21" s="439"/>
    </row>
    <row r="22" spans="1:9" ht="15.75" customHeight="1" x14ac:dyDescent="0.2">
      <c r="A22" s="381" t="s">
        <v>2378</v>
      </c>
      <c r="B22" s="382">
        <v>0.375</v>
      </c>
      <c r="C22" s="382" t="s">
        <v>2378</v>
      </c>
      <c r="D22" s="382" t="s">
        <v>2378</v>
      </c>
      <c r="E22" s="439" t="s">
        <v>2610</v>
      </c>
      <c r="F22" s="439"/>
      <c r="G22" s="439"/>
      <c r="H22" s="439"/>
      <c r="I22" s="439"/>
    </row>
    <row r="23" spans="1:9" ht="15" customHeight="1" x14ac:dyDescent="0.2">
      <c r="A23" s="381" t="s">
        <v>2378</v>
      </c>
      <c r="B23" s="382">
        <v>0.39583333333333331</v>
      </c>
      <c r="C23" s="382" t="s">
        <v>2378</v>
      </c>
      <c r="D23" s="382" t="s">
        <v>2378</v>
      </c>
      <c r="E23" s="439" t="s">
        <v>2611</v>
      </c>
      <c r="F23" s="439"/>
      <c r="G23" s="439"/>
      <c r="H23" s="439"/>
      <c r="I23" s="439"/>
    </row>
    <row r="24" spans="1:9" ht="15" customHeight="1" x14ac:dyDescent="0.2">
      <c r="A24" s="381" t="s">
        <v>2378</v>
      </c>
      <c r="B24" s="382" t="s">
        <v>2378</v>
      </c>
      <c r="C24" s="382" t="s">
        <v>2378</v>
      </c>
      <c r="D24" s="382" t="s">
        <v>2378</v>
      </c>
      <c r="E24" s="439" t="s">
        <v>2378</v>
      </c>
      <c r="F24" s="439"/>
      <c r="G24" s="439"/>
      <c r="H24" s="439"/>
      <c r="I24" s="439"/>
    </row>
    <row r="25" spans="1:9" ht="15" customHeight="1" x14ac:dyDescent="0.2">
      <c r="A25" s="381" t="s">
        <v>2378</v>
      </c>
      <c r="B25" s="382" t="s">
        <v>2378</v>
      </c>
      <c r="C25" s="382" t="s">
        <v>2378</v>
      </c>
      <c r="D25" s="382" t="s">
        <v>2378</v>
      </c>
      <c r="E25" s="441" t="s">
        <v>2612</v>
      </c>
      <c r="F25" s="441"/>
      <c r="G25" s="441"/>
      <c r="H25" s="441"/>
      <c r="I25" s="441"/>
    </row>
    <row r="26" spans="1:9" ht="14.25" customHeight="1" x14ac:dyDescent="0.2">
      <c r="A26" s="381" t="s">
        <v>2378</v>
      </c>
      <c r="B26" s="382" t="s">
        <v>2378</v>
      </c>
      <c r="C26" s="382" t="s">
        <v>2378</v>
      </c>
      <c r="D26" s="382" t="s">
        <v>2378</v>
      </c>
      <c r="E26" s="439" t="s">
        <v>2378</v>
      </c>
      <c r="F26" s="439"/>
      <c r="G26" s="439"/>
      <c r="H26" s="439"/>
      <c r="I26" s="439"/>
    </row>
    <row r="27" spans="1:9" ht="13.15" customHeight="1" x14ac:dyDescent="0.2">
      <c r="A27" s="381" t="s">
        <v>2378</v>
      </c>
      <c r="B27" s="382" t="s">
        <v>2378</v>
      </c>
      <c r="C27" s="382" t="s">
        <v>2378</v>
      </c>
      <c r="D27" s="382" t="s">
        <v>2378</v>
      </c>
      <c r="E27" s="439" t="s">
        <v>2378</v>
      </c>
      <c r="F27" s="439"/>
      <c r="G27" s="439"/>
      <c r="H27" s="439"/>
      <c r="I27" s="439"/>
    </row>
    <row r="28" spans="1:9" ht="12.75" customHeight="1" x14ac:dyDescent="0.2">
      <c r="A28" s="381" t="s">
        <v>2378</v>
      </c>
      <c r="B28" s="382" t="s">
        <v>2378</v>
      </c>
      <c r="C28" s="382" t="s">
        <v>2378</v>
      </c>
      <c r="D28" s="382" t="s">
        <v>2378</v>
      </c>
      <c r="E28" s="439" t="s">
        <v>2378</v>
      </c>
      <c r="F28" s="439"/>
      <c r="G28" s="439"/>
      <c r="H28" s="439"/>
      <c r="I28" s="439"/>
    </row>
    <row r="29" spans="1:9" ht="13.5" x14ac:dyDescent="0.2">
      <c r="A29" s="381">
        <v>46216</v>
      </c>
      <c r="B29" s="382">
        <v>0.33333333333333331</v>
      </c>
      <c r="C29" s="382" t="s">
        <v>2378</v>
      </c>
      <c r="D29" s="382" t="s">
        <v>2378</v>
      </c>
      <c r="E29" s="439" t="s">
        <v>2613</v>
      </c>
      <c r="F29" s="439"/>
      <c r="G29" s="439"/>
      <c r="H29" s="439"/>
      <c r="I29" s="439"/>
    </row>
    <row r="30" spans="1:9" ht="15" customHeight="1" x14ac:dyDescent="0.2">
      <c r="A30" s="381" t="s">
        <v>2378</v>
      </c>
      <c r="B30" s="382">
        <v>0.54166666666666663</v>
      </c>
      <c r="C30" s="382" t="s">
        <v>2378</v>
      </c>
      <c r="D30" s="382" t="s">
        <v>2378</v>
      </c>
      <c r="E30" s="439" t="s">
        <v>2614</v>
      </c>
      <c r="F30" s="439"/>
      <c r="G30" s="439"/>
      <c r="H30" s="439"/>
      <c r="I30" s="439"/>
    </row>
    <row r="31" spans="1:9" ht="12.75" customHeight="1" x14ac:dyDescent="0.2">
      <c r="A31" s="381" t="s">
        <v>2378</v>
      </c>
      <c r="B31" s="382">
        <v>0.58333333333333337</v>
      </c>
      <c r="C31" s="382" t="s">
        <v>2378</v>
      </c>
      <c r="D31" s="382" t="s">
        <v>2378</v>
      </c>
      <c r="E31" s="439" t="s">
        <v>2615</v>
      </c>
      <c r="F31" s="439"/>
      <c r="G31" s="439"/>
      <c r="H31" s="439"/>
      <c r="I31" s="439"/>
    </row>
    <row r="32" spans="1:9" ht="15" customHeight="1" x14ac:dyDescent="0.2">
      <c r="A32" s="381">
        <v>46217</v>
      </c>
      <c r="B32" s="382" t="s">
        <v>2378</v>
      </c>
      <c r="C32" s="382" t="s">
        <v>2378</v>
      </c>
      <c r="D32" s="382" t="s">
        <v>2378</v>
      </c>
      <c r="E32" s="439" t="s">
        <v>2378</v>
      </c>
      <c r="F32" s="439"/>
      <c r="G32" s="439"/>
      <c r="H32" s="439"/>
      <c r="I32" s="439"/>
    </row>
    <row r="33" spans="1:9" ht="12.75" customHeight="1" x14ac:dyDescent="0.2">
      <c r="A33" s="381" t="s">
        <v>2378</v>
      </c>
      <c r="B33" s="382">
        <v>0.29166666666666669</v>
      </c>
      <c r="C33" s="382" t="s">
        <v>2378</v>
      </c>
      <c r="D33" s="382" t="s">
        <v>2378</v>
      </c>
      <c r="E33" s="439" t="s">
        <v>2616</v>
      </c>
      <c r="F33" s="439"/>
      <c r="G33" s="439"/>
      <c r="H33" s="439"/>
      <c r="I33" s="439"/>
    </row>
    <row r="34" spans="1:9" ht="13.5" x14ac:dyDescent="0.2">
      <c r="A34" s="381" t="s">
        <v>2378</v>
      </c>
      <c r="B34" s="382" t="s">
        <v>2378</v>
      </c>
      <c r="C34" s="382" t="s">
        <v>2378</v>
      </c>
      <c r="D34" s="382" t="s">
        <v>2378</v>
      </c>
      <c r="E34" s="439" t="s">
        <v>2378</v>
      </c>
      <c r="F34" s="439"/>
      <c r="G34" s="439"/>
      <c r="H34" s="439"/>
      <c r="I34" s="439"/>
    </row>
    <row r="35" spans="1:9" ht="13.5" x14ac:dyDescent="0.2">
      <c r="A35" s="381" t="s">
        <v>2378</v>
      </c>
      <c r="B35" s="382" t="s">
        <v>2378</v>
      </c>
      <c r="C35" s="382" t="s">
        <v>2378</v>
      </c>
      <c r="D35" s="382" t="s">
        <v>2378</v>
      </c>
      <c r="E35" s="439" t="s">
        <v>2378</v>
      </c>
      <c r="F35" s="439"/>
      <c r="G35" s="439"/>
      <c r="H35" s="439"/>
      <c r="I35" s="439"/>
    </row>
    <row r="36" spans="1:9" ht="12.75" customHeight="1" x14ac:dyDescent="0.2">
      <c r="A36" s="381">
        <v>46219</v>
      </c>
      <c r="B36" s="382" t="s">
        <v>2378</v>
      </c>
      <c r="C36" s="382" t="s">
        <v>2378</v>
      </c>
      <c r="D36" s="382" t="s">
        <v>2378</v>
      </c>
      <c r="E36" s="439" t="s">
        <v>2378</v>
      </c>
      <c r="F36" s="439"/>
      <c r="G36" s="439"/>
      <c r="H36" s="439"/>
      <c r="I36" s="439"/>
    </row>
    <row r="37" spans="1:9" ht="13.5" x14ac:dyDescent="0.2">
      <c r="A37" s="381" t="s">
        <v>2378</v>
      </c>
      <c r="B37" s="382">
        <v>0.29166666666666669</v>
      </c>
      <c r="C37" s="382" t="s">
        <v>2378</v>
      </c>
      <c r="D37" s="382" t="s">
        <v>2378</v>
      </c>
      <c r="E37" s="439" t="s">
        <v>2617</v>
      </c>
      <c r="F37" s="439"/>
      <c r="G37" s="439"/>
      <c r="H37" s="439"/>
      <c r="I37" s="439"/>
    </row>
    <row r="38" spans="1:9" ht="13.5" x14ac:dyDescent="0.2">
      <c r="A38" s="381" t="s">
        <v>2378</v>
      </c>
      <c r="B38" s="382">
        <v>0.64583333333333337</v>
      </c>
      <c r="C38" s="382" t="s">
        <v>2378</v>
      </c>
      <c r="D38" s="382" t="s">
        <v>2378</v>
      </c>
      <c r="E38" s="439" t="s">
        <v>2618</v>
      </c>
      <c r="F38" s="439"/>
      <c r="G38" s="439"/>
      <c r="H38" s="439"/>
      <c r="I38" s="439"/>
    </row>
    <row r="39" spans="1:9" ht="13.5" x14ac:dyDescent="0.2">
      <c r="A39" s="381" t="s">
        <v>2378</v>
      </c>
      <c r="B39" s="382" t="s">
        <v>2378</v>
      </c>
      <c r="C39" s="382" t="s">
        <v>2378</v>
      </c>
      <c r="D39" s="382" t="s">
        <v>2378</v>
      </c>
      <c r="E39" s="439" t="s">
        <v>2378</v>
      </c>
      <c r="F39" s="439"/>
      <c r="G39" s="439"/>
      <c r="H39" s="439"/>
      <c r="I39" s="439"/>
    </row>
    <row r="40" spans="1:9" ht="13.5" x14ac:dyDescent="0.2">
      <c r="A40" s="381">
        <v>46220</v>
      </c>
      <c r="B40" s="382">
        <v>0.39583333333333331</v>
      </c>
      <c r="C40" s="382" t="s">
        <v>2378</v>
      </c>
      <c r="D40" s="382" t="s">
        <v>2378</v>
      </c>
      <c r="E40" s="439" t="s">
        <v>2619</v>
      </c>
      <c r="F40" s="439"/>
      <c r="G40" s="439"/>
      <c r="H40" s="439"/>
      <c r="I40" s="439"/>
    </row>
    <row r="41" spans="1:9" ht="12.75" customHeight="1" x14ac:dyDescent="0.2">
      <c r="A41" s="381" t="s">
        <v>2378</v>
      </c>
      <c r="B41" s="382" t="s">
        <v>2378</v>
      </c>
      <c r="C41" s="382" t="s">
        <v>2378</v>
      </c>
      <c r="D41" s="382" t="s">
        <v>2378</v>
      </c>
      <c r="E41" s="439" t="s">
        <v>2378</v>
      </c>
      <c r="F41" s="439"/>
      <c r="G41" s="439"/>
      <c r="H41" s="439"/>
      <c r="I41" s="439"/>
    </row>
    <row r="42" spans="1:9" ht="12.75" customHeight="1" x14ac:dyDescent="0.2">
      <c r="A42" s="381" t="s">
        <v>2378</v>
      </c>
      <c r="B42" s="382" t="s">
        <v>2378</v>
      </c>
      <c r="C42" s="382" t="s">
        <v>2378</v>
      </c>
      <c r="D42" s="382" t="s">
        <v>2378</v>
      </c>
      <c r="E42" s="439" t="s">
        <v>2378</v>
      </c>
      <c r="F42" s="439"/>
      <c r="G42" s="439"/>
      <c r="H42" s="439"/>
      <c r="I42" s="439"/>
    </row>
    <row r="43" spans="1:9" ht="12.75" customHeight="1" x14ac:dyDescent="0.2">
      <c r="A43" s="381" t="s">
        <v>2378</v>
      </c>
      <c r="B43" s="382" t="s">
        <v>2378</v>
      </c>
      <c r="C43" s="382" t="s">
        <v>2378</v>
      </c>
      <c r="D43" s="382" t="s">
        <v>2378</v>
      </c>
      <c r="E43" s="439" t="s">
        <v>2378</v>
      </c>
      <c r="F43" s="439"/>
      <c r="G43" s="439"/>
      <c r="H43" s="439"/>
      <c r="I43" s="439"/>
    </row>
    <row r="44" spans="1:9" ht="12.75" customHeight="1" x14ac:dyDescent="0.2">
      <c r="A44" s="381">
        <f>D18</f>
        <v>46220</v>
      </c>
      <c r="B44" s="382" t="s">
        <v>2378</v>
      </c>
      <c r="C44" s="382" t="s">
        <v>2378</v>
      </c>
      <c r="D44" s="382" t="s">
        <v>2378</v>
      </c>
      <c r="E44" s="439" t="s">
        <v>2378</v>
      </c>
      <c r="F44" s="439"/>
      <c r="G44" s="439"/>
      <c r="H44" s="439"/>
      <c r="I44" s="439"/>
    </row>
    <row r="45" spans="1:9" ht="13.5" x14ac:dyDescent="0.25">
      <c r="A45" s="442" t="s">
        <v>2591</v>
      </c>
      <c r="B45" s="443"/>
      <c r="C45" s="443"/>
      <c r="D45" s="444"/>
      <c r="E45" s="442" t="s">
        <v>2620</v>
      </c>
      <c r="F45" s="443"/>
      <c r="G45" s="443"/>
      <c r="H45" s="443"/>
      <c r="I45" s="444"/>
    </row>
    <row r="46" spans="1:9" ht="13.5" x14ac:dyDescent="0.25">
      <c r="A46" s="370"/>
      <c r="B46" s="367"/>
      <c r="C46" s="367"/>
      <c r="D46" s="371"/>
      <c r="E46" s="367"/>
      <c r="F46" s="367"/>
      <c r="G46" s="367"/>
      <c r="H46" s="367"/>
      <c r="I46" s="371"/>
    </row>
    <row r="47" spans="1:9" ht="13.5" x14ac:dyDescent="0.25">
      <c r="A47" s="370"/>
      <c r="B47" s="367"/>
      <c r="C47" s="367"/>
      <c r="D47" s="371"/>
      <c r="E47" s="367"/>
      <c r="F47" s="367"/>
      <c r="G47" s="367"/>
      <c r="H47" s="367"/>
      <c r="I47" s="371"/>
    </row>
    <row r="48" spans="1:9" ht="13.5" x14ac:dyDescent="0.25">
      <c r="A48" s="445" t="s">
        <v>2593</v>
      </c>
      <c r="B48" s="446"/>
      <c r="C48" s="446"/>
      <c r="D48" s="447"/>
      <c r="E48" s="445" t="s">
        <v>2593</v>
      </c>
      <c r="F48" s="446"/>
      <c r="G48" s="446"/>
      <c r="H48" s="446"/>
      <c r="I48" s="447"/>
    </row>
  </sheetData>
  <mergeCells count="54">
    <mergeCell ref="E43:I43"/>
    <mergeCell ref="E44:I44"/>
    <mergeCell ref="A45:D45"/>
    <mergeCell ref="E45:I45"/>
    <mergeCell ref="A48:D48"/>
    <mergeCell ref="E48:I48"/>
    <mergeCell ref="E42:I42"/>
    <mergeCell ref="E31:I31"/>
    <mergeCell ref="E32:I32"/>
    <mergeCell ref="E33:I33"/>
    <mergeCell ref="E34:I34"/>
    <mergeCell ref="E35:I35"/>
    <mergeCell ref="E36:I36"/>
    <mergeCell ref="E37:I37"/>
    <mergeCell ref="E38:I38"/>
    <mergeCell ref="E39:I39"/>
    <mergeCell ref="E40:I40"/>
    <mergeCell ref="E41:I41"/>
    <mergeCell ref="E30:I30"/>
    <mergeCell ref="E19:I19"/>
    <mergeCell ref="E20:I20"/>
    <mergeCell ref="E21:I21"/>
    <mergeCell ref="E22:I22"/>
    <mergeCell ref="E23:I23"/>
    <mergeCell ref="E24:I24"/>
    <mergeCell ref="E25:I25"/>
    <mergeCell ref="E26:I26"/>
    <mergeCell ref="E27:I27"/>
    <mergeCell ref="E28:I28"/>
    <mergeCell ref="E29:I29"/>
    <mergeCell ref="D17:E17"/>
    <mergeCell ref="D18:E18"/>
    <mergeCell ref="F17:I17"/>
    <mergeCell ref="F18:I18"/>
    <mergeCell ref="A17:C17"/>
    <mergeCell ref="A18:C18"/>
    <mergeCell ref="B14:D14"/>
    <mergeCell ref="F14:I14"/>
    <mergeCell ref="B15:D15"/>
    <mergeCell ref="F15:I15"/>
    <mergeCell ref="B16:D16"/>
    <mergeCell ref="F16:I16"/>
    <mergeCell ref="B11:D11"/>
    <mergeCell ref="F11:I11"/>
    <mergeCell ref="B12:D12"/>
    <mergeCell ref="F12:I12"/>
    <mergeCell ref="B13:D13"/>
    <mergeCell ref="F13:I13"/>
    <mergeCell ref="H6:I9"/>
    <mergeCell ref="B7:C7"/>
    <mergeCell ref="B10:D10"/>
    <mergeCell ref="F10:I10"/>
    <mergeCell ref="A6:G6"/>
    <mergeCell ref="F7:G9"/>
  </mergeCells>
  <pageMargins left="0.75" right="0.75" top="1" bottom="1" header="0.5" footer="0.5"/>
  <pageSetup paperSize="9" scale="90"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7DF34-5F44-4AB9-A7EB-82A05AACC08A}">
  <sheetPr>
    <pageSetUpPr fitToPage="1"/>
  </sheetPr>
  <dimension ref="A6:I48"/>
  <sheetViews>
    <sheetView view="pageBreakPreview" zoomScaleNormal="100" workbookViewId="0">
      <selection activeCell="F16" sqref="F16:I16"/>
    </sheetView>
  </sheetViews>
  <sheetFormatPr defaultColWidth="8.85546875" defaultRowHeight="12.75" x14ac:dyDescent="0.2"/>
  <cols>
    <col min="1" max="1" width="14" style="350" customWidth="1"/>
    <col min="2" max="2" width="9.85546875" style="350" customWidth="1"/>
    <col min="3" max="3" width="8.140625" style="350" customWidth="1"/>
    <col min="4" max="4" width="9.140625" style="350" customWidth="1"/>
    <col min="5" max="5" width="13.85546875" style="350" customWidth="1"/>
    <col min="6" max="7" width="8.7109375" style="350" customWidth="1"/>
    <col min="8" max="8" width="8.85546875" style="350"/>
    <col min="9" max="9" width="14.28515625" style="350" customWidth="1"/>
    <col min="10" max="16384" width="8.85546875" style="350"/>
  </cols>
  <sheetData>
    <row r="6" spans="1:9" s="345" customFormat="1" ht="21" x14ac:dyDescent="0.35">
      <c r="A6" s="403" t="s">
        <v>2636</v>
      </c>
      <c r="B6" s="404"/>
      <c r="C6" s="404"/>
      <c r="D6" s="404"/>
      <c r="E6" s="404"/>
      <c r="F6" s="404"/>
      <c r="G6" s="405"/>
      <c r="H6" s="448">
        <f>'Service Ticket (Original)'!E8</f>
        <v>1897</v>
      </c>
      <c r="I6" s="449"/>
    </row>
    <row r="7" spans="1:9" ht="17.45" customHeight="1" x14ac:dyDescent="0.25">
      <c r="A7" s="367"/>
      <c r="B7" s="421"/>
      <c r="C7" s="421"/>
      <c r="D7" s="368"/>
      <c r="E7" s="367"/>
      <c r="F7" s="424" t="s">
        <v>2595</v>
      </c>
      <c r="G7" s="425"/>
      <c r="H7" s="450"/>
      <c r="I7" s="451"/>
    </row>
    <row r="8" spans="1:9" ht="13.15" customHeight="1" x14ac:dyDescent="0.25">
      <c r="A8" s="367"/>
      <c r="B8" s="367"/>
      <c r="C8" s="367"/>
      <c r="D8" s="367"/>
      <c r="E8" s="367"/>
      <c r="F8" s="426"/>
      <c r="G8" s="427"/>
      <c r="H8" s="450"/>
      <c r="I8" s="451"/>
    </row>
    <row r="9" spans="1:9" ht="13.5" x14ac:dyDescent="0.25">
      <c r="A9" s="367"/>
      <c r="B9" s="367"/>
      <c r="C9" s="367"/>
      <c r="D9" s="367"/>
      <c r="E9" s="367"/>
      <c r="F9" s="428"/>
      <c r="G9" s="429"/>
      <c r="H9" s="452"/>
      <c r="I9" s="453"/>
    </row>
    <row r="10" spans="1:9" ht="13.5" x14ac:dyDescent="0.25">
      <c r="A10" s="375" t="s">
        <v>2560</v>
      </c>
      <c r="B10" s="454" t="str">
        <f>'Service Ticket (Original)'!B8</f>
        <v>HAROUGE</v>
      </c>
      <c r="C10" s="454"/>
      <c r="D10" s="454"/>
      <c r="E10" s="375" t="s">
        <v>3</v>
      </c>
      <c r="F10" s="455">
        <f>'Service Ticket (Original)'!E12</f>
        <v>46220</v>
      </c>
      <c r="G10" s="455"/>
      <c r="H10" s="455"/>
      <c r="I10" s="455"/>
    </row>
    <row r="11" spans="1:9" ht="13.5" x14ac:dyDescent="0.25">
      <c r="A11" s="369"/>
      <c r="B11" s="430"/>
      <c r="C11" s="430"/>
      <c r="D11" s="430"/>
      <c r="E11" s="369"/>
      <c r="F11" s="430"/>
      <c r="G11" s="430"/>
      <c r="H11" s="430"/>
      <c r="I11" s="430"/>
    </row>
    <row r="12" spans="1:9" ht="15.75" customHeight="1" x14ac:dyDescent="0.25">
      <c r="A12" s="375" t="s">
        <v>2596</v>
      </c>
      <c r="B12" s="454" t="str">
        <f>'Service Ticket (Original)'!B9</f>
        <v>GHANI</v>
      </c>
      <c r="C12" s="454"/>
      <c r="D12" s="454"/>
      <c r="E12" s="375" t="s">
        <v>2597</v>
      </c>
      <c r="F12" s="456" t="str">
        <f>'Service Ticket (Original)'!A14</f>
        <v xml:space="preserve"> 7'' Combination For CSG Test &amp; Cement Job</v>
      </c>
      <c r="G12" s="456"/>
      <c r="H12" s="456"/>
      <c r="I12" s="456"/>
    </row>
    <row r="13" spans="1:9" ht="13.5" x14ac:dyDescent="0.25">
      <c r="A13" s="369"/>
      <c r="B13" s="430"/>
      <c r="C13" s="430"/>
      <c r="D13" s="430"/>
      <c r="E13" s="369"/>
      <c r="F13" s="430"/>
      <c r="G13" s="430"/>
      <c r="H13" s="430"/>
      <c r="I13" s="430"/>
    </row>
    <row r="14" spans="1:9" ht="13.5" x14ac:dyDescent="0.25">
      <c r="A14" s="375" t="s">
        <v>2565</v>
      </c>
      <c r="B14" s="454" t="str">
        <f>'Service Ticket (Original)'!B10</f>
        <v>VVV08-11</v>
      </c>
      <c r="C14" s="454"/>
      <c r="D14" s="454"/>
      <c r="E14" s="375" t="s">
        <v>2598</v>
      </c>
      <c r="F14" s="454" t="s">
        <v>2599</v>
      </c>
      <c r="G14" s="454"/>
      <c r="H14" s="454"/>
      <c r="I14" s="454"/>
    </row>
    <row r="15" spans="1:9" ht="13.5" x14ac:dyDescent="0.25">
      <c r="A15" s="369"/>
      <c r="B15" s="430"/>
      <c r="C15" s="430"/>
      <c r="D15" s="430"/>
      <c r="E15" s="369"/>
      <c r="F15" s="430"/>
      <c r="G15" s="430"/>
      <c r="H15" s="430"/>
      <c r="I15" s="430"/>
    </row>
    <row r="16" spans="1:9" ht="13.5" x14ac:dyDescent="0.25">
      <c r="A16" s="375" t="s">
        <v>2600</v>
      </c>
      <c r="B16" s="454" t="str">
        <f>'Service Ticket (Original)'!E10</f>
        <v>M. Gomoha , Abdsalam</v>
      </c>
      <c r="C16" s="454"/>
      <c r="D16" s="454"/>
      <c r="E16" s="375" t="s">
        <v>2568</v>
      </c>
      <c r="F16" s="454" t="str">
        <f>'Service Ticket (Original)'!B11</f>
        <v>ADC#27</v>
      </c>
      <c r="G16" s="454"/>
      <c r="H16" s="454"/>
      <c r="I16" s="454"/>
    </row>
    <row r="17" spans="1:9" ht="15.75" customHeight="1" x14ac:dyDescent="0.2">
      <c r="A17" s="433" t="s">
        <v>2601</v>
      </c>
      <c r="B17" s="434"/>
      <c r="C17" s="435"/>
      <c r="D17" s="432" t="s">
        <v>2602</v>
      </c>
      <c r="E17" s="432"/>
      <c r="F17" s="433" t="s">
        <v>2635</v>
      </c>
      <c r="G17" s="434"/>
      <c r="H17" s="434"/>
      <c r="I17" s="435"/>
    </row>
    <row r="18" spans="1:9" ht="17.25" customHeight="1" x14ac:dyDescent="0.2">
      <c r="A18" s="457">
        <f>'Service Ticket (Original)'!E11</f>
        <v>46207</v>
      </c>
      <c r="B18" s="458"/>
      <c r="C18" s="459"/>
      <c r="D18" s="455">
        <f>'Service Ticket (Original)'!E12</f>
        <v>46220</v>
      </c>
      <c r="E18" s="455"/>
      <c r="F18" s="457">
        <f>'Service Ticket (Original)'!E11</f>
        <v>46207</v>
      </c>
      <c r="G18" s="458"/>
      <c r="H18" s="458"/>
      <c r="I18" s="459"/>
    </row>
    <row r="19" spans="1:9" ht="21" customHeight="1" x14ac:dyDescent="0.2">
      <c r="A19" s="374" t="s">
        <v>2603</v>
      </c>
      <c r="B19" s="374" t="s">
        <v>2604</v>
      </c>
      <c r="C19" s="374" t="s">
        <v>2605</v>
      </c>
      <c r="D19" s="374" t="s">
        <v>2606</v>
      </c>
      <c r="E19" s="432" t="s">
        <v>2607</v>
      </c>
      <c r="F19" s="432"/>
      <c r="G19" s="432"/>
      <c r="H19" s="432"/>
      <c r="I19" s="432"/>
    </row>
    <row r="20" spans="1:9" ht="13.5" x14ac:dyDescent="0.2">
      <c r="A20" s="384">
        <f>'Job Log (Original)'!A20</f>
        <v>46207</v>
      </c>
      <c r="B20" s="385">
        <f>'Job Log (Original)'!B20</f>
        <v>0.47916666666666669</v>
      </c>
      <c r="C20" s="386" t="str">
        <f>'Job Log (Original)'!C20</f>
        <v>-</v>
      </c>
      <c r="D20" s="386" t="str">
        <f>'Job Log (Original)'!D20</f>
        <v>-</v>
      </c>
      <c r="E20" s="460" t="str">
        <f>'Job Log (Original)'!E20</f>
        <v>M/Up 7''( RBP &amp; PKR) &amp;  RIH</v>
      </c>
      <c r="F20" s="460"/>
      <c r="G20" s="460"/>
      <c r="H20" s="460"/>
      <c r="I20" s="460"/>
    </row>
    <row r="21" spans="1:9" ht="12.75" customHeight="1" x14ac:dyDescent="0.2">
      <c r="A21" s="384">
        <f>'Job Log (Original)'!A21</f>
        <v>46208</v>
      </c>
      <c r="B21" s="385">
        <f>'Job Log (Original)'!B21</f>
        <v>0.3125</v>
      </c>
      <c r="C21" s="386" t="str">
        <f>'Job Log (Original)'!C21</f>
        <v>-</v>
      </c>
      <c r="D21" s="386" t="str">
        <f>'Job Log (Original)'!D21</f>
        <v>-</v>
      </c>
      <c r="E21" s="460" t="str">
        <f>'Job Log (Original)'!E21</f>
        <v>Set 7'' RBP@5250ft,Set 7'' PKR @5200ft, P/T 500psi BTW..Good</v>
      </c>
      <c r="F21" s="460"/>
      <c r="G21" s="460"/>
      <c r="H21" s="460"/>
      <c r="I21" s="460"/>
    </row>
    <row r="22" spans="1:9" ht="15.75" customHeight="1" x14ac:dyDescent="0.2">
      <c r="A22" s="384" t="str">
        <f>'Job Log (Original)'!A22</f>
        <v>-</v>
      </c>
      <c r="B22" s="385">
        <f>'Job Log (Original)'!B22</f>
        <v>0.375</v>
      </c>
      <c r="C22" s="386" t="str">
        <f>'Job Log (Original)'!C22</f>
        <v>-</v>
      </c>
      <c r="D22" s="386" t="str">
        <f>'Job Log (Original)'!D22</f>
        <v>-</v>
      </c>
      <c r="E22" s="460" t="str">
        <f>'Job Log (Original)'!E22</f>
        <v>Set 7'' PKR@(5015)ft , Injectivity Test</v>
      </c>
      <c r="F22" s="460"/>
      <c r="G22" s="460"/>
      <c r="H22" s="460"/>
      <c r="I22" s="460"/>
    </row>
    <row r="23" spans="1:9" ht="15" customHeight="1" x14ac:dyDescent="0.2">
      <c r="A23" s="384" t="str">
        <f>'Job Log (Original)'!A23</f>
        <v>-</v>
      </c>
      <c r="B23" s="385">
        <f>'Job Log (Original)'!B23</f>
        <v>0.39583333333333331</v>
      </c>
      <c r="C23" s="386" t="str">
        <f>'Job Log (Original)'!C23</f>
        <v>-</v>
      </c>
      <c r="D23" s="386" t="str">
        <f>'Job Log (Original)'!D23</f>
        <v>-</v>
      </c>
      <c r="E23" s="460" t="str">
        <f>'Job Log (Original)'!E23</f>
        <v xml:space="preserve"> POOH with 7" PKR &amp; Overshot.</v>
      </c>
      <c r="F23" s="460"/>
      <c r="G23" s="460"/>
      <c r="H23" s="460"/>
      <c r="I23" s="460"/>
    </row>
    <row r="24" spans="1:9" ht="15" customHeight="1" x14ac:dyDescent="0.2">
      <c r="A24" s="384" t="str">
        <f>'Job Log (Original)'!A24</f>
        <v>-</v>
      </c>
      <c r="B24" s="385" t="str">
        <f>'Job Log (Original)'!B24</f>
        <v>-</v>
      </c>
      <c r="C24" s="386" t="str">
        <f>'Job Log (Original)'!C24</f>
        <v>-</v>
      </c>
      <c r="D24" s="386" t="str">
        <f>'Job Log (Original)'!D24</f>
        <v>-</v>
      </c>
      <c r="E24" s="460" t="str">
        <f>'Job Log (Original)'!E24</f>
        <v>-</v>
      </c>
      <c r="F24" s="460"/>
      <c r="G24" s="460"/>
      <c r="H24" s="460"/>
      <c r="I24" s="460"/>
    </row>
    <row r="25" spans="1:9" ht="15" customHeight="1" x14ac:dyDescent="0.2">
      <c r="A25" s="384" t="str">
        <f>'Job Log (Original)'!A25</f>
        <v>-</v>
      </c>
      <c r="B25" s="385" t="str">
        <f>'Job Log (Original)'!B25</f>
        <v>-</v>
      </c>
      <c r="C25" s="386" t="str">
        <f>'Job Log (Original)'!C25</f>
        <v>-</v>
      </c>
      <c r="D25" s="386" t="str">
        <f>'Job Log (Original)'!D25</f>
        <v>-</v>
      </c>
      <c r="E25" s="460" t="str">
        <f>'Job Log (Original)'!E25</f>
        <v>Cement Job Operation.</v>
      </c>
      <c r="F25" s="460"/>
      <c r="G25" s="460"/>
      <c r="H25" s="460"/>
      <c r="I25" s="460"/>
    </row>
    <row r="26" spans="1:9" ht="14.25" customHeight="1" x14ac:dyDescent="0.2">
      <c r="A26" s="384" t="str">
        <f>'Job Log (Original)'!A26</f>
        <v>-</v>
      </c>
      <c r="B26" s="385" t="str">
        <f>'Job Log (Original)'!B26</f>
        <v>-</v>
      </c>
      <c r="C26" s="386" t="str">
        <f>'Job Log (Original)'!C26</f>
        <v>-</v>
      </c>
      <c r="D26" s="386" t="str">
        <f>'Job Log (Original)'!D26</f>
        <v>-</v>
      </c>
      <c r="E26" s="460" t="str">
        <f>'Job Log (Original)'!E26</f>
        <v>-</v>
      </c>
      <c r="F26" s="460"/>
      <c r="G26" s="460"/>
      <c r="H26" s="460"/>
      <c r="I26" s="460"/>
    </row>
    <row r="27" spans="1:9" ht="13.15" customHeight="1" x14ac:dyDescent="0.2">
      <c r="A27" s="384" t="str">
        <f>'Job Log (Original)'!A27</f>
        <v>-</v>
      </c>
      <c r="B27" s="385" t="str">
        <f>'Job Log (Original)'!B27</f>
        <v>-</v>
      </c>
      <c r="C27" s="386" t="str">
        <f>'Job Log (Original)'!C27</f>
        <v>-</v>
      </c>
      <c r="D27" s="386" t="str">
        <f>'Job Log (Original)'!D27</f>
        <v>-</v>
      </c>
      <c r="E27" s="460" t="str">
        <f>'Job Log (Original)'!E27</f>
        <v>-</v>
      </c>
      <c r="F27" s="460"/>
      <c r="G27" s="460"/>
      <c r="H27" s="460"/>
      <c r="I27" s="460"/>
    </row>
    <row r="28" spans="1:9" ht="12.75" customHeight="1" x14ac:dyDescent="0.2">
      <c r="A28" s="384" t="str">
        <f>'Job Log (Original)'!A28</f>
        <v>-</v>
      </c>
      <c r="B28" s="385" t="str">
        <f>'Job Log (Original)'!B28</f>
        <v>-</v>
      </c>
      <c r="C28" s="386" t="str">
        <f>'Job Log (Original)'!C28</f>
        <v>-</v>
      </c>
      <c r="D28" s="386" t="str">
        <f>'Job Log (Original)'!D28</f>
        <v>-</v>
      </c>
      <c r="E28" s="460" t="str">
        <f>'Job Log (Original)'!E28</f>
        <v>-</v>
      </c>
      <c r="F28" s="460"/>
      <c r="G28" s="460"/>
      <c r="H28" s="460"/>
      <c r="I28" s="460"/>
    </row>
    <row r="29" spans="1:9" ht="13.5" x14ac:dyDescent="0.2">
      <c r="A29" s="384">
        <f>'Job Log (Original)'!A29</f>
        <v>46216</v>
      </c>
      <c r="B29" s="385">
        <f>'Job Log (Original)'!B29</f>
        <v>0.33333333333333331</v>
      </c>
      <c r="C29" s="386" t="str">
        <f>'Job Log (Original)'!C29</f>
        <v>-</v>
      </c>
      <c r="D29" s="386" t="str">
        <f>'Job Log (Original)'!D29</f>
        <v>-</v>
      </c>
      <c r="E29" s="460" t="str">
        <f>'Job Log (Original)'!E29</f>
        <v>RIH 7'' PKR ,</v>
      </c>
      <c r="F29" s="460"/>
      <c r="G29" s="460"/>
      <c r="H29" s="460"/>
      <c r="I29" s="460"/>
    </row>
    <row r="30" spans="1:9" ht="15" customHeight="1" x14ac:dyDescent="0.2">
      <c r="A30" s="384" t="str">
        <f>'Job Log (Original)'!A30</f>
        <v>-</v>
      </c>
      <c r="B30" s="385">
        <f>'Job Log (Original)'!B30</f>
        <v>0.54166666666666663</v>
      </c>
      <c r="C30" s="386" t="str">
        <f>'Job Log (Original)'!C30</f>
        <v>-</v>
      </c>
      <c r="D30" s="386" t="str">
        <f>'Job Log (Original)'!D30</f>
        <v>-</v>
      </c>
      <c r="E30" s="460" t="str">
        <f>'Job Log (Original)'!E30</f>
        <v>Set 7'' PKR @ 5008ft, P/T Good  Test</v>
      </c>
      <c r="F30" s="460"/>
      <c r="G30" s="460"/>
      <c r="H30" s="460"/>
      <c r="I30" s="460"/>
    </row>
    <row r="31" spans="1:9" ht="12.75" customHeight="1" x14ac:dyDescent="0.2">
      <c r="A31" s="384" t="str">
        <f>'Job Log (Original)'!A31</f>
        <v>-</v>
      </c>
      <c r="B31" s="385">
        <f>'Job Log (Original)'!B31</f>
        <v>0.58333333333333337</v>
      </c>
      <c r="C31" s="386" t="str">
        <f>'Job Log (Original)'!C31</f>
        <v>-</v>
      </c>
      <c r="D31" s="386" t="str">
        <f>'Job Log (Original)'!D31</f>
        <v>-</v>
      </c>
      <c r="E31" s="460" t="str">
        <f>'Job Log (Original)'!E31</f>
        <v>Unset 7'' PKT &amp; POOH .</v>
      </c>
      <c r="F31" s="460"/>
      <c r="G31" s="460"/>
      <c r="H31" s="460"/>
      <c r="I31" s="460"/>
    </row>
    <row r="32" spans="1:9" ht="15" customHeight="1" x14ac:dyDescent="0.2">
      <c r="A32" s="384">
        <f>'Job Log (Original)'!A32</f>
        <v>46217</v>
      </c>
      <c r="B32" s="385" t="str">
        <f>'Job Log (Original)'!B32</f>
        <v>-</v>
      </c>
      <c r="C32" s="386" t="str">
        <f>'Job Log (Original)'!C32</f>
        <v>-</v>
      </c>
      <c r="D32" s="386" t="str">
        <f>'Job Log (Original)'!D32</f>
        <v>-</v>
      </c>
      <c r="E32" s="460" t="str">
        <f>'Job Log (Original)'!E32</f>
        <v>-</v>
      </c>
      <c r="F32" s="460"/>
      <c r="G32" s="460"/>
      <c r="H32" s="460"/>
      <c r="I32" s="460"/>
    </row>
    <row r="33" spans="1:9" ht="12.75" customHeight="1" x14ac:dyDescent="0.2">
      <c r="A33" s="384" t="str">
        <f>'Job Log (Original)'!A33</f>
        <v>-</v>
      </c>
      <c r="B33" s="385">
        <f>'Job Log (Original)'!B33</f>
        <v>0.29166666666666669</v>
      </c>
      <c r="C33" s="386" t="str">
        <f>'Job Log (Original)'!C33</f>
        <v>-</v>
      </c>
      <c r="D33" s="386" t="str">
        <f>'Job Log (Original)'!D33</f>
        <v>-</v>
      </c>
      <c r="E33" s="460" t="str">
        <f>'Job Log (Original)'!E33</f>
        <v>7'' PKR On  Surface</v>
      </c>
      <c r="F33" s="460"/>
      <c r="G33" s="460"/>
      <c r="H33" s="460"/>
      <c r="I33" s="460"/>
    </row>
    <row r="34" spans="1:9" ht="13.5" x14ac:dyDescent="0.2">
      <c r="A34" s="384" t="str">
        <f>'Job Log (Original)'!A34</f>
        <v>-</v>
      </c>
      <c r="B34" s="385" t="str">
        <f>'Job Log (Original)'!B34</f>
        <v>-</v>
      </c>
      <c r="C34" s="386" t="str">
        <f>'Job Log (Original)'!C34</f>
        <v>-</v>
      </c>
      <c r="D34" s="386" t="str">
        <f>'Job Log (Original)'!D34</f>
        <v>-</v>
      </c>
      <c r="E34" s="460" t="str">
        <f>'Job Log (Original)'!E34</f>
        <v>-</v>
      </c>
      <c r="F34" s="460"/>
      <c r="G34" s="460"/>
      <c r="H34" s="460"/>
      <c r="I34" s="460"/>
    </row>
    <row r="35" spans="1:9" ht="13.5" x14ac:dyDescent="0.2">
      <c r="A35" s="384" t="str">
        <f>'Job Log (Original)'!A35</f>
        <v>-</v>
      </c>
      <c r="B35" s="385" t="str">
        <f>'Job Log (Original)'!B35</f>
        <v>-</v>
      </c>
      <c r="C35" s="386" t="str">
        <f>'Job Log (Original)'!C35</f>
        <v>-</v>
      </c>
      <c r="D35" s="386" t="str">
        <f>'Job Log (Original)'!D35</f>
        <v>-</v>
      </c>
      <c r="E35" s="460" t="str">
        <f>'Job Log (Original)'!E35</f>
        <v>-</v>
      </c>
      <c r="F35" s="460"/>
      <c r="G35" s="460"/>
      <c r="H35" s="460"/>
      <c r="I35" s="460"/>
    </row>
    <row r="36" spans="1:9" ht="12.75" customHeight="1" x14ac:dyDescent="0.2">
      <c r="A36" s="384">
        <f>'Job Log (Original)'!A36</f>
        <v>46219</v>
      </c>
      <c r="B36" s="385" t="str">
        <f>'Job Log (Original)'!B36</f>
        <v>-</v>
      </c>
      <c r="C36" s="386" t="str">
        <f>'Job Log (Original)'!C36</f>
        <v>-</v>
      </c>
      <c r="D36" s="386" t="str">
        <f>'Job Log (Original)'!D36</f>
        <v>-</v>
      </c>
      <c r="E36" s="460" t="str">
        <f>'Job Log (Original)'!E36</f>
        <v>-</v>
      </c>
      <c r="F36" s="460"/>
      <c r="G36" s="460"/>
      <c r="H36" s="460"/>
      <c r="I36" s="460"/>
    </row>
    <row r="37" spans="1:9" ht="13.5" x14ac:dyDescent="0.2">
      <c r="A37" s="384" t="str">
        <f>'Job Log (Original)'!A37</f>
        <v>-</v>
      </c>
      <c r="B37" s="385">
        <f>'Job Log (Original)'!B37</f>
        <v>0.29166666666666669</v>
      </c>
      <c r="C37" s="386" t="str">
        <f>'Job Log (Original)'!C37</f>
        <v>-</v>
      </c>
      <c r="D37" s="386" t="str">
        <f>'Job Log (Original)'!D37</f>
        <v>-</v>
      </c>
      <c r="E37" s="460" t="str">
        <f>'Job Log (Original)'!E37</f>
        <v>RIH 7" Overshot</v>
      </c>
      <c r="F37" s="460"/>
      <c r="G37" s="460"/>
      <c r="H37" s="460"/>
      <c r="I37" s="460"/>
    </row>
    <row r="38" spans="1:9" ht="13.5" customHeight="1" x14ac:dyDescent="0.2">
      <c r="A38" s="384" t="str">
        <f>'Job Log (Original)'!A38</f>
        <v>-</v>
      </c>
      <c r="B38" s="385">
        <f>'Job Log (Original)'!B38</f>
        <v>0.64583333333333337</v>
      </c>
      <c r="C38" s="386" t="str">
        <f>'Job Log (Original)'!C38</f>
        <v>-</v>
      </c>
      <c r="D38" s="386" t="str">
        <f>'Job Log (Original)'!D38</f>
        <v>-</v>
      </c>
      <c r="E38" s="460" t="str">
        <f>'Job Log (Original)'!E38</f>
        <v>Unset 7" RBP &amp; POOH</v>
      </c>
      <c r="F38" s="460"/>
      <c r="G38" s="460"/>
      <c r="H38" s="460"/>
      <c r="I38" s="460"/>
    </row>
    <row r="39" spans="1:9" ht="13.5" x14ac:dyDescent="0.2">
      <c r="A39" s="384" t="str">
        <f>'Job Log (Original)'!A39</f>
        <v>-</v>
      </c>
      <c r="B39" s="385" t="str">
        <f>'Job Log (Original)'!B39</f>
        <v>-</v>
      </c>
      <c r="C39" s="386" t="str">
        <f>'Job Log (Original)'!C39</f>
        <v>-</v>
      </c>
      <c r="D39" s="386" t="str">
        <f>'Job Log (Original)'!D39</f>
        <v>-</v>
      </c>
      <c r="E39" s="460" t="str">
        <f>'Job Log (Original)'!E39</f>
        <v>-</v>
      </c>
      <c r="F39" s="460"/>
      <c r="G39" s="460"/>
      <c r="H39" s="460"/>
      <c r="I39" s="460"/>
    </row>
    <row r="40" spans="1:9" ht="13.5" x14ac:dyDescent="0.2">
      <c r="A40" s="384">
        <f>'Job Log (Original)'!A40</f>
        <v>46220</v>
      </c>
      <c r="B40" s="385">
        <f>'Job Log (Original)'!B40</f>
        <v>0.39583333333333331</v>
      </c>
      <c r="C40" s="386" t="str">
        <f>'Job Log (Original)'!C40</f>
        <v>-</v>
      </c>
      <c r="D40" s="386" t="str">
        <f>'Job Log (Original)'!D40</f>
        <v>-</v>
      </c>
      <c r="E40" s="460" t="str">
        <f>'Job Log (Original)'!E40</f>
        <v xml:space="preserve">RBP on surface </v>
      </c>
      <c r="F40" s="460"/>
      <c r="G40" s="460"/>
      <c r="H40" s="460"/>
      <c r="I40" s="460"/>
    </row>
    <row r="41" spans="1:9" ht="12.75" customHeight="1" x14ac:dyDescent="0.2">
      <c r="A41" s="384" t="str">
        <f>'Job Log (Original)'!A41</f>
        <v>-</v>
      </c>
      <c r="B41" s="385" t="str">
        <f>'Job Log (Original)'!B41</f>
        <v>-</v>
      </c>
      <c r="C41" s="386" t="str">
        <f>'Job Log (Original)'!C41</f>
        <v>-</v>
      </c>
      <c r="D41" s="386" t="str">
        <f>'Job Log (Original)'!D41</f>
        <v>-</v>
      </c>
      <c r="E41" s="460" t="str">
        <f>'Job Log (Original)'!E41</f>
        <v>-</v>
      </c>
      <c r="F41" s="460"/>
      <c r="G41" s="460"/>
      <c r="H41" s="460"/>
      <c r="I41" s="460"/>
    </row>
    <row r="42" spans="1:9" ht="12.75" customHeight="1" x14ac:dyDescent="0.2">
      <c r="A42" s="384" t="str">
        <f>'Job Log (Original)'!A42</f>
        <v>-</v>
      </c>
      <c r="B42" s="385" t="str">
        <f>'Job Log (Original)'!B42</f>
        <v>-</v>
      </c>
      <c r="C42" s="386" t="str">
        <f>'Job Log (Original)'!C42</f>
        <v>-</v>
      </c>
      <c r="D42" s="386" t="str">
        <f>'Job Log (Original)'!D42</f>
        <v>-</v>
      </c>
      <c r="E42" s="460" t="str">
        <f>'Job Log (Original)'!E42</f>
        <v>-</v>
      </c>
      <c r="F42" s="460"/>
      <c r="G42" s="460"/>
      <c r="H42" s="460"/>
      <c r="I42" s="460"/>
    </row>
    <row r="43" spans="1:9" ht="12.75" customHeight="1" x14ac:dyDescent="0.2">
      <c r="A43" s="384" t="str">
        <f>'Job Log (Original)'!A43</f>
        <v>-</v>
      </c>
      <c r="B43" s="385" t="str">
        <f>'Job Log (Original)'!B43</f>
        <v>-</v>
      </c>
      <c r="C43" s="386" t="str">
        <f>'Job Log (Original)'!C43</f>
        <v>-</v>
      </c>
      <c r="D43" s="386" t="str">
        <f>'Job Log (Original)'!D43</f>
        <v>-</v>
      </c>
      <c r="E43" s="460" t="str">
        <f>'Job Log (Original)'!E43</f>
        <v>-</v>
      </c>
      <c r="F43" s="460"/>
      <c r="G43" s="460"/>
      <c r="H43" s="460"/>
      <c r="I43" s="460"/>
    </row>
    <row r="44" spans="1:9" ht="12.75" customHeight="1" x14ac:dyDescent="0.2">
      <c r="A44" s="384">
        <f>'Job Log (Original)'!A44</f>
        <v>46220</v>
      </c>
      <c r="B44" s="385" t="str">
        <f>'Job Log (Original)'!B44</f>
        <v>-</v>
      </c>
      <c r="C44" s="386" t="str">
        <f>'Job Log (Original)'!C44</f>
        <v>-</v>
      </c>
      <c r="D44" s="386" t="str">
        <f>'Job Log (Original)'!D44</f>
        <v>-</v>
      </c>
      <c r="E44" s="460" t="str">
        <f>'Job Log (Original)'!E44</f>
        <v>-</v>
      </c>
      <c r="F44" s="460"/>
      <c r="G44" s="460"/>
      <c r="H44" s="460"/>
      <c r="I44" s="460"/>
    </row>
    <row r="45" spans="1:9" ht="13.5" x14ac:dyDescent="0.25">
      <c r="A45" s="442" t="s">
        <v>2591</v>
      </c>
      <c r="B45" s="443"/>
      <c r="C45" s="443"/>
      <c r="D45" s="444"/>
      <c r="E45" s="442" t="s">
        <v>2620</v>
      </c>
      <c r="F45" s="443"/>
      <c r="G45" s="443"/>
      <c r="H45" s="443"/>
      <c r="I45" s="444"/>
    </row>
    <row r="46" spans="1:9" ht="13.5" x14ac:dyDescent="0.25">
      <c r="A46" s="370"/>
      <c r="B46" s="367"/>
      <c r="C46" s="367"/>
      <c r="D46" s="371"/>
      <c r="E46" s="367"/>
      <c r="F46" s="367"/>
      <c r="G46" s="367"/>
      <c r="H46" s="367"/>
      <c r="I46" s="371"/>
    </row>
    <row r="47" spans="1:9" ht="13.5" x14ac:dyDescent="0.25">
      <c r="A47" s="370"/>
      <c r="B47" s="367"/>
      <c r="C47" s="367"/>
      <c r="D47" s="371"/>
      <c r="E47" s="367"/>
      <c r="F47" s="367"/>
      <c r="G47" s="367"/>
      <c r="H47" s="367"/>
      <c r="I47" s="371"/>
    </row>
    <row r="48" spans="1:9" ht="13.5" x14ac:dyDescent="0.25">
      <c r="A48" s="445" t="s">
        <v>2593</v>
      </c>
      <c r="B48" s="446"/>
      <c r="C48" s="446"/>
      <c r="D48" s="447"/>
      <c r="E48" s="445" t="s">
        <v>2593</v>
      </c>
      <c r="F48" s="446"/>
      <c r="G48" s="446"/>
      <c r="H48" s="446"/>
      <c r="I48" s="447"/>
    </row>
  </sheetData>
  <mergeCells count="54">
    <mergeCell ref="E43:I43"/>
    <mergeCell ref="E44:I44"/>
    <mergeCell ref="A45:D45"/>
    <mergeCell ref="E45:I45"/>
    <mergeCell ref="A48:D48"/>
    <mergeCell ref="E48:I48"/>
    <mergeCell ref="E42:I42"/>
    <mergeCell ref="E31:I31"/>
    <mergeCell ref="E32:I32"/>
    <mergeCell ref="E33:I33"/>
    <mergeCell ref="E34:I34"/>
    <mergeCell ref="E35:I35"/>
    <mergeCell ref="E36:I36"/>
    <mergeCell ref="E37:I37"/>
    <mergeCell ref="E38:I38"/>
    <mergeCell ref="E39:I39"/>
    <mergeCell ref="E40:I40"/>
    <mergeCell ref="E41:I41"/>
    <mergeCell ref="E30:I30"/>
    <mergeCell ref="E19:I19"/>
    <mergeCell ref="E20:I20"/>
    <mergeCell ref="E21:I21"/>
    <mergeCell ref="E22:I22"/>
    <mergeCell ref="E23:I23"/>
    <mergeCell ref="E24:I24"/>
    <mergeCell ref="E25:I25"/>
    <mergeCell ref="E26:I26"/>
    <mergeCell ref="E27:I27"/>
    <mergeCell ref="E28:I28"/>
    <mergeCell ref="E29:I29"/>
    <mergeCell ref="A17:C17"/>
    <mergeCell ref="D17:E17"/>
    <mergeCell ref="F17:I17"/>
    <mergeCell ref="A18:C18"/>
    <mergeCell ref="D18:E18"/>
    <mergeCell ref="F18:I18"/>
    <mergeCell ref="B14:D14"/>
    <mergeCell ref="F14:I14"/>
    <mergeCell ref="B15:D15"/>
    <mergeCell ref="F15:I15"/>
    <mergeCell ref="B16:D16"/>
    <mergeCell ref="F16:I16"/>
    <mergeCell ref="B11:D11"/>
    <mergeCell ref="F11:I11"/>
    <mergeCell ref="B12:D12"/>
    <mergeCell ref="F12:I12"/>
    <mergeCell ref="B13:D13"/>
    <mergeCell ref="F13:I13"/>
    <mergeCell ref="A6:G6"/>
    <mergeCell ref="H6:I9"/>
    <mergeCell ref="B7:C7"/>
    <mergeCell ref="F7:G9"/>
    <mergeCell ref="B10:D10"/>
    <mergeCell ref="F10:I10"/>
  </mergeCells>
  <pageMargins left="0.75" right="0.75" top="1" bottom="1" header="0.5" footer="0.5"/>
  <pageSetup paperSize="9" scale="90" fitToHeight="0"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11</vt:i4>
      </vt:variant>
    </vt:vector>
  </HeadingPairs>
  <TitlesOfParts>
    <vt:vector size="21" baseType="lpstr">
      <vt:lpstr>Service Ticket (Original)</vt:lpstr>
      <vt:lpstr>Service Ticket (Copy)</vt:lpstr>
      <vt:lpstr>Job Log (Original)</vt:lpstr>
      <vt:lpstr>Job Log (Copy)</vt:lpstr>
      <vt:lpstr>WAHA 1 Price List</vt:lpstr>
      <vt:lpstr>WAHA 2 Price List</vt:lpstr>
      <vt:lpstr>AGOCO Price List</vt:lpstr>
      <vt:lpstr>HOO Price List</vt:lpstr>
      <vt:lpstr>SOC Price List</vt:lpstr>
      <vt:lpstr>Zueitina Price List</vt:lpstr>
      <vt:lpstr>'HOO Price List'!Print_Area</vt:lpstr>
      <vt:lpstr>'Job Log (Copy)'!Print_Area</vt:lpstr>
      <vt:lpstr>'Job Log (Original)'!Print_Area</vt:lpstr>
      <vt:lpstr>'Service Ticket (Copy)'!Print_Area</vt:lpstr>
      <vt:lpstr>'Service Ticket (Original)'!Print_Area</vt:lpstr>
      <vt:lpstr>'WAHA 1 Price List'!Print_Area</vt:lpstr>
      <vt:lpstr>'AGOCO Price List'!Print_Titles</vt:lpstr>
      <vt:lpstr>'HOO Price List'!Print_Titles</vt:lpstr>
      <vt:lpstr>'SOC Price List'!Print_Titles</vt:lpstr>
      <vt:lpstr>'WAHA 1 Price List'!Print_Titles</vt:lpstr>
      <vt:lpstr>'WAHA 2 Price List'!Print_Titles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Lateri</dc:creator>
  <cp:lastModifiedBy>Mohamed Lateri</cp:lastModifiedBy>
  <cp:lastPrinted>2026-08-15T18:56:58Z</cp:lastPrinted>
  <dcterms:created xsi:type="dcterms:W3CDTF">2026-08-15T17:12:02Z</dcterms:created>
  <dcterms:modified xsi:type="dcterms:W3CDTF">2026-08-17T16:05:59Z</dcterms:modified>
</cp:coreProperties>
</file>