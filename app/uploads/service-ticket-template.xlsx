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a72f61e2548d86da/Documents/Makaman Files/Drafts/"/>
    </mc:Choice>
  </mc:AlternateContent>
  <xr:revisionPtr revIDLastSave="19" documentId="8_{6094E04D-09F2-4A08-8FA2-8F80569B1DE2}" xr6:coauthVersionLast="47" xr6:coauthVersionMax="47" xr10:uidLastSave="{64588272-8B95-45B9-BBAF-416585B0322E}"/>
  <bookViews>
    <workbookView xWindow="2220" yWindow="1275" windowWidth="25350" windowHeight="12600" tabRatio="868" activeTab="1" xr2:uid="{4C31F27D-90C3-40BD-8F72-F0F05E3256C1}"/>
  </bookViews>
  <sheets>
    <sheet name="Service Ticket (Original)" sheetId="8" r:id="rId1"/>
    <sheet name="Service Ticket (Copy)" sheetId="10" r:id="rId2"/>
    <sheet name="Job Log (Original)" sheetId="9" r:id="rId3"/>
    <sheet name="Job Log (Copy)" sheetId="11" r:id="rId4"/>
    <sheet name="WAHA 1 Price List" sheetId="4" r:id="rId5"/>
    <sheet name="WAHA 2 Price List" sheetId="5" r:id="rId6"/>
    <sheet name="AGOCO Price List" sheetId="2" r:id="rId7"/>
    <sheet name="HOO Price List" sheetId="3" r:id="rId8"/>
    <sheet name="SOC Price List" sheetId="7" r:id="rId9"/>
    <sheet name="Zueitina Price List" sheetId="6" r:id="rId10"/>
  </sheets>
  <externalReferences>
    <externalReference r:id="rId11"/>
    <externalReference r:id="rId12"/>
    <externalReference r:id="rId13"/>
    <externalReference r:id="rId14"/>
    <externalReference r:id="rId15"/>
  </externalReferences>
  <definedNames>
    <definedName name="_xlnm.Print_Area" localSheetId="7">'HOO Price List'!$A$1:$F$649</definedName>
    <definedName name="_xlnm.Print_Area" localSheetId="3">'Job Log (Copy)'!$A$1:$I$48</definedName>
    <definedName name="_xlnm.Print_Area" localSheetId="2">'Job Log (Original)'!$A$1:$I$48</definedName>
    <definedName name="_xlnm.Print_Area" localSheetId="1">'Service Ticket (Copy)'!$A$1:$F$50</definedName>
    <definedName name="_xlnm.Print_Area" localSheetId="0">'Service Ticket (Original)'!$A$1:$F$50</definedName>
    <definedName name="_xlnm.Print_Area" localSheetId="4">'WAHA 1 Price List'!$A$1:$E$384</definedName>
    <definedName name="_xlnm.Print_Titles" localSheetId="6">'AGOCO Price List'!$1:$5</definedName>
    <definedName name="_xlnm.Print_Titles" localSheetId="7">'HOO Price List'!$1:$5</definedName>
    <definedName name="_xlnm.Print_Titles" localSheetId="8">'SOC Price List'!$1:$5</definedName>
    <definedName name="_xlnm.Print_Titles" localSheetId="4">'WAHA 1 Price List'!$1:$5</definedName>
    <definedName name="_xlnm.Print_Titles" localSheetId="5">'WAHA 2 Price List'!$1:$5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1" l="1"/>
  <c r="E22" i="11"/>
  <c r="E23" i="11"/>
  <c r="E24" i="11"/>
  <c r="E25" i="11"/>
  <c r="E26" i="11"/>
  <c r="E27" i="11"/>
  <c r="E28" i="11"/>
  <c r="E29" i="11"/>
  <c r="E30" i="11"/>
  <c r="E31" i="11"/>
  <c r="E32" i="11"/>
  <c r="E33" i="11"/>
  <c r="E34" i="11"/>
  <c r="E35" i="11"/>
  <c r="E36" i="11"/>
  <c r="E37" i="11"/>
  <c r="E38" i="11"/>
  <c r="E39" i="11"/>
  <c r="E40" i="11"/>
  <c r="E41" i="11"/>
  <c r="E42" i="11"/>
  <c r="E43" i="11"/>
  <c r="E44" i="11"/>
  <c r="E20" i="11"/>
  <c r="D21" i="11"/>
  <c r="D22" i="11"/>
  <c r="D23" i="11"/>
  <c r="D24" i="11"/>
  <c r="D25" i="11"/>
  <c r="D26" i="11"/>
  <c r="D27" i="11"/>
  <c r="D28" i="11"/>
  <c r="D29" i="11"/>
  <c r="D30" i="11"/>
  <c r="D31" i="11"/>
  <c r="D32" i="11"/>
  <c r="D33" i="11"/>
  <c r="D34" i="11"/>
  <c r="D35" i="11"/>
  <c r="D36" i="11"/>
  <c r="D37" i="11"/>
  <c r="D38" i="11"/>
  <c r="D39" i="11"/>
  <c r="D40" i="11"/>
  <c r="D41" i="11"/>
  <c r="D42" i="11"/>
  <c r="D43" i="11"/>
  <c r="D44" i="11"/>
  <c r="D20" i="11"/>
  <c r="C44" i="11"/>
  <c r="C21" i="11"/>
  <c r="C22" i="11"/>
  <c r="C23" i="11"/>
  <c r="C24" i="11"/>
  <c r="C25" i="11"/>
  <c r="C26" i="11"/>
  <c r="C27" i="11"/>
  <c r="C28" i="11"/>
  <c r="C29" i="11"/>
  <c r="C30" i="11"/>
  <c r="C31" i="11"/>
  <c r="C32" i="11"/>
  <c r="C33" i="11"/>
  <c r="C34" i="11"/>
  <c r="C35" i="11"/>
  <c r="C36" i="11"/>
  <c r="C37" i="11"/>
  <c r="C38" i="11"/>
  <c r="C39" i="11"/>
  <c r="C40" i="11"/>
  <c r="C41" i="11"/>
  <c r="C42" i="11"/>
  <c r="C43" i="11"/>
  <c r="C20" i="11"/>
  <c r="B21" i="11"/>
  <c r="B22" i="11"/>
  <c r="B23" i="11"/>
  <c r="B24" i="11"/>
  <c r="B25" i="11"/>
  <c r="B26" i="11"/>
  <c r="B27" i="11"/>
  <c r="B28" i="11"/>
  <c r="B29" i="11"/>
  <c r="B30" i="11"/>
  <c r="B31" i="11"/>
  <c r="B32" i="11"/>
  <c r="B33" i="11"/>
  <c r="B34" i="11"/>
  <c r="B35" i="11"/>
  <c r="B36" i="11"/>
  <c r="B37" i="11"/>
  <c r="B38" i="11"/>
  <c r="B39" i="11"/>
  <c r="B40" i="11"/>
  <c r="B41" i="11"/>
  <c r="B42" i="11"/>
  <c r="B43" i="11"/>
  <c r="B44" i="11"/>
  <c r="B20" i="11"/>
  <c r="A21" i="11"/>
  <c r="A22" i="11"/>
  <c r="A23" i="11"/>
  <c r="A24" i="11"/>
  <c r="A25" i="11"/>
  <c r="A26" i="11"/>
  <c r="A27" i="11"/>
  <c r="A20" i="11"/>
  <c r="A28" i="11"/>
  <c r="A29" i="11"/>
  <c r="A30" i="11"/>
  <c r="A31" i="11"/>
  <c r="A32" i="11"/>
  <c r="A33" i="11"/>
  <c r="A34" i="11"/>
  <c r="A35" i="11"/>
  <c r="A36" i="11"/>
  <c r="A37" i="11"/>
  <c r="A38" i="11"/>
  <c r="A39" i="11"/>
  <c r="A40" i="11"/>
  <c r="A41" i="11"/>
  <c r="A42" i="11"/>
  <c r="A43" i="11"/>
  <c r="A44" i="11"/>
  <c r="F18" i="11"/>
  <c r="D18" i="11"/>
  <c r="A18" i="11"/>
  <c r="F16" i="11"/>
  <c r="B16" i="11"/>
  <c r="B14" i="11"/>
  <c r="F12" i="11"/>
  <c r="B12" i="11"/>
  <c r="F10" i="11"/>
  <c r="B10" i="11"/>
  <c r="H6" i="11"/>
  <c r="H6" i="9"/>
  <c r="A40" i="10"/>
  <c r="F40" i="10"/>
  <c r="F17" i="10"/>
  <c r="F18" i="10"/>
  <c r="F19" i="10"/>
  <c r="F20" i="10"/>
  <c r="F21" i="10"/>
  <c r="F22" i="10"/>
  <c r="F23" i="10"/>
  <c r="F24" i="10"/>
  <c r="F25" i="10"/>
  <c r="F26" i="10"/>
  <c r="F27" i="10"/>
  <c r="F28" i="10"/>
  <c r="F29" i="10"/>
  <c r="F30" i="10"/>
  <c r="F31" i="10"/>
  <c r="F32" i="10"/>
  <c r="F33" i="10"/>
  <c r="F34" i="10"/>
  <c r="F35" i="10"/>
  <c r="F36" i="10"/>
  <c r="F37" i="10"/>
  <c r="F38" i="10"/>
  <c r="F39" i="10"/>
  <c r="F16" i="10"/>
  <c r="E17" i="10"/>
  <c r="E18" i="10"/>
  <c r="E19" i="10"/>
  <c r="E20" i="10"/>
  <c r="E21" i="10"/>
  <c r="E22" i="10"/>
  <c r="E23" i="10"/>
  <c r="E24" i="10"/>
  <c r="E25" i="10"/>
  <c r="E26" i="10"/>
  <c r="E27" i="10"/>
  <c r="E28" i="10"/>
  <c r="E29" i="10"/>
  <c r="E30" i="10"/>
  <c r="E31" i="10"/>
  <c r="E32" i="10"/>
  <c r="E33" i="10"/>
  <c r="E34" i="10"/>
  <c r="E35" i="10"/>
  <c r="E36" i="10"/>
  <c r="E37" i="10"/>
  <c r="E38" i="10"/>
  <c r="E39" i="10"/>
  <c r="E16" i="10"/>
  <c r="D16" i="10"/>
  <c r="D39" i="10"/>
  <c r="D17" i="10"/>
  <c r="D18" i="10"/>
  <c r="D19" i="10"/>
  <c r="D20" i="10"/>
  <c r="D21" i="10"/>
  <c r="D22" i="10"/>
  <c r="D23" i="10"/>
  <c r="D24" i="10"/>
  <c r="D25" i="10"/>
  <c r="D26" i="10"/>
  <c r="D27" i="10"/>
  <c r="D28" i="10"/>
  <c r="D29" i="10"/>
  <c r="D30" i="10"/>
  <c r="D31" i="10"/>
  <c r="D32" i="10"/>
  <c r="D33" i="10"/>
  <c r="D34" i="10"/>
  <c r="D35" i="10"/>
  <c r="D36" i="10"/>
  <c r="D37" i="10"/>
  <c r="D38" i="10"/>
  <c r="C17" i="10"/>
  <c r="C18" i="10"/>
  <c r="C19" i="10"/>
  <c r="C20" i="10"/>
  <c r="C21" i="10"/>
  <c r="C22" i="10"/>
  <c r="C23" i="10"/>
  <c r="C24" i="10"/>
  <c r="C25" i="10"/>
  <c r="C26" i="10"/>
  <c r="C27" i="10"/>
  <c r="C28" i="10"/>
  <c r="C29" i="10"/>
  <c r="C30" i="10"/>
  <c r="C31" i="10"/>
  <c r="C32" i="10"/>
  <c r="C33" i="10"/>
  <c r="C34" i="10"/>
  <c r="C35" i="10"/>
  <c r="C36" i="10"/>
  <c r="C37" i="10"/>
  <c r="C38" i="10"/>
  <c r="C39" i="10"/>
  <c r="C16" i="10"/>
  <c r="B17" i="10"/>
  <c r="B18" i="10"/>
  <c r="B19" i="10"/>
  <c r="B20" i="10"/>
  <c r="B21" i="10"/>
  <c r="B22" i="10"/>
  <c r="B23" i="10"/>
  <c r="B24" i="10"/>
  <c r="B25" i="10"/>
  <c r="B26" i="10"/>
  <c r="B27" i="10"/>
  <c r="B28" i="10"/>
  <c r="B29" i="10"/>
  <c r="B30" i="10"/>
  <c r="B31" i="10"/>
  <c r="B32" i="10"/>
  <c r="B33" i="10"/>
  <c r="B34" i="10"/>
  <c r="B35" i="10"/>
  <c r="B36" i="10"/>
  <c r="B37" i="10"/>
  <c r="B38" i="10"/>
  <c r="B39" i="10"/>
  <c r="B16" i="10"/>
  <c r="A17" i="10"/>
  <c r="A18" i="10"/>
  <c r="A19" i="10"/>
  <c r="A20" i="10"/>
  <c r="A21" i="10"/>
  <c r="A22" i="10"/>
  <c r="A23" i="10"/>
  <c r="A24" i="10"/>
  <c r="A25" i="10"/>
  <c r="A26" i="10"/>
  <c r="A27" i="10"/>
  <c r="A28" i="10"/>
  <c r="A29" i="10"/>
  <c r="A30" i="10"/>
  <c r="A31" i="10"/>
  <c r="A32" i="10"/>
  <c r="A33" i="10"/>
  <c r="A34" i="10"/>
  <c r="A35" i="10"/>
  <c r="A36" i="10"/>
  <c r="A37" i="10"/>
  <c r="A38" i="10"/>
  <c r="A39" i="10"/>
  <c r="A16" i="10"/>
  <c r="E12" i="10"/>
  <c r="E11" i="10"/>
  <c r="E10" i="10"/>
  <c r="E8" i="10"/>
  <c r="A14" i="10"/>
  <c r="B13" i="10"/>
  <c r="B12" i="10"/>
  <c r="B11" i="10"/>
  <c r="B10" i="10"/>
  <c r="B9" i="10"/>
  <c r="B8" i="10"/>
  <c r="A18" i="9"/>
  <c r="A20" i="9" s="1"/>
  <c r="D18" i="9"/>
  <c r="A44" i="9" s="1"/>
  <c r="F18" i="9"/>
  <c r="B16" i="9"/>
  <c r="F12" i="9"/>
  <c r="F10" i="9"/>
  <c r="F16" i="9"/>
  <c r="B12" i="9"/>
  <c r="B14" i="9"/>
  <c r="B10" i="9"/>
  <c r="F21" i="8"/>
  <c r="F20" i="8"/>
  <c r="F19" i="8"/>
  <c r="F18" i="8"/>
  <c r="F17" i="8"/>
  <c r="C16" i="8"/>
  <c r="F16" i="8" s="1"/>
  <c r="E22" i="8" s="1"/>
  <c r="B659" i="7"/>
  <c r="A659" i="7"/>
  <c r="B658" i="7"/>
  <c r="A658" i="7"/>
  <c r="B657" i="7"/>
  <c r="A657" i="7"/>
  <c r="D651" i="7"/>
  <c r="C651" i="7"/>
  <c r="B651" i="7"/>
  <c r="A651" i="7"/>
  <c r="D650" i="7"/>
  <c r="C650" i="7"/>
  <c r="B650" i="7"/>
  <c r="A650" i="7"/>
  <c r="D649" i="7"/>
  <c r="C649" i="7"/>
  <c r="B649" i="7"/>
  <c r="A649" i="7"/>
  <c r="D643" i="7"/>
  <c r="C643" i="7"/>
  <c r="B643" i="7"/>
  <c r="A643" i="7"/>
  <c r="D642" i="7"/>
  <c r="C642" i="7"/>
  <c r="B642" i="7"/>
  <c r="A642" i="7"/>
  <c r="D638" i="7"/>
  <c r="C638" i="7"/>
  <c r="B638" i="7"/>
  <c r="A638" i="7"/>
  <c r="D637" i="7"/>
  <c r="C637" i="7"/>
  <c r="B637" i="7"/>
  <c r="A637" i="7"/>
  <c r="D633" i="7"/>
  <c r="C633" i="7"/>
  <c r="B633" i="7"/>
  <c r="A633" i="7"/>
  <c r="D632" i="7"/>
  <c r="C632" i="7"/>
  <c r="B632" i="7"/>
  <c r="A632" i="7"/>
  <c r="D631" i="7"/>
  <c r="C631" i="7"/>
  <c r="B631" i="7"/>
  <c r="A631" i="7"/>
  <c r="D627" i="7"/>
  <c r="C627" i="7"/>
  <c r="B627" i="7"/>
  <c r="A627" i="7"/>
  <c r="D626" i="7"/>
  <c r="C626" i="7"/>
  <c r="B626" i="7"/>
  <c r="A626" i="7"/>
  <c r="D622" i="7"/>
  <c r="C622" i="7"/>
  <c r="B622" i="7"/>
  <c r="A622" i="7"/>
  <c r="D621" i="7"/>
  <c r="C621" i="7"/>
  <c r="B621" i="7"/>
  <c r="A621" i="7"/>
  <c r="D620" i="7"/>
  <c r="C620" i="7"/>
  <c r="B620" i="7"/>
  <c r="A620" i="7"/>
  <c r="D616" i="7"/>
  <c r="C616" i="7"/>
  <c r="B616" i="7"/>
  <c r="A616" i="7"/>
  <c r="D615" i="7"/>
  <c r="C615" i="7"/>
  <c r="B615" i="7"/>
  <c r="A615" i="7"/>
  <c r="D614" i="7"/>
  <c r="C614" i="7"/>
  <c r="B614" i="7"/>
  <c r="A614" i="7"/>
  <c r="D610" i="7"/>
  <c r="C610" i="7"/>
  <c r="B610" i="7"/>
  <c r="A610" i="7"/>
  <c r="D606" i="7"/>
  <c r="C606" i="7"/>
  <c r="B606" i="7"/>
  <c r="A606" i="7"/>
  <c r="D605" i="7"/>
  <c r="C605" i="7"/>
  <c r="B605" i="7"/>
  <c r="A605" i="7"/>
  <c r="D601" i="7"/>
  <c r="C601" i="7"/>
  <c r="B601" i="7"/>
  <c r="A601" i="7"/>
  <c r="D600" i="7"/>
  <c r="C600" i="7"/>
  <c r="B600" i="7"/>
  <c r="A600" i="7"/>
  <c r="D596" i="7"/>
  <c r="C596" i="7"/>
  <c r="B596" i="7"/>
  <c r="A596" i="7"/>
  <c r="D595" i="7"/>
  <c r="C595" i="7"/>
  <c r="B595" i="7"/>
  <c r="A595" i="7"/>
  <c r="D594" i="7"/>
  <c r="C594" i="7"/>
  <c r="B594" i="7"/>
  <c r="A594" i="7"/>
  <c r="D593" i="7"/>
  <c r="C593" i="7"/>
  <c r="B593" i="7"/>
  <c r="A593" i="7"/>
  <c r="D592" i="7"/>
  <c r="C592" i="7"/>
  <c r="B592" i="7"/>
  <c r="A592" i="7"/>
  <c r="D591" i="7"/>
  <c r="C591" i="7"/>
  <c r="B591" i="7"/>
  <c r="A591" i="7"/>
  <c r="D590" i="7"/>
  <c r="C590" i="7"/>
  <c r="B590" i="7"/>
  <c r="A590" i="7"/>
  <c r="D586" i="7"/>
  <c r="C586" i="7"/>
  <c r="B586" i="7"/>
  <c r="A586" i="7"/>
  <c r="D585" i="7"/>
  <c r="C585" i="7"/>
  <c r="B585" i="7"/>
  <c r="A585" i="7"/>
  <c r="D581" i="7"/>
  <c r="C581" i="7"/>
  <c r="B581" i="7"/>
  <c r="A581" i="7"/>
  <c r="D580" i="7"/>
  <c r="C580" i="7"/>
  <c r="B580" i="7"/>
  <c r="A580" i="7"/>
  <c r="D579" i="7"/>
  <c r="C579" i="7"/>
  <c r="B579" i="7"/>
  <c r="A579" i="7"/>
  <c r="D578" i="7"/>
  <c r="C578" i="7"/>
  <c r="B578" i="7"/>
  <c r="A578" i="7"/>
  <c r="D574" i="7"/>
  <c r="C574" i="7"/>
  <c r="B574" i="7"/>
  <c r="A574" i="7"/>
  <c r="D573" i="7"/>
  <c r="C573" i="7"/>
  <c r="B573" i="7"/>
  <c r="A573" i="7"/>
  <c r="D569" i="7"/>
  <c r="C569" i="7"/>
  <c r="B569" i="7"/>
  <c r="A569" i="7"/>
  <c r="D568" i="7"/>
  <c r="C568" i="7"/>
  <c r="B568" i="7"/>
  <c r="A568" i="7"/>
  <c r="D567" i="7"/>
  <c r="C567" i="7"/>
  <c r="B567" i="7"/>
  <c r="A567" i="7"/>
  <c r="D563" i="7"/>
  <c r="C563" i="7"/>
  <c r="B563" i="7"/>
  <c r="A563" i="7"/>
  <c r="D562" i="7"/>
  <c r="C562" i="7"/>
  <c r="B562" i="7"/>
  <c r="A562" i="7"/>
  <c r="D561" i="7"/>
  <c r="C561" i="7"/>
  <c r="B561" i="7"/>
  <c r="A561" i="7"/>
  <c r="D560" i="7"/>
  <c r="C560" i="7"/>
  <c r="B560" i="7"/>
  <c r="A560" i="7"/>
  <c r="D559" i="7"/>
  <c r="C559" i="7"/>
  <c r="B559" i="7"/>
  <c r="A559" i="7"/>
  <c r="D553" i="7"/>
  <c r="C553" i="7"/>
  <c r="B553" i="7"/>
  <c r="A553" i="7"/>
  <c r="D552" i="7"/>
  <c r="C552" i="7"/>
  <c r="B552" i="7"/>
  <c r="A552" i="7"/>
  <c r="D551" i="7"/>
  <c r="C551" i="7"/>
  <c r="B551" i="7"/>
  <c r="A551" i="7"/>
  <c r="D550" i="7"/>
  <c r="C550" i="7"/>
  <c r="B550" i="7"/>
  <c r="A550" i="7"/>
  <c r="E546" i="7"/>
  <c r="D546" i="7"/>
  <c r="B546" i="7"/>
  <c r="A546" i="7"/>
  <c r="E545" i="7"/>
  <c r="D545" i="7"/>
  <c r="B545" i="7"/>
  <c r="A545" i="7"/>
  <c r="E544" i="7"/>
  <c r="D544" i="7"/>
  <c r="B544" i="7"/>
  <c r="A544" i="7"/>
  <c r="E543" i="7"/>
  <c r="D543" i="7"/>
  <c r="B543" i="7"/>
  <c r="A543" i="7"/>
  <c r="D539" i="7"/>
  <c r="C539" i="7"/>
  <c r="B539" i="7"/>
  <c r="A539" i="7"/>
  <c r="D538" i="7"/>
  <c r="C538" i="7"/>
  <c r="B538" i="7"/>
  <c r="A538" i="7"/>
  <c r="D537" i="7"/>
  <c r="C537" i="7"/>
  <c r="B537" i="7"/>
  <c r="A537" i="7"/>
  <c r="D536" i="7"/>
  <c r="C536" i="7"/>
  <c r="B536" i="7"/>
  <c r="A536" i="7"/>
  <c r="D535" i="7"/>
  <c r="C535" i="7"/>
  <c r="B535" i="7"/>
  <c r="A535" i="7"/>
  <c r="D534" i="7"/>
  <c r="C534" i="7"/>
  <c r="B534" i="7"/>
  <c r="A534" i="7"/>
  <c r="D533" i="7"/>
  <c r="C533" i="7"/>
  <c r="B533" i="7"/>
  <c r="A533" i="7"/>
  <c r="D532" i="7"/>
  <c r="C532" i="7"/>
  <c r="B532" i="7"/>
  <c r="A532" i="7"/>
  <c r="D531" i="7"/>
  <c r="C531" i="7"/>
  <c r="B531" i="7"/>
  <c r="A531" i="7"/>
  <c r="D525" i="7"/>
  <c r="C525" i="7"/>
  <c r="B525" i="7"/>
  <c r="A525" i="7"/>
  <c r="D524" i="7"/>
  <c r="C524" i="7"/>
  <c r="B524" i="7"/>
  <c r="A524" i="7"/>
  <c r="D523" i="7"/>
  <c r="C523" i="7"/>
  <c r="B523" i="7"/>
  <c r="A523" i="7"/>
  <c r="D522" i="7"/>
  <c r="C522" i="7"/>
  <c r="B522" i="7"/>
  <c r="A522" i="7"/>
  <c r="D521" i="7"/>
  <c r="C521" i="7"/>
  <c r="B521" i="7"/>
  <c r="A521" i="7"/>
  <c r="D520" i="7"/>
  <c r="C520" i="7"/>
  <c r="B520" i="7"/>
  <c r="A520" i="7"/>
  <c r="D519" i="7"/>
  <c r="C519" i="7"/>
  <c r="B519" i="7"/>
  <c r="A519" i="7"/>
  <c r="B513" i="7"/>
  <c r="A513" i="7"/>
  <c r="B512" i="7"/>
  <c r="A512" i="7"/>
  <c r="B511" i="7"/>
  <c r="A511" i="7"/>
  <c r="B510" i="7"/>
  <c r="A510" i="7"/>
  <c r="B509" i="7"/>
  <c r="A509" i="7"/>
  <c r="B505" i="7"/>
  <c r="A505" i="7"/>
  <c r="B504" i="7"/>
  <c r="A504" i="7"/>
  <c r="B503" i="7"/>
  <c r="A503" i="7"/>
  <c r="B502" i="7"/>
  <c r="A502" i="7"/>
  <c r="B501" i="7"/>
  <c r="A501" i="7"/>
  <c r="B500" i="7"/>
  <c r="A500" i="7"/>
  <c r="B499" i="7"/>
  <c r="A499" i="7"/>
  <c r="B498" i="7"/>
  <c r="A498" i="7"/>
  <c r="B497" i="7"/>
  <c r="A497" i="7"/>
  <c r="B496" i="7"/>
  <c r="A496" i="7"/>
  <c r="B495" i="7"/>
  <c r="A495" i="7"/>
  <c r="B491" i="7"/>
  <c r="A491" i="7"/>
  <c r="B490" i="7"/>
  <c r="A490" i="7"/>
  <c r="B486" i="7"/>
  <c r="A486" i="7"/>
  <c r="B485" i="7"/>
  <c r="A485" i="7"/>
  <c r="B484" i="7"/>
  <c r="A484" i="7"/>
  <c r="B483" i="7"/>
  <c r="A483" i="7"/>
  <c r="B482" i="7"/>
  <c r="A482" i="7"/>
  <c r="B481" i="7"/>
  <c r="A481" i="7"/>
  <c r="B480" i="7"/>
  <c r="A480" i="7"/>
  <c r="B479" i="7"/>
  <c r="A479" i="7"/>
  <c r="B473" i="7"/>
  <c r="A473" i="7"/>
  <c r="B472" i="7"/>
  <c r="A472" i="7"/>
  <c r="B471" i="7"/>
  <c r="A471" i="7"/>
  <c r="B470" i="7"/>
  <c r="A470" i="7"/>
  <c r="B469" i="7"/>
  <c r="A469" i="7"/>
  <c r="B468" i="7"/>
  <c r="A468" i="7"/>
  <c r="B464" i="7"/>
  <c r="A464" i="7"/>
  <c r="B463" i="7"/>
  <c r="A463" i="7"/>
  <c r="B462" i="7"/>
  <c r="A462" i="7"/>
  <c r="B461" i="7"/>
  <c r="A461" i="7"/>
  <c r="B457" i="7"/>
  <c r="A457" i="7"/>
  <c r="B456" i="7"/>
  <c r="A456" i="7"/>
  <c r="B455" i="7"/>
  <c r="A455" i="7"/>
  <c r="B454" i="7"/>
  <c r="A454" i="7"/>
  <c r="B453" i="7"/>
  <c r="A453" i="7"/>
  <c r="B452" i="7"/>
  <c r="A452" i="7"/>
  <c r="A450" i="7"/>
  <c r="B447" i="7"/>
  <c r="A447" i="7"/>
  <c r="B446" i="7"/>
  <c r="A446" i="7"/>
  <c r="B445" i="7"/>
  <c r="A445" i="7"/>
  <c r="B444" i="7"/>
  <c r="A444" i="7"/>
  <c r="B443" i="7"/>
  <c r="A443" i="7"/>
  <c r="B442" i="7"/>
  <c r="A442" i="7"/>
  <c r="B441" i="7"/>
  <c r="A441" i="7"/>
  <c r="A439" i="7"/>
  <c r="B436" i="7"/>
  <c r="A436" i="7"/>
  <c r="B435" i="7"/>
  <c r="A435" i="7"/>
  <c r="B434" i="7"/>
  <c r="A434" i="7"/>
  <c r="B433" i="7"/>
  <c r="A433" i="7"/>
  <c r="B432" i="7"/>
  <c r="A432" i="7"/>
  <c r="B431" i="7"/>
  <c r="A431" i="7"/>
  <c r="B430" i="7"/>
  <c r="A430" i="7"/>
  <c r="A428" i="7"/>
  <c r="B425" i="7"/>
  <c r="A425" i="7"/>
  <c r="B424" i="7"/>
  <c r="A424" i="7"/>
  <c r="B423" i="7"/>
  <c r="A423" i="7"/>
  <c r="B422" i="7"/>
  <c r="A422" i="7"/>
  <c r="B421" i="7"/>
  <c r="A421" i="7"/>
  <c r="B420" i="7"/>
  <c r="A420" i="7"/>
  <c r="E414" i="7"/>
  <c r="D414" i="7"/>
  <c r="B414" i="7"/>
  <c r="A414" i="7"/>
  <c r="E413" i="7"/>
  <c r="D413" i="7"/>
  <c r="B413" i="7"/>
  <c r="A413" i="7"/>
  <c r="E412" i="7"/>
  <c r="D412" i="7"/>
  <c r="B412" i="7"/>
  <c r="A412" i="7"/>
  <c r="E411" i="7"/>
  <c r="D411" i="7"/>
  <c r="B411" i="7"/>
  <c r="A411" i="7"/>
  <c r="D407" i="7"/>
  <c r="C407" i="7"/>
  <c r="B407" i="7"/>
  <c r="A407" i="7"/>
  <c r="D406" i="7"/>
  <c r="C406" i="7"/>
  <c r="B406" i="7"/>
  <c r="A406" i="7"/>
  <c r="D405" i="7"/>
  <c r="C405" i="7"/>
  <c r="B405" i="7"/>
  <c r="A405" i="7"/>
  <c r="D404" i="7"/>
  <c r="C404" i="7"/>
  <c r="B404" i="7"/>
  <c r="A404" i="7"/>
  <c r="D403" i="7"/>
  <c r="C403" i="7"/>
  <c r="B403" i="7"/>
  <c r="A403" i="7"/>
  <c r="D402" i="7"/>
  <c r="C402" i="7"/>
  <c r="B402" i="7"/>
  <c r="A402" i="7"/>
  <c r="D398" i="7"/>
  <c r="B398" i="7"/>
  <c r="A398" i="7"/>
  <c r="D397" i="7"/>
  <c r="B397" i="7"/>
  <c r="A397" i="7"/>
  <c r="C393" i="7"/>
  <c r="B393" i="7"/>
  <c r="A393" i="7"/>
  <c r="D392" i="7"/>
  <c r="C392" i="7"/>
  <c r="B392" i="7"/>
  <c r="A392" i="7"/>
  <c r="D391" i="7"/>
  <c r="C391" i="7"/>
  <c r="B391" i="7"/>
  <c r="A391" i="7"/>
  <c r="D387" i="7"/>
  <c r="C387" i="7"/>
  <c r="B387" i="7"/>
  <c r="A387" i="7"/>
  <c r="D386" i="7"/>
  <c r="C386" i="7"/>
  <c r="B386" i="7"/>
  <c r="A386" i="7"/>
  <c r="D385" i="7"/>
  <c r="C385" i="7"/>
  <c r="B385" i="7"/>
  <c r="A385" i="7"/>
  <c r="D384" i="7"/>
  <c r="C384" i="7"/>
  <c r="B384" i="7"/>
  <c r="A384" i="7"/>
  <c r="C383" i="7"/>
  <c r="B383" i="7"/>
  <c r="A383" i="7"/>
  <c r="E382" i="7"/>
  <c r="D382" i="7"/>
  <c r="C382" i="7"/>
  <c r="B382" i="7"/>
  <c r="A382" i="7"/>
  <c r="C378" i="7"/>
  <c r="B378" i="7"/>
  <c r="A378" i="7"/>
  <c r="D377" i="7"/>
  <c r="B377" i="7"/>
  <c r="A377" i="7"/>
  <c r="D376" i="7"/>
  <c r="C376" i="7"/>
  <c r="B376" i="7"/>
  <c r="A376" i="7"/>
  <c r="D375" i="7"/>
  <c r="C375" i="7"/>
  <c r="B375" i="7"/>
  <c r="A375" i="7"/>
  <c r="D371" i="7"/>
  <c r="C371" i="7"/>
  <c r="B371" i="7"/>
  <c r="A371" i="7"/>
  <c r="D370" i="7"/>
  <c r="C370" i="7"/>
  <c r="B370" i="7"/>
  <c r="A370" i="7"/>
  <c r="D369" i="7"/>
  <c r="C369" i="7"/>
  <c r="B369" i="7"/>
  <c r="A369" i="7"/>
  <c r="D368" i="7"/>
  <c r="C368" i="7"/>
  <c r="B368" i="7"/>
  <c r="A368" i="7"/>
  <c r="D364" i="7"/>
  <c r="C364" i="7"/>
  <c r="B364" i="7"/>
  <c r="A364" i="7"/>
  <c r="D363" i="7"/>
  <c r="C363" i="7"/>
  <c r="B363" i="7"/>
  <c r="A363" i="7"/>
  <c r="D362" i="7"/>
  <c r="C362" i="7"/>
  <c r="B362" i="7"/>
  <c r="A362" i="7"/>
  <c r="D361" i="7"/>
  <c r="C361" i="7"/>
  <c r="B361" i="7"/>
  <c r="A361" i="7"/>
  <c r="D360" i="7"/>
  <c r="C360" i="7"/>
  <c r="B360" i="7"/>
  <c r="A360" i="7"/>
  <c r="D356" i="7"/>
  <c r="C356" i="7"/>
  <c r="B356" i="7"/>
  <c r="A356" i="7"/>
  <c r="D355" i="7"/>
  <c r="C355" i="7"/>
  <c r="B355" i="7"/>
  <c r="A355" i="7"/>
  <c r="D354" i="7"/>
  <c r="C354" i="7"/>
  <c r="B354" i="7"/>
  <c r="A354" i="7"/>
  <c r="D353" i="7"/>
  <c r="C353" i="7"/>
  <c r="B353" i="7"/>
  <c r="A353" i="7"/>
  <c r="D349" i="7"/>
  <c r="C349" i="7"/>
  <c r="B349" i="7"/>
  <c r="A349" i="7"/>
  <c r="D348" i="7"/>
  <c r="C348" i="7"/>
  <c r="B348" i="7"/>
  <c r="A348" i="7"/>
  <c r="D347" i="7"/>
  <c r="C347" i="7"/>
  <c r="B347" i="7"/>
  <c r="A347" i="7"/>
  <c r="D346" i="7"/>
  <c r="C346" i="7"/>
  <c r="B346" i="7"/>
  <c r="A346" i="7"/>
  <c r="D345" i="7"/>
  <c r="C345" i="7"/>
  <c r="B345" i="7"/>
  <c r="A345" i="7"/>
  <c r="D344" i="7"/>
  <c r="C344" i="7"/>
  <c r="B344" i="7"/>
  <c r="A344" i="7"/>
  <c r="D343" i="7"/>
  <c r="C343" i="7"/>
  <c r="B343" i="7"/>
  <c r="A343" i="7"/>
  <c r="D342" i="7"/>
  <c r="C342" i="7"/>
  <c r="B342" i="7"/>
  <c r="A342" i="7"/>
  <c r="D338" i="7"/>
  <c r="C338" i="7"/>
  <c r="B338" i="7"/>
  <c r="A338" i="7"/>
  <c r="E334" i="7"/>
  <c r="D334" i="7"/>
  <c r="C334" i="7"/>
  <c r="B334" i="7"/>
  <c r="A334" i="7"/>
  <c r="E333" i="7"/>
  <c r="D333" i="7"/>
  <c r="C333" i="7"/>
  <c r="B333" i="7"/>
  <c r="A333" i="7"/>
  <c r="E332" i="7"/>
  <c r="D332" i="7"/>
  <c r="C332" i="7"/>
  <c r="B332" i="7"/>
  <c r="A332" i="7"/>
  <c r="E331" i="7"/>
  <c r="D331" i="7"/>
  <c r="C331" i="7"/>
  <c r="B331" i="7"/>
  <c r="A331" i="7"/>
  <c r="E330" i="7"/>
  <c r="D330" i="7"/>
  <c r="C330" i="7"/>
  <c r="B330" i="7"/>
  <c r="A330" i="7"/>
  <c r="E329" i="7"/>
  <c r="D329" i="7"/>
  <c r="C329" i="7"/>
  <c r="B329" i="7"/>
  <c r="A329" i="7"/>
  <c r="D325" i="7"/>
  <c r="C325" i="7"/>
  <c r="B325" i="7"/>
  <c r="A325" i="7"/>
  <c r="D324" i="7"/>
  <c r="C324" i="7"/>
  <c r="B324" i="7"/>
  <c r="A324" i="7"/>
  <c r="D323" i="7"/>
  <c r="C323" i="7"/>
  <c r="B323" i="7"/>
  <c r="A323" i="7"/>
  <c r="D319" i="7"/>
  <c r="C319" i="7"/>
  <c r="B319" i="7"/>
  <c r="A319" i="7"/>
  <c r="D318" i="7"/>
  <c r="C318" i="7"/>
  <c r="B318" i="7"/>
  <c r="A318" i="7"/>
  <c r="D317" i="7"/>
  <c r="C317" i="7"/>
  <c r="B317" i="7"/>
  <c r="A317" i="7"/>
  <c r="D316" i="7"/>
  <c r="C316" i="7"/>
  <c r="B316" i="7"/>
  <c r="A316" i="7"/>
  <c r="D315" i="7"/>
  <c r="C315" i="7"/>
  <c r="B315" i="7"/>
  <c r="A315" i="7"/>
  <c r="E311" i="7"/>
  <c r="D311" i="7"/>
  <c r="C311" i="7"/>
  <c r="B311" i="7"/>
  <c r="A311" i="7"/>
  <c r="E310" i="7"/>
  <c r="D310" i="7"/>
  <c r="C310" i="7"/>
  <c r="B310" i="7"/>
  <c r="A310" i="7"/>
  <c r="D306" i="7"/>
  <c r="C306" i="7"/>
  <c r="B306" i="7"/>
  <c r="A306" i="7"/>
  <c r="D305" i="7"/>
  <c r="C305" i="7"/>
  <c r="B305" i="7"/>
  <c r="A305" i="7"/>
  <c r="D304" i="7"/>
  <c r="C304" i="7"/>
  <c r="B304" i="7"/>
  <c r="A304" i="7"/>
  <c r="D303" i="7"/>
  <c r="C303" i="7"/>
  <c r="B303" i="7"/>
  <c r="A303" i="7"/>
  <c r="D302" i="7"/>
  <c r="C302" i="7"/>
  <c r="B302" i="7"/>
  <c r="A302" i="7"/>
  <c r="D301" i="7"/>
  <c r="C301" i="7"/>
  <c r="B301" i="7"/>
  <c r="A301" i="7"/>
  <c r="D300" i="7"/>
  <c r="C300" i="7"/>
  <c r="B300" i="7"/>
  <c r="A300" i="7"/>
  <c r="D296" i="7"/>
  <c r="C296" i="7"/>
  <c r="B296" i="7"/>
  <c r="A296" i="7"/>
  <c r="D295" i="7"/>
  <c r="C295" i="7"/>
  <c r="B295" i="7"/>
  <c r="A295" i="7"/>
  <c r="D294" i="7"/>
  <c r="C294" i="7"/>
  <c r="B294" i="7"/>
  <c r="A294" i="7"/>
  <c r="D293" i="7"/>
  <c r="C293" i="7"/>
  <c r="B293" i="7"/>
  <c r="A293" i="7"/>
  <c r="D289" i="7"/>
  <c r="C289" i="7"/>
  <c r="B289" i="7"/>
  <c r="A289" i="7"/>
  <c r="D288" i="7"/>
  <c r="C288" i="7"/>
  <c r="B288" i="7"/>
  <c r="A288" i="7"/>
  <c r="D287" i="7"/>
  <c r="C287" i="7"/>
  <c r="B287" i="7"/>
  <c r="A287" i="7"/>
  <c r="D286" i="7"/>
  <c r="C286" i="7"/>
  <c r="B286" i="7"/>
  <c r="A286" i="7"/>
  <c r="D285" i="7"/>
  <c r="C285" i="7"/>
  <c r="B285" i="7"/>
  <c r="A285" i="7"/>
  <c r="D284" i="7"/>
  <c r="C284" i="7"/>
  <c r="B284" i="7"/>
  <c r="A284" i="7"/>
  <c r="D283" i="7"/>
  <c r="C283" i="7"/>
  <c r="B283" i="7"/>
  <c r="A283" i="7"/>
  <c r="D282" i="7"/>
  <c r="C282" i="7"/>
  <c r="B282" i="7"/>
  <c r="A282" i="7"/>
  <c r="D278" i="7"/>
  <c r="C278" i="7"/>
  <c r="B278" i="7"/>
  <c r="A278" i="7"/>
  <c r="D277" i="7"/>
  <c r="C277" i="7"/>
  <c r="B277" i="7"/>
  <c r="A277" i="7"/>
  <c r="D276" i="7"/>
  <c r="C276" i="7"/>
  <c r="B276" i="7"/>
  <c r="A276" i="7"/>
  <c r="D275" i="7"/>
  <c r="C275" i="7"/>
  <c r="B275" i="7"/>
  <c r="A275" i="7"/>
  <c r="D274" i="7"/>
  <c r="C274" i="7"/>
  <c r="B274" i="7"/>
  <c r="A274" i="7"/>
  <c r="D273" i="7"/>
  <c r="C273" i="7"/>
  <c r="B273" i="7"/>
  <c r="A273" i="7"/>
  <c r="D272" i="7"/>
  <c r="C272" i="7"/>
  <c r="B272" i="7"/>
  <c r="A272" i="7"/>
  <c r="E268" i="7"/>
  <c r="B268" i="7"/>
  <c r="A268" i="7"/>
  <c r="E267" i="7"/>
  <c r="B267" i="7"/>
  <c r="A267" i="7"/>
  <c r="E266" i="7"/>
  <c r="B266" i="7"/>
  <c r="A266" i="7"/>
  <c r="E265" i="7"/>
  <c r="B265" i="7"/>
  <c r="A265" i="7"/>
  <c r="E261" i="7"/>
  <c r="D261" i="7"/>
  <c r="C261" i="7"/>
  <c r="B261" i="7"/>
  <c r="A261" i="7"/>
  <c r="E260" i="7"/>
  <c r="D260" i="7"/>
  <c r="C260" i="7"/>
  <c r="B260" i="7"/>
  <c r="A260" i="7"/>
  <c r="E259" i="7"/>
  <c r="D259" i="7"/>
  <c r="C259" i="7"/>
  <c r="B259" i="7"/>
  <c r="A259" i="7"/>
  <c r="E258" i="7"/>
  <c r="D258" i="7"/>
  <c r="C258" i="7"/>
  <c r="B258" i="7"/>
  <c r="A258" i="7"/>
  <c r="E257" i="7"/>
  <c r="D257" i="7"/>
  <c r="C257" i="7"/>
  <c r="B257" i="7"/>
  <c r="A257" i="7"/>
  <c r="E256" i="7"/>
  <c r="D256" i="7"/>
  <c r="C256" i="7"/>
  <c r="B256" i="7"/>
  <c r="A256" i="7"/>
  <c r="E255" i="7"/>
  <c r="D255" i="7"/>
  <c r="C255" i="7"/>
  <c r="B255" i="7"/>
  <c r="A255" i="7"/>
  <c r="D251" i="7"/>
  <c r="C251" i="7"/>
  <c r="B251" i="7"/>
  <c r="A251" i="7"/>
  <c r="D250" i="7"/>
  <c r="C250" i="7"/>
  <c r="B250" i="7"/>
  <c r="A250" i="7"/>
  <c r="D246" i="7"/>
  <c r="C246" i="7"/>
  <c r="B246" i="7"/>
  <c r="A246" i="7"/>
  <c r="D245" i="7"/>
  <c r="C245" i="7"/>
  <c r="B245" i="7"/>
  <c r="A245" i="7"/>
  <c r="D244" i="7"/>
  <c r="C244" i="7"/>
  <c r="B244" i="7"/>
  <c r="A244" i="7"/>
  <c r="D243" i="7"/>
  <c r="C243" i="7"/>
  <c r="B243" i="7"/>
  <c r="A243" i="7"/>
  <c r="D242" i="7"/>
  <c r="C242" i="7"/>
  <c r="B242" i="7"/>
  <c r="A242" i="7"/>
  <c r="D241" i="7"/>
  <c r="C241" i="7"/>
  <c r="B241" i="7"/>
  <c r="A241" i="7"/>
  <c r="D240" i="7"/>
  <c r="C240" i="7"/>
  <c r="B240" i="7"/>
  <c r="A240" i="7"/>
  <c r="D236" i="7"/>
  <c r="C236" i="7"/>
  <c r="B236" i="7"/>
  <c r="A236" i="7"/>
  <c r="D232" i="7"/>
  <c r="C232" i="7"/>
  <c r="B232" i="7"/>
  <c r="A232" i="7"/>
  <c r="D231" i="7"/>
  <c r="C231" i="7"/>
  <c r="B231" i="7"/>
  <c r="A231" i="7"/>
  <c r="D230" i="7"/>
  <c r="C230" i="7"/>
  <c r="B230" i="7"/>
  <c r="A230" i="7"/>
  <c r="D226" i="7"/>
  <c r="C226" i="7"/>
  <c r="B226" i="7"/>
  <c r="A226" i="7"/>
  <c r="D225" i="7"/>
  <c r="C225" i="7"/>
  <c r="B225" i="7"/>
  <c r="A225" i="7"/>
  <c r="D224" i="7"/>
  <c r="C224" i="7"/>
  <c r="B224" i="7"/>
  <c r="A224" i="7"/>
  <c r="D220" i="7"/>
  <c r="C220" i="7"/>
  <c r="B220" i="7"/>
  <c r="A220" i="7"/>
  <c r="D219" i="7"/>
  <c r="C219" i="7"/>
  <c r="B219" i="7"/>
  <c r="A219" i="7"/>
  <c r="D218" i="7"/>
  <c r="C218" i="7"/>
  <c r="B218" i="7"/>
  <c r="A218" i="7"/>
  <c r="D217" i="7"/>
  <c r="C217" i="7"/>
  <c r="B217" i="7"/>
  <c r="A217" i="7"/>
  <c r="E213" i="7"/>
  <c r="D213" i="7"/>
  <c r="C213" i="7"/>
  <c r="B213" i="7"/>
  <c r="A213" i="7"/>
  <c r="E212" i="7"/>
  <c r="D212" i="7"/>
  <c r="C212" i="7"/>
  <c r="B212" i="7"/>
  <c r="A212" i="7"/>
  <c r="E211" i="7"/>
  <c r="D211" i="7"/>
  <c r="C211" i="7"/>
  <c r="B211" i="7"/>
  <c r="A211" i="7"/>
  <c r="E210" i="7"/>
  <c r="D210" i="7"/>
  <c r="C210" i="7"/>
  <c r="B210" i="7"/>
  <c r="A210" i="7"/>
  <c r="E209" i="7"/>
  <c r="D209" i="7"/>
  <c r="C209" i="7"/>
  <c r="B209" i="7"/>
  <c r="A209" i="7"/>
  <c r="E208" i="7"/>
  <c r="D208" i="7"/>
  <c r="C208" i="7"/>
  <c r="B208" i="7"/>
  <c r="A208" i="7"/>
  <c r="E204" i="7"/>
  <c r="D204" i="7"/>
  <c r="C204" i="7"/>
  <c r="B204" i="7"/>
  <c r="A204" i="7"/>
  <c r="E203" i="7"/>
  <c r="D203" i="7"/>
  <c r="C203" i="7"/>
  <c r="B203" i="7"/>
  <c r="A203" i="7"/>
  <c r="E202" i="7"/>
  <c r="D202" i="7"/>
  <c r="C202" i="7"/>
  <c r="B202" i="7"/>
  <c r="A202" i="7"/>
  <c r="E201" i="7"/>
  <c r="D201" i="7"/>
  <c r="C201" i="7"/>
  <c r="B201" i="7"/>
  <c r="A201" i="7"/>
  <c r="E200" i="7"/>
  <c r="D200" i="7"/>
  <c r="C200" i="7"/>
  <c r="B200" i="7"/>
  <c r="A200" i="7"/>
  <c r="E199" i="7"/>
  <c r="D199" i="7"/>
  <c r="C199" i="7"/>
  <c r="B199" i="7"/>
  <c r="A199" i="7"/>
  <c r="E195" i="7"/>
  <c r="D195" i="7"/>
  <c r="C195" i="7"/>
  <c r="B195" i="7"/>
  <c r="A195" i="7"/>
  <c r="E194" i="7"/>
  <c r="D194" i="7"/>
  <c r="C194" i="7"/>
  <c r="B194" i="7"/>
  <c r="A194" i="7"/>
  <c r="E190" i="7"/>
  <c r="D190" i="7"/>
  <c r="C190" i="7"/>
  <c r="B190" i="7"/>
  <c r="A190" i="7"/>
  <c r="E189" i="7"/>
  <c r="D189" i="7"/>
  <c r="C189" i="7"/>
  <c r="B189" i="7"/>
  <c r="A189" i="7"/>
  <c r="E188" i="7"/>
  <c r="D188" i="7"/>
  <c r="C188" i="7"/>
  <c r="B188" i="7"/>
  <c r="A188" i="7"/>
  <c r="E187" i="7"/>
  <c r="D187" i="7"/>
  <c r="C187" i="7"/>
  <c r="B187" i="7"/>
  <c r="A187" i="7"/>
  <c r="E186" i="7"/>
  <c r="D186" i="7"/>
  <c r="C186" i="7"/>
  <c r="B186" i="7"/>
  <c r="A186" i="7"/>
  <c r="E182" i="7"/>
  <c r="D182" i="7"/>
  <c r="C182" i="7"/>
  <c r="B182" i="7"/>
  <c r="A182" i="7"/>
  <c r="E181" i="7"/>
  <c r="D181" i="7"/>
  <c r="C181" i="7"/>
  <c r="B181" i="7"/>
  <c r="A181" i="7"/>
  <c r="E180" i="7"/>
  <c r="D180" i="7"/>
  <c r="C180" i="7"/>
  <c r="B180" i="7"/>
  <c r="A180" i="7"/>
  <c r="E179" i="7"/>
  <c r="D179" i="7"/>
  <c r="C179" i="7"/>
  <c r="B179" i="7"/>
  <c r="A179" i="7"/>
  <c r="E178" i="7"/>
  <c r="D178" i="7"/>
  <c r="C178" i="7"/>
  <c r="B178" i="7"/>
  <c r="A178" i="7"/>
  <c r="D174" i="7"/>
  <c r="C174" i="7"/>
  <c r="B174" i="7"/>
  <c r="A174" i="7"/>
  <c r="D173" i="7"/>
  <c r="C173" i="7"/>
  <c r="B173" i="7"/>
  <c r="A173" i="7"/>
  <c r="D172" i="7"/>
  <c r="C172" i="7"/>
  <c r="B172" i="7"/>
  <c r="A172" i="7"/>
  <c r="D171" i="7"/>
  <c r="C171" i="7"/>
  <c r="B171" i="7"/>
  <c r="A171" i="7"/>
  <c r="D170" i="7"/>
  <c r="C170" i="7"/>
  <c r="B170" i="7"/>
  <c r="A170" i="7"/>
  <c r="D169" i="7"/>
  <c r="C169" i="7"/>
  <c r="B169" i="7"/>
  <c r="A169" i="7"/>
  <c r="D168" i="7"/>
  <c r="C168" i="7"/>
  <c r="B168" i="7"/>
  <c r="A168" i="7"/>
  <c r="D167" i="7"/>
  <c r="C167" i="7"/>
  <c r="B167" i="7"/>
  <c r="A167" i="7"/>
  <c r="D163" i="7"/>
  <c r="B163" i="7"/>
  <c r="A163" i="7"/>
  <c r="E162" i="7"/>
  <c r="D162" i="7"/>
  <c r="C162" i="7"/>
  <c r="B162" i="7"/>
  <c r="A162" i="7"/>
  <c r="E161" i="7"/>
  <c r="D161" i="7"/>
  <c r="C161" i="7"/>
  <c r="B161" i="7"/>
  <c r="A161" i="7"/>
  <c r="E160" i="7"/>
  <c r="D160" i="7"/>
  <c r="C160" i="7"/>
  <c r="B160" i="7"/>
  <c r="A160" i="7"/>
  <c r="E159" i="7"/>
  <c r="D159" i="7"/>
  <c r="C159" i="7"/>
  <c r="B159" i="7"/>
  <c r="A159" i="7"/>
  <c r="D155" i="7"/>
  <c r="B155" i="7"/>
  <c r="A155" i="7"/>
  <c r="E154" i="7"/>
  <c r="D154" i="7"/>
  <c r="C154" i="7"/>
  <c r="B154" i="7"/>
  <c r="A154" i="7"/>
  <c r="E153" i="7"/>
  <c r="D153" i="7"/>
  <c r="C153" i="7"/>
  <c r="B153" i="7"/>
  <c r="A153" i="7"/>
  <c r="E152" i="7"/>
  <c r="D152" i="7"/>
  <c r="C152" i="7"/>
  <c r="B152" i="7"/>
  <c r="A152" i="7"/>
  <c r="E151" i="7"/>
  <c r="D151" i="7"/>
  <c r="C151" i="7"/>
  <c r="B151" i="7"/>
  <c r="A151" i="7"/>
  <c r="D147" i="7"/>
  <c r="C147" i="7"/>
  <c r="B147" i="7"/>
  <c r="A147" i="7"/>
  <c r="D146" i="7"/>
  <c r="C146" i="7"/>
  <c r="B146" i="7"/>
  <c r="A146" i="7"/>
  <c r="D145" i="7"/>
  <c r="C145" i="7"/>
  <c r="B145" i="7"/>
  <c r="A145" i="7"/>
  <c r="D144" i="7"/>
  <c r="C144" i="7"/>
  <c r="B144" i="7"/>
  <c r="A144" i="7"/>
  <c r="D143" i="7"/>
  <c r="C143" i="7"/>
  <c r="B143" i="7"/>
  <c r="A143" i="7"/>
  <c r="D139" i="7"/>
  <c r="C139" i="7"/>
  <c r="B139" i="7"/>
  <c r="A139" i="7"/>
  <c r="D138" i="7"/>
  <c r="C138" i="7"/>
  <c r="B138" i="7"/>
  <c r="A138" i="7"/>
  <c r="D137" i="7"/>
  <c r="C137" i="7"/>
  <c r="B137" i="7"/>
  <c r="A137" i="7"/>
  <c r="D136" i="7"/>
  <c r="C136" i="7"/>
  <c r="B136" i="7"/>
  <c r="A136" i="7"/>
  <c r="D135" i="7"/>
  <c r="C135" i="7"/>
  <c r="B135" i="7"/>
  <c r="A135" i="7"/>
  <c r="D131" i="7"/>
  <c r="C131" i="7"/>
  <c r="B131" i="7"/>
  <c r="A131" i="7"/>
  <c r="E127" i="7"/>
  <c r="D127" i="7"/>
  <c r="C127" i="7"/>
  <c r="B127" i="7"/>
  <c r="A127" i="7"/>
  <c r="E126" i="7"/>
  <c r="D126" i="7"/>
  <c r="C126" i="7"/>
  <c r="B126" i="7"/>
  <c r="A126" i="7"/>
  <c r="E125" i="7"/>
  <c r="D125" i="7"/>
  <c r="C125" i="7"/>
  <c r="B125" i="7"/>
  <c r="A125" i="7"/>
  <c r="E124" i="7"/>
  <c r="D124" i="7"/>
  <c r="C124" i="7"/>
  <c r="B124" i="7"/>
  <c r="A124" i="7"/>
  <c r="E123" i="7"/>
  <c r="D123" i="7"/>
  <c r="C123" i="7"/>
  <c r="B123" i="7"/>
  <c r="A123" i="7"/>
  <c r="E122" i="7"/>
  <c r="D122" i="7"/>
  <c r="C122" i="7"/>
  <c r="B122" i="7"/>
  <c r="A122" i="7"/>
  <c r="E118" i="7"/>
  <c r="D118" i="7"/>
  <c r="C118" i="7"/>
  <c r="B118" i="7"/>
  <c r="A118" i="7"/>
  <c r="E117" i="7"/>
  <c r="D117" i="7"/>
  <c r="C117" i="7"/>
  <c r="B117" i="7"/>
  <c r="A117" i="7"/>
  <c r="E116" i="7"/>
  <c r="D116" i="7"/>
  <c r="C116" i="7"/>
  <c r="B116" i="7"/>
  <c r="A116" i="7"/>
  <c r="E115" i="7"/>
  <c r="D115" i="7"/>
  <c r="C115" i="7"/>
  <c r="B115" i="7"/>
  <c r="A115" i="7"/>
  <c r="E114" i="7"/>
  <c r="D114" i="7"/>
  <c r="C114" i="7"/>
  <c r="B114" i="7"/>
  <c r="A114" i="7"/>
  <c r="E110" i="7"/>
  <c r="D110" i="7"/>
  <c r="C110" i="7"/>
  <c r="B110" i="7"/>
  <c r="A110" i="7"/>
  <c r="E106" i="7"/>
  <c r="D106" i="7"/>
  <c r="C106" i="7"/>
  <c r="B106" i="7"/>
  <c r="A106" i="7"/>
  <c r="E102" i="7"/>
  <c r="D102" i="7"/>
  <c r="C102" i="7"/>
  <c r="B102" i="7"/>
  <c r="A102" i="7"/>
  <c r="E101" i="7"/>
  <c r="D101" i="7"/>
  <c r="C101" i="7"/>
  <c r="B101" i="7"/>
  <c r="A101" i="7"/>
  <c r="E97" i="7"/>
  <c r="D97" i="7"/>
  <c r="C97" i="7"/>
  <c r="B97" i="7"/>
  <c r="A97" i="7"/>
  <c r="E96" i="7"/>
  <c r="D96" i="7"/>
  <c r="C96" i="7"/>
  <c r="B96" i="7"/>
  <c r="A96" i="7"/>
  <c r="E92" i="7"/>
  <c r="D92" i="7"/>
  <c r="C92" i="7"/>
  <c r="B92" i="7"/>
  <c r="A92" i="7"/>
  <c r="E91" i="7"/>
  <c r="D91" i="7"/>
  <c r="C91" i="7"/>
  <c r="B91" i="7"/>
  <c r="A91" i="7"/>
  <c r="D87" i="7"/>
  <c r="C87" i="7"/>
  <c r="B87" i="7"/>
  <c r="A87" i="7"/>
  <c r="D86" i="7"/>
  <c r="C86" i="7"/>
  <c r="B86" i="7"/>
  <c r="A86" i="7"/>
  <c r="D85" i="7"/>
  <c r="C85" i="7"/>
  <c r="B85" i="7"/>
  <c r="A85" i="7"/>
  <c r="D84" i="7"/>
  <c r="C84" i="7"/>
  <c r="B84" i="7"/>
  <c r="A84" i="7"/>
  <c r="D83" i="7"/>
  <c r="C83" i="7"/>
  <c r="B83" i="7"/>
  <c r="A83" i="7"/>
  <c r="D82" i="7"/>
  <c r="C82" i="7"/>
  <c r="B82" i="7"/>
  <c r="A82" i="7"/>
  <c r="D81" i="7"/>
  <c r="C81" i="7"/>
  <c r="B81" i="7"/>
  <c r="A81" i="7"/>
  <c r="D80" i="7"/>
  <c r="C80" i="7"/>
  <c r="B80" i="7"/>
  <c r="A80" i="7"/>
  <c r="D76" i="7"/>
  <c r="C76" i="7"/>
  <c r="B76" i="7"/>
  <c r="A76" i="7"/>
  <c r="D75" i="7"/>
  <c r="C75" i="7"/>
  <c r="B75" i="7"/>
  <c r="A75" i="7"/>
  <c r="D71" i="7"/>
  <c r="C71" i="7"/>
  <c r="B71" i="7"/>
  <c r="A71" i="7"/>
  <c r="D70" i="7"/>
  <c r="C70" i="7"/>
  <c r="B70" i="7"/>
  <c r="A70" i="7"/>
  <c r="E66" i="7"/>
  <c r="D66" i="7"/>
  <c r="C66" i="7"/>
  <c r="B66" i="7"/>
  <c r="A66" i="7"/>
  <c r="E65" i="7"/>
  <c r="D65" i="7"/>
  <c r="C65" i="7"/>
  <c r="B65" i="7"/>
  <c r="A65" i="7"/>
  <c r="D61" i="7"/>
  <c r="C61" i="7"/>
  <c r="B61" i="7"/>
  <c r="A61" i="7"/>
  <c r="D60" i="7"/>
  <c r="C60" i="7"/>
  <c r="B60" i="7"/>
  <c r="A60" i="7"/>
  <c r="D59" i="7"/>
  <c r="C59" i="7"/>
  <c r="B59" i="7"/>
  <c r="A59" i="7"/>
  <c r="E55" i="7"/>
  <c r="D55" i="7"/>
  <c r="C55" i="7"/>
  <c r="B55" i="7"/>
  <c r="A55" i="7"/>
  <c r="E54" i="7"/>
  <c r="D54" i="7"/>
  <c r="C54" i="7"/>
  <c r="B54" i="7"/>
  <c r="A54" i="7"/>
  <c r="E53" i="7"/>
  <c r="D53" i="7"/>
  <c r="C53" i="7"/>
  <c r="B53" i="7"/>
  <c r="A53" i="7"/>
  <c r="E52" i="7"/>
  <c r="D52" i="7"/>
  <c r="C52" i="7"/>
  <c r="B52" i="7"/>
  <c r="A52" i="7"/>
  <c r="E51" i="7"/>
  <c r="D51" i="7"/>
  <c r="C51" i="7"/>
  <c r="B51" i="7"/>
  <c r="A51" i="7"/>
  <c r="E50" i="7"/>
  <c r="D50" i="7"/>
  <c r="C50" i="7"/>
  <c r="B50" i="7"/>
  <c r="A50" i="7"/>
  <c r="E49" i="7"/>
  <c r="D49" i="7"/>
  <c r="C49" i="7"/>
  <c r="B49" i="7"/>
  <c r="A49" i="7"/>
  <c r="D45" i="7"/>
  <c r="C45" i="7"/>
  <c r="B45" i="7"/>
  <c r="A45" i="7"/>
  <c r="D41" i="7"/>
  <c r="C41" i="7"/>
  <c r="B41" i="7"/>
  <c r="A41" i="7"/>
  <c r="D40" i="7"/>
  <c r="C40" i="7"/>
  <c r="B40" i="7"/>
  <c r="A40" i="7"/>
  <c r="D36" i="7"/>
  <c r="C36" i="7"/>
  <c r="B36" i="7"/>
  <c r="A36" i="7"/>
  <c r="D35" i="7"/>
  <c r="C35" i="7"/>
  <c r="B35" i="7"/>
  <c r="A35" i="7"/>
  <c r="D34" i="7"/>
  <c r="C34" i="7"/>
  <c r="B34" i="7"/>
  <c r="A34" i="7"/>
  <c r="D30" i="7"/>
  <c r="C30" i="7"/>
  <c r="B30" i="7"/>
  <c r="A30" i="7"/>
  <c r="D29" i="7"/>
  <c r="C29" i="7"/>
  <c r="B29" i="7"/>
  <c r="A29" i="7"/>
  <c r="E25" i="7"/>
  <c r="D25" i="7"/>
  <c r="C25" i="7"/>
  <c r="B25" i="7"/>
  <c r="A25" i="7"/>
  <c r="E24" i="7"/>
  <c r="D24" i="7"/>
  <c r="C24" i="7"/>
  <c r="B24" i="7"/>
  <c r="A24" i="7"/>
  <c r="E23" i="7"/>
  <c r="D23" i="7"/>
  <c r="C23" i="7"/>
  <c r="B23" i="7"/>
  <c r="A23" i="7"/>
  <c r="E22" i="7"/>
  <c r="D22" i="7"/>
  <c r="C22" i="7"/>
  <c r="B22" i="7"/>
  <c r="A22" i="7"/>
  <c r="E21" i="7"/>
  <c r="D21" i="7"/>
  <c r="C21" i="7"/>
  <c r="B21" i="7"/>
  <c r="A21" i="7"/>
  <c r="E20" i="7"/>
  <c r="D20" i="7"/>
  <c r="C20" i="7"/>
  <c r="B20" i="7"/>
  <c r="A20" i="7"/>
  <c r="E19" i="7"/>
  <c r="D19" i="7"/>
  <c r="C19" i="7"/>
  <c r="B19" i="7"/>
  <c r="A19" i="7"/>
  <c r="E18" i="7"/>
  <c r="D18" i="7"/>
  <c r="C18" i="7"/>
  <c r="B18" i="7"/>
  <c r="A18" i="7"/>
  <c r="E17" i="7"/>
  <c r="D17" i="7"/>
  <c r="C17" i="7"/>
  <c r="B17" i="7"/>
  <c r="A17" i="7"/>
  <c r="E16" i="7"/>
  <c r="D16" i="7"/>
  <c r="C16" i="7"/>
  <c r="B16" i="7"/>
  <c r="A16" i="7"/>
  <c r="D12" i="7"/>
  <c r="C12" i="7"/>
  <c r="B12" i="7"/>
  <c r="A12" i="7"/>
  <c r="D11" i="7"/>
  <c r="C11" i="7"/>
  <c r="B11" i="7"/>
  <c r="A11" i="7"/>
  <c r="D10" i="7"/>
  <c r="C10" i="7"/>
  <c r="B10" i="7"/>
  <c r="A10" i="7"/>
  <c r="D771" i="5"/>
  <c r="C771" i="5"/>
  <c r="B771" i="5"/>
  <c r="A771" i="5"/>
  <c r="D770" i="5"/>
  <c r="C770" i="5"/>
  <c r="B770" i="5"/>
  <c r="A770" i="5"/>
  <c r="D769" i="5"/>
  <c r="C769" i="5"/>
  <c r="B769" i="5"/>
  <c r="A769" i="5"/>
  <c r="E763" i="5"/>
  <c r="D763" i="5"/>
  <c r="C763" i="5"/>
  <c r="B763" i="5"/>
  <c r="A763" i="5"/>
  <c r="E762" i="5"/>
  <c r="D762" i="5"/>
  <c r="C762" i="5"/>
  <c r="B762" i="5"/>
  <c r="A762" i="5"/>
  <c r="E761" i="5"/>
  <c r="D761" i="5"/>
  <c r="C761" i="5"/>
  <c r="B761" i="5"/>
  <c r="A761" i="5"/>
  <c r="E760" i="5"/>
  <c r="D760" i="5"/>
  <c r="C760" i="5"/>
  <c r="B760" i="5"/>
  <c r="A760" i="5"/>
  <c r="C759" i="5"/>
  <c r="B759" i="5"/>
  <c r="A759" i="5"/>
  <c r="C753" i="5"/>
  <c r="B753" i="5"/>
  <c r="A753" i="5"/>
  <c r="C752" i="5"/>
  <c r="B752" i="5"/>
  <c r="A752" i="5"/>
  <c r="C748" i="5"/>
  <c r="B748" i="5"/>
  <c r="A748" i="5"/>
  <c r="C747" i="5"/>
  <c r="B747" i="5"/>
  <c r="A747" i="5"/>
  <c r="C746" i="5"/>
  <c r="B746" i="5"/>
  <c r="A746" i="5"/>
  <c r="C745" i="5"/>
  <c r="B745" i="5"/>
  <c r="A745" i="5"/>
  <c r="C744" i="5"/>
  <c r="B744" i="5"/>
  <c r="A744" i="5"/>
  <c r="C743" i="5"/>
  <c r="B743" i="5"/>
  <c r="A743" i="5"/>
  <c r="C742" i="5"/>
  <c r="B742" i="5"/>
  <c r="A742" i="5"/>
  <c r="C741" i="5"/>
  <c r="B741" i="5"/>
  <c r="A741" i="5"/>
  <c r="C740" i="5"/>
  <c r="B740" i="5"/>
  <c r="A740" i="5"/>
  <c r="C739" i="5"/>
  <c r="B739" i="5"/>
  <c r="A739" i="5"/>
  <c r="C738" i="5"/>
  <c r="B738" i="5"/>
  <c r="A738" i="5"/>
  <c r="C737" i="5"/>
  <c r="B737" i="5"/>
  <c r="A737" i="5"/>
  <c r="C736" i="5"/>
  <c r="B736" i="5"/>
  <c r="A736" i="5"/>
  <c r="C735" i="5"/>
  <c r="B735" i="5"/>
  <c r="A735" i="5"/>
  <c r="C734" i="5"/>
  <c r="B734" i="5"/>
  <c r="A734" i="5"/>
  <c r="C733" i="5"/>
  <c r="B733" i="5"/>
  <c r="A733" i="5"/>
  <c r="C732" i="5"/>
  <c r="B732" i="5"/>
  <c r="A732" i="5"/>
  <c r="C728" i="5"/>
  <c r="B728" i="5"/>
  <c r="A728" i="5"/>
  <c r="C727" i="5"/>
  <c r="B727" i="5"/>
  <c r="A727" i="5"/>
  <c r="C726" i="5"/>
  <c r="B726" i="5"/>
  <c r="A726" i="5"/>
  <c r="C725" i="5"/>
  <c r="B725" i="5"/>
  <c r="A725" i="5"/>
  <c r="C724" i="5"/>
  <c r="B724" i="5"/>
  <c r="A724" i="5"/>
  <c r="C723" i="5"/>
  <c r="B723" i="5"/>
  <c r="A723" i="5"/>
  <c r="C722" i="5"/>
  <c r="B722" i="5"/>
  <c r="A722" i="5"/>
  <c r="C721" i="5"/>
  <c r="B721" i="5"/>
  <c r="A721" i="5"/>
  <c r="C720" i="5"/>
  <c r="B720" i="5"/>
  <c r="A720" i="5"/>
  <c r="C719" i="5"/>
  <c r="B719" i="5"/>
  <c r="A719" i="5"/>
  <c r="C718" i="5"/>
  <c r="B718" i="5"/>
  <c r="A718" i="5"/>
  <c r="C717" i="5"/>
  <c r="B717" i="5"/>
  <c r="A717" i="5"/>
  <c r="C716" i="5"/>
  <c r="B716" i="5"/>
  <c r="A716" i="5"/>
  <c r="C715" i="5"/>
  <c r="B715" i="5"/>
  <c r="A715" i="5"/>
  <c r="C714" i="5"/>
  <c r="B714" i="5"/>
  <c r="A714" i="5"/>
  <c r="C713" i="5"/>
  <c r="B713" i="5"/>
  <c r="A713" i="5"/>
  <c r="C707" i="5"/>
  <c r="B707" i="5"/>
  <c r="A707" i="5"/>
  <c r="C706" i="5"/>
  <c r="B706" i="5"/>
  <c r="A706" i="5"/>
  <c r="C705" i="5"/>
  <c r="B705" i="5"/>
  <c r="A705" i="5"/>
  <c r="C704" i="5"/>
  <c r="B704" i="5"/>
  <c r="A704" i="5"/>
  <c r="C703" i="5"/>
  <c r="B703" i="5"/>
  <c r="A703" i="5"/>
  <c r="C702" i="5"/>
  <c r="B702" i="5"/>
  <c r="A702" i="5"/>
  <c r="C701" i="5"/>
  <c r="B701" i="5"/>
  <c r="A701" i="5"/>
  <c r="C700" i="5"/>
  <c r="B700" i="5"/>
  <c r="A700" i="5"/>
  <c r="C699" i="5"/>
  <c r="B699" i="5"/>
  <c r="A699" i="5"/>
  <c r="C698" i="5"/>
  <c r="B698" i="5"/>
  <c r="A698" i="5"/>
  <c r="C694" i="5"/>
  <c r="B694" i="5"/>
  <c r="A694" i="5"/>
  <c r="C693" i="5"/>
  <c r="B693" i="5"/>
  <c r="A693" i="5"/>
  <c r="C692" i="5"/>
  <c r="B692" i="5"/>
  <c r="A692" i="5"/>
  <c r="C691" i="5"/>
  <c r="B691" i="5"/>
  <c r="A691" i="5"/>
  <c r="C690" i="5"/>
  <c r="B690" i="5"/>
  <c r="A690" i="5"/>
  <c r="C686" i="5"/>
  <c r="B686" i="5"/>
  <c r="A686" i="5"/>
  <c r="C685" i="5"/>
  <c r="B685" i="5"/>
  <c r="A685" i="5"/>
  <c r="C684" i="5"/>
  <c r="B684" i="5"/>
  <c r="A684" i="5"/>
  <c r="C680" i="5"/>
  <c r="B680" i="5"/>
  <c r="A680" i="5"/>
  <c r="C679" i="5"/>
  <c r="B679" i="5"/>
  <c r="A679" i="5"/>
  <c r="C678" i="5"/>
  <c r="B678" i="5"/>
  <c r="A678" i="5"/>
  <c r="C674" i="5"/>
  <c r="B674" i="5"/>
  <c r="A674" i="5"/>
  <c r="C673" i="5"/>
  <c r="B673" i="5"/>
  <c r="A673" i="5"/>
  <c r="C672" i="5"/>
  <c r="B672" i="5"/>
  <c r="A672" i="5"/>
  <c r="C666" i="5"/>
  <c r="B666" i="5"/>
  <c r="A666" i="5"/>
  <c r="C665" i="5"/>
  <c r="B665" i="5"/>
  <c r="A665" i="5"/>
  <c r="C664" i="5"/>
  <c r="B664" i="5"/>
  <c r="A664" i="5"/>
  <c r="C663" i="5"/>
  <c r="B663" i="5"/>
  <c r="A663" i="5"/>
  <c r="C662" i="5"/>
  <c r="B662" i="5"/>
  <c r="A662" i="5"/>
  <c r="C661" i="5"/>
  <c r="B661" i="5"/>
  <c r="A661" i="5"/>
  <c r="C660" i="5"/>
  <c r="B660" i="5"/>
  <c r="A660" i="5"/>
  <c r="C659" i="5"/>
  <c r="B659" i="5"/>
  <c r="A659" i="5"/>
  <c r="C658" i="5"/>
  <c r="B658" i="5"/>
  <c r="A658" i="5"/>
  <c r="C654" i="5"/>
  <c r="B654" i="5"/>
  <c r="A654" i="5"/>
  <c r="C653" i="5"/>
  <c r="B653" i="5"/>
  <c r="A653" i="5"/>
  <c r="C652" i="5"/>
  <c r="B652" i="5"/>
  <c r="A652" i="5"/>
  <c r="C651" i="5"/>
  <c r="B651" i="5"/>
  <c r="A651" i="5"/>
  <c r="C647" i="5"/>
  <c r="B647" i="5"/>
  <c r="A647" i="5"/>
  <c r="C646" i="5"/>
  <c r="B646" i="5"/>
  <c r="A646" i="5"/>
  <c r="C645" i="5"/>
  <c r="B645" i="5"/>
  <c r="A645" i="5"/>
  <c r="C641" i="5"/>
  <c r="B641" i="5"/>
  <c r="A641" i="5"/>
  <c r="C640" i="5"/>
  <c r="B640" i="5"/>
  <c r="A640" i="5"/>
  <c r="C639" i="5"/>
  <c r="B639" i="5"/>
  <c r="A639" i="5"/>
  <c r="C638" i="5"/>
  <c r="B638" i="5"/>
  <c r="A638" i="5"/>
  <c r="C634" i="5"/>
  <c r="B634" i="5"/>
  <c r="A634" i="5"/>
  <c r="C633" i="5"/>
  <c r="B633" i="5"/>
  <c r="A633" i="5"/>
  <c r="C632" i="5"/>
  <c r="B632" i="5"/>
  <c r="A632" i="5"/>
  <c r="C631" i="5"/>
  <c r="B631" i="5"/>
  <c r="A631" i="5"/>
  <c r="C630" i="5"/>
  <c r="B630" i="5"/>
  <c r="A630" i="5"/>
  <c r="C629" i="5"/>
  <c r="B629" i="5"/>
  <c r="A629" i="5"/>
  <c r="C628" i="5"/>
  <c r="B628" i="5"/>
  <c r="A628" i="5"/>
  <c r="C627" i="5"/>
  <c r="B627" i="5"/>
  <c r="A627" i="5"/>
  <c r="C623" i="5"/>
  <c r="B623" i="5"/>
  <c r="A623" i="5"/>
  <c r="C622" i="5"/>
  <c r="B622" i="5"/>
  <c r="A622" i="5"/>
  <c r="C621" i="5"/>
  <c r="B621" i="5"/>
  <c r="A621" i="5"/>
  <c r="C620" i="5"/>
  <c r="B620" i="5"/>
  <c r="A620" i="5"/>
  <c r="C616" i="5"/>
  <c r="B616" i="5"/>
  <c r="A616" i="5"/>
  <c r="C615" i="5"/>
  <c r="B615" i="5"/>
  <c r="A615" i="5"/>
  <c r="C614" i="5"/>
  <c r="B614" i="5"/>
  <c r="A614" i="5"/>
  <c r="C613" i="5"/>
  <c r="B613" i="5"/>
  <c r="A613" i="5"/>
  <c r="C612" i="5"/>
  <c r="B612" i="5"/>
  <c r="A612" i="5"/>
  <c r="C611" i="5"/>
  <c r="B611" i="5"/>
  <c r="A611" i="5"/>
  <c r="C610" i="5"/>
  <c r="B610" i="5"/>
  <c r="A610" i="5"/>
  <c r="C609" i="5"/>
  <c r="B609" i="5"/>
  <c r="A609" i="5"/>
  <c r="C608" i="5"/>
  <c r="B608" i="5"/>
  <c r="A608" i="5"/>
  <c r="C607" i="5"/>
  <c r="B607" i="5"/>
  <c r="A607" i="5"/>
  <c r="C606" i="5"/>
  <c r="B606" i="5"/>
  <c r="A606" i="5"/>
  <c r="C605" i="5"/>
  <c r="B605" i="5"/>
  <c r="A605" i="5"/>
  <c r="C604" i="5"/>
  <c r="B604" i="5"/>
  <c r="A604" i="5"/>
  <c r="C603" i="5"/>
  <c r="B603" i="5"/>
  <c r="A603" i="5"/>
  <c r="C599" i="5"/>
  <c r="B599" i="5"/>
  <c r="A599" i="5"/>
  <c r="C595" i="5"/>
  <c r="B595" i="5"/>
  <c r="A595" i="5"/>
  <c r="C594" i="5"/>
  <c r="B594" i="5"/>
  <c r="A594" i="5"/>
  <c r="C593" i="5"/>
  <c r="B593" i="5"/>
  <c r="A593" i="5"/>
  <c r="C592" i="5"/>
  <c r="B592" i="5"/>
  <c r="A592" i="5"/>
  <c r="C591" i="5"/>
  <c r="B591" i="5"/>
  <c r="A591" i="5"/>
  <c r="C590" i="5"/>
  <c r="B590" i="5"/>
  <c r="A590" i="5"/>
  <c r="C589" i="5"/>
  <c r="B589" i="5"/>
  <c r="A589" i="5"/>
  <c r="C588" i="5"/>
  <c r="B588" i="5"/>
  <c r="A588" i="5"/>
  <c r="C587" i="5"/>
  <c r="B587" i="5"/>
  <c r="A587" i="5"/>
  <c r="C583" i="5"/>
  <c r="B583" i="5"/>
  <c r="A583" i="5"/>
  <c r="C582" i="5"/>
  <c r="B582" i="5"/>
  <c r="A582" i="5"/>
  <c r="C581" i="5"/>
  <c r="B581" i="5"/>
  <c r="A581" i="5"/>
  <c r="C580" i="5"/>
  <c r="B580" i="5"/>
  <c r="A580" i="5"/>
  <c r="C576" i="5"/>
  <c r="B576" i="5"/>
  <c r="A576" i="5"/>
  <c r="C575" i="5"/>
  <c r="B575" i="5"/>
  <c r="A575" i="5"/>
  <c r="C574" i="5"/>
  <c r="B574" i="5"/>
  <c r="A574" i="5"/>
  <c r="C573" i="5"/>
  <c r="B573" i="5"/>
  <c r="A573" i="5"/>
  <c r="C572" i="5"/>
  <c r="B572" i="5"/>
  <c r="A572" i="5"/>
  <c r="C571" i="5"/>
  <c r="B571" i="5"/>
  <c r="A571" i="5"/>
  <c r="C570" i="5"/>
  <c r="B570" i="5"/>
  <c r="A570" i="5"/>
  <c r="C569" i="5"/>
  <c r="B569" i="5"/>
  <c r="A569" i="5"/>
  <c r="C568" i="5"/>
  <c r="B568" i="5"/>
  <c r="A568" i="5"/>
  <c r="C567" i="5"/>
  <c r="B567" i="5"/>
  <c r="A567" i="5"/>
  <c r="C563" i="5"/>
  <c r="B563" i="5"/>
  <c r="A563" i="5"/>
  <c r="C562" i="5"/>
  <c r="B562" i="5"/>
  <c r="A562" i="5"/>
  <c r="C561" i="5"/>
  <c r="B561" i="5"/>
  <c r="A561" i="5"/>
  <c r="C560" i="5"/>
  <c r="B560" i="5"/>
  <c r="A560" i="5"/>
  <c r="C559" i="5"/>
  <c r="B559" i="5"/>
  <c r="A559" i="5"/>
  <c r="C558" i="5"/>
  <c r="B558" i="5"/>
  <c r="A558" i="5"/>
  <c r="C557" i="5"/>
  <c r="B557" i="5"/>
  <c r="A557" i="5"/>
  <c r="C556" i="5"/>
  <c r="B556" i="5"/>
  <c r="A556" i="5"/>
  <c r="F550" i="5"/>
  <c r="E550" i="5"/>
  <c r="D550" i="5"/>
  <c r="C550" i="5"/>
  <c r="B550" i="5"/>
  <c r="A550" i="5"/>
  <c r="F549" i="5"/>
  <c r="E549" i="5"/>
  <c r="D549" i="5"/>
  <c r="C549" i="5"/>
  <c r="B549" i="5"/>
  <c r="A549" i="5"/>
  <c r="C543" i="5"/>
  <c r="B543" i="5"/>
  <c r="A543" i="5"/>
  <c r="C542" i="5"/>
  <c r="B542" i="5"/>
  <c r="A542" i="5"/>
  <c r="D538" i="5"/>
  <c r="C538" i="5"/>
  <c r="B538" i="5"/>
  <c r="A538" i="5"/>
  <c r="D537" i="5"/>
  <c r="C537" i="5"/>
  <c r="B537" i="5"/>
  <c r="A537" i="5"/>
  <c r="D533" i="5"/>
  <c r="C533" i="5"/>
  <c r="B533" i="5"/>
  <c r="A533" i="5"/>
  <c r="D532" i="5"/>
  <c r="C532" i="5"/>
  <c r="B532" i="5"/>
  <c r="A532" i="5"/>
  <c r="D531" i="5"/>
  <c r="C531" i="5"/>
  <c r="B531" i="5"/>
  <c r="A531" i="5"/>
  <c r="D530" i="5"/>
  <c r="C530" i="5"/>
  <c r="B530" i="5"/>
  <c r="A530" i="5"/>
  <c r="D526" i="5"/>
  <c r="C526" i="5"/>
  <c r="B526" i="5"/>
  <c r="A526" i="5"/>
  <c r="D525" i="5"/>
  <c r="C525" i="5"/>
  <c r="B525" i="5"/>
  <c r="A525" i="5"/>
  <c r="D524" i="5"/>
  <c r="C524" i="5"/>
  <c r="B524" i="5"/>
  <c r="A524" i="5"/>
  <c r="D523" i="5"/>
  <c r="C523" i="5"/>
  <c r="B523" i="5"/>
  <c r="A523" i="5"/>
  <c r="D519" i="5"/>
  <c r="C519" i="5"/>
  <c r="B519" i="5"/>
  <c r="A519" i="5"/>
  <c r="D518" i="5"/>
  <c r="C518" i="5"/>
  <c r="B518" i="5"/>
  <c r="A518" i="5"/>
  <c r="D517" i="5"/>
  <c r="C517" i="5"/>
  <c r="B517" i="5"/>
  <c r="A517" i="5"/>
  <c r="D516" i="5"/>
  <c r="C516" i="5"/>
  <c r="B516" i="5"/>
  <c r="A516" i="5"/>
  <c r="D515" i="5"/>
  <c r="C515" i="5"/>
  <c r="B515" i="5"/>
  <c r="A515" i="5"/>
  <c r="D514" i="5"/>
  <c r="C514" i="5"/>
  <c r="B514" i="5"/>
  <c r="A514" i="5"/>
  <c r="D513" i="5"/>
  <c r="C513" i="5"/>
  <c r="B513" i="5"/>
  <c r="A513" i="5"/>
  <c r="D512" i="5"/>
  <c r="C512" i="5"/>
  <c r="B512" i="5"/>
  <c r="A512" i="5"/>
  <c r="D511" i="5"/>
  <c r="C511" i="5"/>
  <c r="B511" i="5"/>
  <c r="A511" i="5"/>
  <c r="D505" i="5"/>
  <c r="C505" i="5"/>
  <c r="B505" i="5"/>
  <c r="A505" i="5"/>
  <c r="D504" i="5"/>
  <c r="C504" i="5"/>
  <c r="B504" i="5"/>
  <c r="A504" i="5"/>
  <c r="D500" i="5"/>
  <c r="C500" i="5"/>
  <c r="B500" i="5"/>
  <c r="A500" i="5"/>
  <c r="D499" i="5"/>
  <c r="C499" i="5"/>
  <c r="B499" i="5"/>
  <c r="A499" i="5"/>
  <c r="D495" i="5"/>
  <c r="C495" i="5"/>
  <c r="B495" i="5"/>
  <c r="A495" i="5"/>
  <c r="D494" i="5"/>
  <c r="C494" i="5"/>
  <c r="B494" i="5"/>
  <c r="A494" i="5"/>
  <c r="D493" i="5"/>
  <c r="C493" i="5"/>
  <c r="B493" i="5"/>
  <c r="A493" i="5"/>
  <c r="D489" i="5"/>
  <c r="C489" i="5"/>
  <c r="B489" i="5"/>
  <c r="A489" i="5"/>
  <c r="D488" i="5"/>
  <c r="C488" i="5"/>
  <c r="B488" i="5"/>
  <c r="A488" i="5"/>
  <c r="D484" i="5"/>
  <c r="C484" i="5"/>
  <c r="B484" i="5"/>
  <c r="A484" i="5"/>
  <c r="D483" i="5"/>
  <c r="C483" i="5"/>
  <c r="B483" i="5"/>
  <c r="A483" i="5"/>
  <c r="D482" i="5"/>
  <c r="C482" i="5"/>
  <c r="B482" i="5"/>
  <c r="A482" i="5"/>
  <c r="D478" i="5"/>
  <c r="C478" i="5"/>
  <c r="B478" i="5"/>
  <c r="A478" i="5"/>
  <c r="D477" i="5"/>
  <c r="C477" i="5"/>
  <c r="B477" i="5"/>
  <c r="A477" i="5"/>
  <c r="D476" i="5"/>
  <c r="C476" i="5"/>
  <c r="B476" i="5"/>
  <c r="A476" i="5"/>
  <c r="D472" i="5"/>
  <c r="C472" i="5"/>
  <c r="B472" i="5"/>
  <c r="A472" i="5"/>
  <c r="D468" i="5"/>
  <c r="C468" i="5"/>
  <c r="B468" i="5"/>
  <c r="A468" i="5"/>
  <c r="D467" i="5"/>
  <c r="C467" i="5"/>
  <c r="B467" i="5"/>
  <c r="A467" i="5"/>
  <c r="D463" i="5"/>
  <c r="C463" i="5"/>
  <c r="B463" i="5"/>
  <c r="A463" i="5"/>
  <c r="D462" i="5"/>
  <c r="C462" i="5"/>
  <c r="B462" i="5"/>
  <c r="A462" i="5"/>
  <c r="D458" i="5"/>
  <c r="C458" i="5"/>
  <c r="B458" i="5"/>
  <c r="A458" i="5"/>
  <c r="D457" i="5"/>
  <c r="C457" i="5"/>
  <c r="B457" i="5"/>
  <c r="A457" i="5"/>
  <c r="D456" i="5"/>
  <c r="C456" i="5"/>
  <c r="B456" i="5"/>
  <c r="A456" i="5"/>
  <c r="D455" i="5"/>
  <c r="C455" i="5"/>
  <c r="B455" i="5"/>
  <c r="A455" i="5"/>
  <c r="D454" i="5"/>
  <c r="C454" i="5"/>
  <c r="B454" i="5"/>
  <c r="A454" i="5"/>
  <c r="D453" i="5"/>
  <c r="C453" i="5"/>
  <c r="B453" i="5"/>
  <c r="A453" i="5"/>
  <c r="D452" i="5"/>
  <c r="C452" i="5"/>
  <c r="B452" i="5"/>
  <c r="A452" i="5"/>
  <c r="D448" i="5"/>
  <c r="C448" i="5"/>
  <c r="B448" i="5"/>
  <c r="A448" i="5"/>
  <c r="D447" i="5"/>
  <c r="C447" i="5"/>
  <c r="B447" i="5"/>
  <c r="A447" i="5"/>
  <c r="D446" i="5"/>
  <c r="C446" i="5"/>
  <c r="B446" i="5"/>
  <c r="A446" i="5"/>
  <c r="D445" i="5"/>
  <c r="C445" i="5"/>
  <c r="B445" i="5"/>
  <c r="A445" i="5"/>
  <c r="D441" i="5"/>
  <c r="C441" i="5"/>
  <c r="B441" i="5"/>
  <c r="A441" i="5"/>
  <c r="D440" i="5"/>
  <c r="C440" i="5"/>
  <c r="B440" i="5"/>
  <c r="A440" i="5"/>
  <c r="D436" i="5"/>
  <c r="C436" i="5"/>
  <c r="B436" i="5"/>
  <c r="A436" i="5"/>
  <c r="D435" i="5"/>
  <c r="C435" i="5"/>
  <c r="B435" i="5"/>
  <c r="A435" i="5"/>
  <c r="D431" i="5"/>
  <c r="C431" i="5"/>
  <c r="B431" i="5"/>
  <c r="A431" i="5"/>
  <c r="D430" i="5"/>
  <c r="C430" i="5"/>
  <c r="B430" i="5"/>
  <c r="A430" i="5"/>
  <c r="D429" i="5"/>
  <c r="C429" i="5"/>
  <c r="B429" i="5"/>
  <c r="A429" i="5"/>
  <c r="D428" i="5"/>
  <c r="C428" i="5"/>
  <c r="B428" i="5"/>
  <c r="A428" i="5"/>
  <c r="D427" i="5"/>
  <c r="C427" i="5"/>
  <c r="B427" i="5"/>
  <c r="A427" i="5"/>
  <c r="D426" i="5"/>
  <c r="C426" i="5"/>
  <c r="B426" i="5"/>
  <c r="A426" i="5"/>
  <c r="D425" i="5"/>
  <c r="C425" i="5"/>
  <c r="B425" i="5"/>
  <c r="A425" i="5"/>
  <c r="D424" i="5"/>
  <c r="C424" i="5"/>
  <c r="B424" i="5"/>
  <c r="A424" i="5"/>
  <c r="D420" i="5"/>
  <c r="C420" i="5"/>
  <c r="B420" i="5"/>
  <c r="A420" i="5"/>
  <c r="D416" i="5"/>
  <c r="C416" i="5"/>
  <c r="B416" i="5"/>
  <c r="A416" i="5"/>
  <c r="D415" i="5"/>
  <c r="C415" i="5"/>
  <c r="B415" i="5"/>
  <c r="A415" i="5"/>
  <c r="D414" i="5"/>
  <c r="C414" i="5"/>
  <c r="B414" i="5"/>
  <c r="A414" i="5"/>
  <c r="D413" i="5"/>
  <c r="C413" i="5"/>
  <c r="B413" i="5"/>
  <c r="A413" i="5"/>
  <c r="D409" i="5"/>
  <c r="C409" i="5"/>
  <c r="B409" i="5"/>
  <c r="A409" i="5"/>
  <c r="D408" i="5"/>
  <c r="C408" i="5"/>
  <c r="B408" i="5"/>
  <c r="A408" i="5"/>
  <c r="D407" i="5"/>
  <c r="C407" i="5"/>
  <c r="B407" i="5"/>
  <c r="A407" i="5"/>
  <c r="D406" i="5"/>
  <c r="C406" i="5"/>
  <c r="B406" i="5"/>
  <c r="A406" i="5"/>
  <c r="D402" i="5"/>
  <c r="C402" i="5"/>
  <c r="B402" i="5"/>
  <c r="A402" i="5"/>
  <c r="D401" i="5"/>
  <c r="C401" i="5"/>
  <c r="B401" i="5"/>
  <c r="A401" i="5"/>
  <c r="D400" i="5"/>
  <c r="C400" i="5"/>
  <c r="B400" i="5"/>
  <c r="A400" i="5"/>
  <c r="D396" i="5"/>
  <c r="C396" i="5"/>
  <c r="B396" i="5"/>
  <c r="A396" i="5"/>
  <c r="D395" i="5"/>
  <c r="C395" i="5"/>
  <c r="B395" i="5"/>
  <c r="A395" i="5"/>
  <c r="D394" i="5"/>
  <c r="C394" i="5"/>
  <c r="B394" i="5"/>
  <c r="A394" i="5"/>
  <c r="D393" i="5"/>
  <c r="C393" i="5"/>
  <c r="B393" i="5"/>
  <c r="A393" i="5"/>
  <c r="D392" i="5"/>
  <c r="C392" i="5"/>
  <c r="B392" i="5"/>
  <c r="A392" i="5"/>
  <c r="D388" i="5"/>
  <c r="C388" i="5"/>
  <c r="B388" i="5"/>
  <c r="A388" i="5"/>
  <c r="D387" i="5"/>
  <c r="C387" i="5"/>
  <c r="B387" i="5"/>
  <c r="A387" i="5"/>
  <c r="D386" i="5"/>
  <c r="C386" i="5"/>
  <c r="B386" i="5"/>
  <c r="A386" i="5"/>
  <c r="D385" i="5"/>
  <c r="C385" i="5"/>
  <c r="B385" i="5"/>
  <c r="A385" i="5"/>
  <c r="D384" i="5"/>
  <c r="C384" i="5"/>
  <c r="B384" i="5"/>
  <c r="A384" i="5"/>
  <c r="D383" i="5"/>
  <c r="C383" i="5"/>
  <c r="B383" i="5"/>
  <c r="A383" i="5"/>
  <c r="D382" i="5"/>
  <c r="C382" i="5"/>
  <c r="B382" i="5"/>
  <c r="A382" i="5"/>
  <c r="D381" i="5"/>
  <c r="C381" i="5"/>
  <c r="B381" i="5"/>
  <c r="A381" i="5"/>
  <c r="D377" i="5"/>
  <c r="C377" i="5"/>
  <c r="B377" i="5"/>
  <c r="A377" i="5"/>
  <c r="D376" i="5"/>
  <c r="C376" i="5"/>
  <c r="B376" i="5"/>
  <c r="A376" i="5"/>
  <c r="D375" i="5"/>
  <c r="C375" i="5"/>
  <c r="B375" i="5"/>
  <c r="A375" i="5"/>
  <c r="D374" i="5"/>
  <c r="C374" i="5"/>
  <c r="B374" i="5"/>
  <c r="A374" i="5"/>
  <c r="D373" i="5"/>
  <c r="C373" i="5"/>
  <c r="B373" i="5"/>
  <c r="A373" i="5"/>
  <c r="D369" i="5"/>
  <c r="C369" i="5"/>
  <c r="B369" i="5"/>
  <c r="A369" i="5"/>
  <c r="D368" i="5"/>
  <c r="C368" i="5"/>
  <c r="B368" i="5"/>
  <c r="A368" i="5"/>
  <c r="D367" i="5"/>
  <c r="C367" i="5"/>
  <c r="B367" i="5"/>
  <c r="A367" i="5"/>
  <c r="D366" i="5"/>
  <c r="C366" i="5"/>
  <c r="B366" i="5"/>
  <c r="A366" i="5"/>
  <c r="D362" i="5"/>
  <c r="C362" i="5"/>
  <c r="B362" i="5"/>
  <c r="A362" i="5"/>
  <c r="D361" i="5"/>
  <c r="C361" i="5"/>
  <c r="B361" i="5"/>
  <c r="A361" i="5"/>
  <c r="D360" i="5"/>
  <c r="C360" i="5"/>
  <c r="B360" i="5"/>
  <c r="A360" i="5"/>
  <c r="D359" i="5"/>
  <c r="C359" i="5"/>
  <c r="B359" i="5"/>
  <c r="A359" i="5"/>
  <c r="D358" i="5"/>
  <c r="C358" i="5"/>
  <c r="B358" i="5"/>
  <c r="A358" i="5"/>
  <c r="D357" i="5"/>
  <c r="C357" i="5"/>
  <c r="B357" i="5"/>
  <c r="A357" i="5"/>
  <c r="D353" i="5"/>
  <c r="C353" i="5"/>
  <c r="B353" i="5"/>
  <c r="A353" i="5"/>
  <c r="D352" i="5"/>
  <c r="C352" i="5"/>
  <c r="B352" i="5"/>
  <c r="A352" i="5"/>
  <c r="D348" i="5"/>
  <c r="C348" i="5"/>
  <c r="B348" i="5"/>
  <c r="A348" i="5"/>
  <c r="D347" i="5"/>
  <c r="C347" i="5"/>
  <c r="B347" i="5"/>
  <c r="A347" i="5"/>
  <c r="D346" i="5"/>
  <c r="C346" i="5"/>
  <c r="B346" i="5"/>
  <c r="A346" i="5"/>
  <c r="D345" i="5"/>
  <c r="C345" i="5"/>
  <c r="B345" i="5"/>
  <c r="A345" i="5"/>
  <c r="D341" i="5"/>
  <c r="C341" i="5"/>
  <c r="B341" i="5"/>
  <c r="A341" i="5"/>
  <c r="D340" i="5"/>
  <c r="C340" i="5"/>
  <c r="B340" i="5"/>
  <c r="A340" i="5"/>
  <c r="D336" i="5"/>
  <c r="C336" i="5"/>
  <c r="B336" i="5"/>
  <c r="A336" i="5"/>
  <c r="D335" i="5"/>
  <c r="C335" i="5"/>
  <c r="B335" i="5"/>
  <c r="A335" i="5"/>
  <c r="D334" i="5"/>
  <c r="C334" i="5"/>
  <c r="B334" i="5"/>
  <c r="A334" i="5"/>
  <c r="D330" i="5"/>
  <c r="C330" i="5"/>
  <c r="B330" i="5"/>
  <c r="A330" i="5"/>
  <c r="D329" i="5"/>
  <c r="C329" i="5"/>
  <c r="B329" i="5"/>
  <c r="A329" i="5"/>
  <c r="D328" i="5"/>
  <c r="C328" i="5"/>
  <c r="B328" i="5"/>
  <c r="A328" i="5"/>
  <c r="D327" i="5"/>
  <c r="C327" i="5"/>
  <c r="B327" i="5"/>
  <c r="A327" i="5"/>
  <c r="D326" i="5"/>
  <c r="C326" i="5"/>
  <c r="B326" i="5"/>
  <c r="A326" i="5"/>
  <c r="A320" i="5"/>
  <c r="A319" i="5"/>
  <c r="A318" i="5"/>
  <c r="D315" i="5"/>
  <c r="C315" i="5"/>
  <c r="B315" i="5"/>
  <c r="A315" i="5"/>
  <c r="D314" i="5"/>
  <c r="C314" i="5"/>
  <c r="B314" i="5"/>
  <c r="A314" i="5"/>
  <c r="D310" i="5"/>
  <c r="C310" i="5"/>
  <c r="B310" i="5"/>
  <c r="A310" i="5"/>
  <c r="D309" i="5"/>
  <c r="C309" i="5"/>
  <c r="B309" i="5"/>
  <c r="A309" i="5"/>
  <c r="D308" i="5"/>
  <c r="C308" i="5"/>
  <c r="B308" i="5"/>
  <c r="A308" i="5"/>
  <c r="D307" i="5"/>
  <c r="C307" i="5"/>
  <c r="B307" i="5"/>
  <c r="A307" i="5"/>
  <c r="D306" i="5"/>
  <c r="C306" i="5"/>
  <c r="B306" i="5"/>
  <c r="A306" i="5"/>
  <c r="D305" i="5"/>
  <c r="C305" i="5"/>
  <c r="B305" i="5"/>
  <c r="A305" i="5"/>
  <c r="D304" i="5"/>
  <c r="C304" i="5"/>
  <c r="B304" i="5"/>
  <c r="A304" i="5"/>
  <c r="D300" i="5"/>
  <c r="C300" i="5"/>
  <c r="B300" i="5"/>
  <c r="A300" i="5"/>
  <c r="D299" i="5"/>
  <c r="C299" i="5"/>
  <c r="B299" i="5"/>
  <c r="A299" i="5"/>
  <c r="D298" i="5"/>
  <c r="C298" i="5"/>
  <c r="B298" i="5"/>
  <c r="A298" i="5"/>
  <c r="D297" i="5"/>
  <c r="C297" i="5"/>
  <c r="B297" i="5"/>
  <c r="A297"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1" i="5"/>
  <c r="C281" i="5"/>
  <c r="B281" i="5"/>
  <c r="A281" i="5"/>
  <c r="D280" i="5"/>
  <c r="C280" i="5"/>
  <c r="B280" i="5"/>
  <c r="A280" i="5"/>
  <c r="D279" i="5"/>
  <c r="C279" i="5"/>
  <c r="B279" i="5"/>
  <c r="A279" i="5"/>
  <c r="D275" i="5"/>
  <c r="C275" i="5"/>
  <c r="B275" i="5"/>
  <c r="A275" i="5"/>
  <c r="D274" i="5"/>
  <c r="C274" i="5"/>
  <c r="B274" i="5"/>
  <c r="A274" i="5"/>
  <c r="B273" i="5"/>
  <c r="A273" i="5"/>
  <c r="D272" i="5"/>
  <c r="C272" i="5"/>
  <c r="B272" i="5"/>
  <c r="A272" i="5"/>
  <c r="D271" i="5"/>
  <c r="C271" i="5"/>
  <c r="B271" i="5"/>
  <c r="A271" i="5"/>
  <c r="B270" i="5"/>
  <c r="A270" i="5"/>
  <c r="D269" i="5"/>
  <c r="C269" i="5"/>
  <c r="B269" i="5"/>
  <c r="A269" i="5"/>
  <c r="D268" i="5"/>
  <c r="C268" i="5"/>
  <c r="B268" i="5"/>
  <c r="A268" i="5"/>
  <c r="A264" i="5"/>
  <c r="A263" i="5"/>
  <c r="A262" i="5"/>
  <c r="A261" i="5"/>
  <c r="A260" i="5"/>
  <c r="A259" i="5"/>
  <c r="A258" i="5"/>
  <c r="A257" i="5"/>
  <c r="E254" i="5"/>
  <c r="D254" i="5"/>
  <c r="C254" i="5"/>
  <c r="B254" i="5"/>
  <c r="A254" i="5"/>
  <c r="E253" i="5"/>
  <c r="D253" i="5"/>
  <c r="C253" i="5"/>
  <c r="B253" i="5"/>
  <c r="A253" i="5"/>
  <c r="E252" i="5"/>
  <c r="D252" i="5"/>
  <c r="C252" i="5"/>
  <c r="B252" i="5"/>
  <c r="A252" i="5"/>
  <c r="E251" i="5"/>
  <c r="D251" i="5"/>
  <c r="C251" i="5"/>
  <c r="B251" i="5"/>
  <c r="A251" i="5"/>
  <c r="E250" i="5"/>
  <c r="D250" i="5"/>
  <c r="C250" i="5"/>
  <c r="B250" i="5"/>
  <c r="E246" i="5"/>
  <c r="D246" i="5"/>
  <c r="C246" i="5"/>
  <c r="B246" i="5"/>
  <c r="A246" i="5"/>
  <c r="E245" i="5"/>
  <c r="D245" i="5"/>
  <c r="C245" i="5"/>
  <c r="B245" i="5"/>
  <c r="A245" i="5"/>
  <c r="E244" i="5"/>
  <c r="D244" i="5"/>
  <c r="C244" i="5"/>
  <c r="B244" i="5"/>
  <c r="A244" i="5"/>
  <c r="E243" i="5"/>
  <c r="D243" i="5"/>
  <c r="C243" i="5"/>
  <c r="B243" i="5"/>
  <c r="A243" i="5"/>
  <c r="E242" i="5"/>
  <c r="D242" i="5"/>
  <c r="C242" i="5"/>
  <c r="B242" i="5"/>
  <c r="A242" i="5"/>
  <c r="E241" i="5"/>
  <c r="D241" i="5"/>
  <c r="C241" i="5"/>
  <c r="B241" i="5"/>
  <c r="A241" i="5"/>
  <c r="E240" i="5"/>
  <c r="D240" i="5"/>
  <c r="C240" i="5"/>
  <c r="B240" i="5"/>
  <c r="A240" i="5"/>
  <c r="E239" i="5"/>
  <c r="D239" i="5"/>
  <c r="C239" i="5"/>
  <c r="B239" i="5"/>
  <c r="A239" i="5"/>
  <c r="A235"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18" i="5"/>
  <c r="C218" i="5"/>
  <c r="B218" i="5"/>
  <c r="A218" i="5"/>
  <c r="D217" i="5"/>
  <c r="C217" i="5"/>
  <c r="B217" i="5"/>
  <c r="A217" i="5"/>
  <c r="D216" i="5"/>
  <c r="C216" i="5"/>
  <c r="B216" i="5"/>
  <c r="A216" i="5"/>
  <c r="D215" i="5"/>
  <c r="C215" i="5"/>
  <c r="B215" i="5"/>
  <c r="A215"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F184" i="5"/>
  <c r="E184" i="5"/>
  <c r="D184" i="5"/>
  <c r="C184" i="5"/>
  <c r="B184" i="5"/>
  <c r="A184" i="5"/>
  <c r="F183" i="5"/>
  <c r="E183" i="5"/>
  <c r="D183" i="5"/>
  <c r="C183" i="5"/>
  <c r="B183" i="5"/>
  <c r="A183" i="5"/>
  <c r="F182" i="5"/>
  <c r="E182" i="5"/>
  <c r="D182" i="5"/>
  <c r="C182" i="5"/>
  <c r="B182" i="5"/>
  <c r="A182" i="5"/>
  <c r="F181" i="5"/>
  <c r="E181" i="5"/>
  <c r="D181" i="5"/>
  <c r="C181" i="5"/>
  <c r="B181" i="5"/>
  <c r="A181" i="5"/>
  <c r="F180" i="5"/>
  <c r="E180" i="5"/>
  <c r="D180" i="5"/>
  <c r="C180" i="5"/>
  <c r="B180" i="5"/>
  <c r="A180" i="5"/>
  <c r="F179" i="5"/>
  <c r="E179" i="5"/>
  <c r="D179" i="5"/>
  <c r="C179" i="5"/>
  <c r="B179" i="5"/>
  <c r="A179" i="5"/>
  <c r="F178" i="5"/>
  <c r="E178" i="5"/>
  <c r="D178" i="5"/>
  <c r="C178" i="5"/>
  <c r="B178" i="5"/>
  <c r="A178" i="5"/>
  <c r="E174" i="5"/>
  <c r="D174" i="5"/>
  <c r="C174" i="5"/>
  <c r="B174" i="5"/>
  <c r="A174" i="5"/>
  <c r="E173" i="5"/>
  <c r="D173" i="5"/>
  <c r="C173" i="5"/>
  <c r="B173" i="5"/>
  <c r="A173" i="5"/>
  <c r="E172" i="5"/>
  <c r="D172" i="5"/>
  <c r="C172" i="5"/>
  <c r="B172" i="5"/>
  <c r="A172" i="5"/>
  <c r="E171" i="5"/>
  <c r="D171" i="5"/>
  <c r="C171" i="5"/>
  <c r="B171" i="5"/>
  <c r="A171" i="5"/>
  <c r="E170" i="5"/>
  <c r="D170" i="5"/>
  <c r="C170" i="5"/>
  <c r="B170" i="5"/>
  <c r="A170" i="5"/>
  <c r="E169" i="5"/>
  <c r="D169" i="5"/>
  <c r="C169" i="5"/>
  <c r="B169" i="5"/>
  <c r="A169" i="5"/>
  <c r="E168" i="5"/>
  <c r="D168" i="5"/>
  <c r="C168" i="5"/>
  <c r="B168" i="5"/>
  <c r="A168" i="5"/>
  <c r="E167" i="5"/>
  <c r="D167" i="5"/>
  <c r="C167" i="5"/>
  <c r="B167" i="5"/>
  <c r="A167" i="5"/>
  <c r="F163" i="5"/>
  <c r="E163" i="5"/>
  <c r="D163" i="5"/>
  <c r="C163" i="5"/>
  <c r="B163" i="5"/>
  <c r="A163" i="5"/>
  <c r="F162" i="5"/>
  <c r="E162" i="5"/>
  <c r="D162" i="5"/>
  <c r="C162" i="5"/>
  <c r="B162" i="5"/>
  <c r="A162" i="5"/>
  <c r="F161" i="5"/>
  <c r="E161" i="5"/>
  <c r="D161" i="5"/>
  <c r="C161" i="5"/>
  <c r="B161" i="5"/>
  <c r="A161" i="5"/>
  <c r="F160" i="5"/>
  <c r="E160" i="5"/>
  <c r="D160" i="5"/>
  <c r="C160" i="5"/>
  <c r="B160" i="5"/>
  <c r="A160" i="5"/>
  <c r="F159" i="5"/>
  <c r="E159" i="5"/>
  <c r="D159" i="5"/>
  <c r="C159" i="5"/>
  <c r="B159" i="5"/>
  <c r="A159" i="5"/>
  <c r="D155" i="5"/>
  <c r="C155" i="5"/>
  <c r="B155" i="5"/>
  <c r="A155" i="5"/>
  <c r="D151" i="5"/>
  <c r="C151" i="5"/>
  <c r="B151" i="5"/>
  <c r="A151" i="5"/>
  <c r="D150" i="5"/>
  <c r="C150" i="5"/>
  <c r="B150" i="5"/>
  <c r="A150" i="5"/>
  <c r="D149" i="5"/>
  <c r="C149" i="5"/>
  <c r="B149" i="5"/>
  <c r="A149" i="5"/>
  <c r="D148" i="5"/>
  <c r="C148" i="5"/>
  <c r="B148" i="5"/>
  <c r="A148"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B132" i="5"/>
  <c r="A132" i="5"/>
  <c r="D131" i="5"/>
  <c r="C131" i="5"/>
  <c r="B131" i="5"/>
  <c r="A131" i="5"/>
  <c r="D130" i="5"/>
  <c r="C130" i="5"/>
  <c r="B130" i="5"/>
  <c r="A130" i="5"/>
  <c r="D129" i="5"/>
  <c r="C129" i="5"/>
  <c r="B129" i="5"/>
  <c r="A129" i="5"/>
  <c r="D128" i="5"/>
  <c r="C128" i="5"/>
  <c r="B128" i="5"/>
  <c r="A128" i="5"/>
  <c r="B124" i="5"/>
  <c r="A124" i="5"/>
  <c r="D123" i="5"/>
  <c r="C123" i="5"/>
  <c r="B123" i="5"/>
  <c r="A123" i="5"/>
  <c r="D122" i="5"/>
  <c r="C122" i="5"/>
  <c r="B122" i="5"/>
  <c r="A122" i="5"/>
  <c r="D121" i="5"/>
  <c r="C121" i="5"/>
  <c r="B121" i="5"/>
  <c r="A121" i="5"/>
  <c r="D120" i="5"/>
  <c r="C120" i="5"/>
  <c r="B120" i="5"/>
  <c r="A120" i="5"/>
  <c r="D119" i="5"/>
  <c r="C119" i="5"/>
  <c r="B119" i="5"/>
  <c r="A119" i="5"/>
  <c r="D115" i="5"/>
  <c r="C115" i="5"/>
  <c r="B115" i="5"/>
  <c r="A115" i="5"/>
  <c r="D114" i="5"/>
  <c r="C114" i="5"/>
  <c r="B114" i="5"/>
  <c r="A114" i="5"/>
  <c r="D113" i="5"/>
  <c r="C113" i="5"/>
  <c r="B113" i="5"/>
  <c r="A113" i="5"/>
  <c r="D112" i="5"/>
  <c r="C112" i="5"/>
  <c r="B112" i="5"/>
  <c r="A112" i="5"/>
  <c r="D108" i="5"/>
  <c r="C108" i="5"/>
  <c r="B108" i="5"/>
  <c r="A108" i="5"/>
  <c r="D107" i="5"/>
  <c r="C107" i="5"/>
  <c r="B107" i="5"/>
  <c r="A107" i="5"/>
  <c r="D106" i="5"/>
  <c r="C106" i="5"/>
  <c r="B106" i="5"/>
  <c r="A106" i="5"/>
  <c r="D102" i="5"/>
  <c r="C102" i="5"/>
  <c r="B102" i="5"/>
  <c r="A102" i="5"/>
  <c r="D101" i="5"/>
  <c r="C101" i="5"/>
  <c r="B101" i="5"/>
  <c r="A101" i="5"/>
  <c r="D100" i="5"/>
  <c r="C100" i="5"/>
  <c r="B100" i="5"/>
  <c r="A100" i="5"/>
  <c r="D99" i="5"/>
  <c r="C99" i="5"/>
  <c r="B99" i="5"/>
  <c r="A99"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6" i="5"/>
  <c r="C66" i="5"/>
  <c r="B66" i="5"/>
  <c r="A66" i="5"/>
  <c r="D65" i="5"/>
  <c r="C65" i="5"/>
  <c r="B65" i="5"/>
  <c r="A65" i="5"/>
  <c r="D64" i="5"/>
  <c r="C64" i="5"/>
  <c r="B64" i="5"/>
  <c r="A64" i="5"/>
  <c r="D63" i="5"/>
  <c r="C63" i="5"/>
  <c r="B63" i="5"/>
  <c r="A63" i="5"/>
  <c r="D62" i="5"/>
  <c r="C62" i="5"/>
  <c r="B62" i="5"/>
  <c r="A62" i="5"/>
  <c r="D61" i="5"/>
  <c r="C61" i="5"/>
  <c r="B61" i="5"/>
  <c r="A61" i="5"/>
  <c r="D57" i="5"/>
  <c r="C57" i="5"/>
  <c r="B57" i="5"/>
  <c r="A57" i="5"/>
  <c r="D56" i="5"/>
  <c r="C56" i="5"/>
  <c r="B56" i="5"/>
  <c r="A56" i="5"/>
  <c r="C55" i="5"/>
  <c r="B55" i="5"/>
  <c r="A55" i="5"/>
  <c r="D54" i="5"/>
  <c r="C54" i="5"/>
  <c r="B54" i="5"/>
  <c r="A54" i="5"/>
  <c r="D53" i="5"/>
  <c r="C53" i="5"/>
  <c r="B53" i="5"/>
  <c r="A53" i="5"/>
  <c r="D52" i="5"/>
  <c r="C52" i="5"/>
  <c r="B52" i="5"/>
  <c r="A52" i="5"/>
  <c r="A48" i="5"/>
  <c r="D46" i="5"/>
  <c r="C46" i="5"/>
  <c r="B46" i="5"/>
  <c r="A46" i="5"/>
  <c r="D45" i="5"/>
  <c r="C45" i="5"/>
  <c r="B45" i="5"/>
  <c r="A45" i="5"/>
  <c r="D44" i="5"/>
  <c r="C44" i="5"/>
  <c r="B44" i="5"/>
  <c r="A44" i="5"/>
  <c r="D43" i="5"/>
  <c r="C43" i="5"/>
  <c r="B43" i="5"/>
  <c r="A43" i="5"/>
  <c r="D42" i="5"/>
  <c r="C42" i="5"/>
  <c r="B42" i="5"/>
  <c r="A42" i="5"/>
  <c r="E41" i="5"/>
  <c r="D41" i="5"/>
  <c r="C41" i="5"/>
  <c r="B41" i="5"/>
  <c r="A41" i="5"/>
  <c r="C37" i="5"/>
  <c r="B37" i="5"/>
  <c r="A37" i="5"/>
  <c r="D36" i="5"/>
  <c r="B36" i="5"/>
  <c r="A36" i="5"/>
  <c r="D35" i="5"/>
  <c r="C35" i="5"/>
  <c r="B35" i="5"/>
  <c r="A35" i="5"/>
  <c r="D34" i="5"/>
  <c r="C34" i="5"/>
  <c r="B34" i="5"/>
  <c r="A34" i="5"/>
  <c r="C30" i="5"/>
  <c r="B30" i="5"/>
  <c r="A30" i="5"/>
  <c r="C29" i="5"/>
  <c r="B29" i="5"/>
  <c r="A29" i="5"/>
  <c r="C28" i="5"/>
  <c r="B28" i="5"/>
  <c r="A28" i="5"/>
  <c r="C27" i="5"/>
  <c r="B27" i="5"/>
  <c r="A27" i="5"/>
  <c r="D26" i="5"/>
  <c r="C26" i="5"/>
  <c r="B26" i="5"/>
  <c r="A26" i="5"/>
  <c r="D25" i="5"/>
  <c r="C25" i="5"/>
  <c r="B25" i="5"/>
  <c r="A25" i="5"/>
  <c r="D21" i="5"/>
  <c r="C21" i="5"/>
  <c r="B21" i="5"/>
  <c r="A21" i="5"/>
  <c r="D20" i="5"/>
  <c r="C20" i="5"/>
  <c r="B20" i="5"/>
  <c r="A20" i="5"/>
  <c r="D19" i="5"/>
  <c r="C19" i="5"/>
  <c r="B19" i="5"/>
  <c r="A19" i="5"/>
  <c r="D18" i="5"/>
  <c r="C18" i="5"/>
  <c r="B18" i="5"/>
  <c r="A18" i="5"/>
  <c r="D17" i="5"/>
  <c r="C17" i="5"/>
  <c r="B17" i="5"/>
  <c r="A17" i="5"/>
  <c r="D13" i="5"/>
  <c r="C13" i="5"/>
  <c r="B13" i="5"/>
  <c r="A13" i="5"/>
  <c r="D12" i="5"/>
  <c r="C12" i="5"/>
  <c r="B12" i="5"/>
  <c r="A12" i="5"/>
  <c r="D11" i="5"/>
  <c r="C11" i="5"/>
  <c r="B11" i="5"/>
  <c r="A11" i="5"/>
  <c r="D10" i="5"/>
  <c r="C10" i="5"/>
  <c r="B10" i="5"/>
  <c r="A10" i="5"/>
  <c r="E4" i="5"/>
  <c r="F22" i="8" l="1"/>
  <c r="E24" i="8" s="1"/>
  <c r="D382" i="4"/>
  <c r="A382" i="4"/>
  <c r="D381" i="4"/>
  <c r="A381" i="4"/>
  <c r="D380" i="4"/>
  <c r="A380" i="4"/>
  <c r="D379" i="4"/>
  <c r="A379" i="4"/>
  <c r="D378" i="4"/>
  <c r="A378" i="4"/>
  <c r="D377" i="4"/>
  <c r="A377" i="4"/>
  <c r="D376" i="4"/>
  <c r="A376" i="4"/>
  <c r="D375" i="4"/>
  <c r="A375" i="4"/>
  <c r="D374" i="4"/>
  <c r="A374" i="4"/>
  <c r="D370" i="4"/>
  <c r="A370" i="4"/>
  <c r="D369" i="4"/>
  <c r="A369" i="4"/>
  <c r="D368" i="4"/>
  <c r="A368" i="4"/>
  <c r="D367" i="4"/>
  <c r="A367" i="4"/>
  <c r="D366" i="4"/>
  <c r="A366" i="4"/>
  <c r="D365" i="4"/>
  <c r="A365" i="4"/>
  <c r="E361" i="4"/>
  <c r="D361" i="4"/>
  <c r="A361" i="4"/>
  <c r="E360" i="4"/>
  <c r="D360" i="4"/>
  <c r="A360" i="4"/>
  <c r="E359" i="4"/>
  <c r="D359" i="4"/>
  <c r="A359" i="4"/>
  <c r="E358" i="4"/>
  <c r="D358" i="4"/>
  <c r="A358" i="4"/>
  <c r="E357" i="4"/>
  <c r="D357" i="4"/>
  <c r="A357" i="4"/>
  <c r="E356" i="4"/>
  <c r="D356" i="4"/>
  <c r="A356" i="4"/>
  <c r="D350" i="4"/>
  <c r="A350" i="4"/>
  <c r="D349" i="4"/>
  <c r="A349" i="4"/>
  <c r="D348" i="4"/>
  <c r="A348" i="4"/>
  <c r="D347" i="4"/>
  <c r="A347" i="4"/>
  <c r="D346" i="4"/>
  <c r="A346" i="4"/>
  <c r="D345" i="4"/>
  <c r="A345" i="4"/>
  <c r="D344" i="4"/>
  <c r="A344" i="4"/>
  <c r="D343" i="4"/>
  <c r="A343" i="4"/>
  <c r="E339" i="4"/>
  <c r="D339" i="4"/>
  <c r="A339" i="4"/>
  <c r="E338" i="4"/>
  <c r="D338" i="4"/>
  <c r="A338" i="4"/>
  <c r="D334" i="4"/>
  <c r="A334" i="4"/>
  <c r="D333" i="4"/>
  <c r="A333" i="4"/>
  <c r="D332" i="4"/>
  <c r="A332" i="4"/>
  <c r="D331" i="4"/>
  <c r="A331" i="4"/>
  <c r="D330" i="4"/>
  <c r="A330" i="4"/>
  <c r="D329" i="4"/>
  <c r="A329" i="4"/>
  <c r="D328" i="4"/>
  <c r="A328" i="4"/>
  <c r="D327" i="4"/>
  <c r="A327" i="4"/>
  <c r="D326" i="4"/>
  <c r="A326" i="4"/>
  <c r="D325" i="4"/>
  <c r="A325" i="4"/>
  <c r="D324" i="4"/>
  <c r="A324" i="4"/>
  <c r="D318" i="4"/>
  <c r="A318" i="4"/>
  <c r="D317" i="4"/>
  <c r="A317" i="4"/>
  <c r="D316" i="4"/>
  <c r="A316" i="4"/>
  <c r="D315" i="4"/>
  <c r="A315" i="4"/>
  <c r="D314" i="4"/>
  <c r="A314" i="4"/>
  <c r="D313" i="4"/>
  <c r="A313" i="4"/>
  <c r="D312" i="4"/>
  <c r="A312" i="4"/>
  <c r="D311" i="4"/>
  <c r="A311" i="4"/>
  <c r="D310" i="4"/>
  <c r="A310" i="4"/>
  <c r="D309" i="4"/>
  <c r="A309" i="4"/>
  <c r="D308" i="4"/>
  <c r="A308" i="4"/>
  <c r="D307" i="4"/>
  <c r="A307" i="4"/>
  <c r="D306" i="4"/>
  <c r="A306" i="4"/>
  <c r="D305" i="4"/>
  <c r="A305" i="4"/>
  <c r="D304" i="4"/>
  <c r="A304" i="4"/>
  <c r="E300" i="4"/>
  <c r="D300" i="4"/>
  <c r="B300" i="4"/>
  <c r="A300" i="4"/>
  <c r="E299" i="4"/>
  <c r="D299" i="4"/>
  <c r="B299" i="4"/>
  <c r="A299" i="4"/>
  <c r="E298" i="4"/>
  <c r="D298" i="4"/>
  <c r="B298" i="4"/>
  <c r="A298" i="4"/>
  <c r="E297" i="4"/>
  <c r="D297" i="4"/>
  <c r="B297" i="4"/>
  <c r="A297" i="4"/>
  <c r="E291" i="4"/>
  <c r="D291" i="4"/>
  <c r="B291" i="4"/>
  <c r="A291" i="4"/>
  <c r="E290" i="4"/>
  <c r="D290" i="4"/>
  <c r="B290" i="4"/>
  <c r="A290" i="4"/>
  <c r="E289" i="4"/>
  <c r="D289" i="4"/>
  <c r="B289" i="4"/>
  <c r="A289" i="4"/>
  <c r="E288" i="4"/>
  <c r="D288" i="4"/>
  <c r="B288" i="4"/>
  <c r="A288" i="4"/>
  <c r="E287" i="4"/>
  <c r="D287" i="4"/>
  <c r="B287" i="4"/>
  <c r="A287" i="4"/>
  <c r="E286" i="4"/>
  <c r="D286" i="4"/>
  <c r="B286" i="4"/>
  <c r="A286" i="4"/>
  <c r="E285" i="4"/>
  <c r="D285" i="4"/>
  <c r="B285" i="4"/>
  <c r="A285" i="4"/>
  <c r="D281" i="4"/>
  <c r="A281" i="4"/>
  <c r="D280" i="4"/>
  <c r="A280" i="4"/>
  <c r="D279" i="4"/>
  <c r="A279" i="4"/>
  <c r="D278" i="4"/>
  <c r="A278" i="4"/>
  <c r="D277" i="4"/>
  <c r="A277" i="4"/>
  <c r="D276" i="4"/>
  <c r="A276" i="4"/>
  <c r="D275" i="4"/>
  <c r="A275" i="4"/>
  <c r="D274" i="4"/>
  <c r="A274" i="4"/>
  <c r="D273" i="4"/>
  <c r="A273" i="4"/>
  <c r="D272" i="4"/>
  <c r="A272" i="4"/>
  <c r="D271" i="4"/>
  <c r="A271" i="4"/>
  <c r="D270" i="4"/>
  <c r="A270" i="4"/>
  <c r="D269" i="4"/>
  <c r="A269" i="4"/>
  <c r="D263" i="4"/>
  <c r="A263" i="4"/>
  <c r="D262" i="4"/>
  <c r="A262" i="4"/>
  <c r="D261" i="4"/>
  <c r="A261" i="4"/>
  <c r="D260" i="4"/>
  <c r="A260" i="4"/>
  <c r="D259" i="4"/>
  <c r="A259" i="4"/>
  <c r="D258" i="4"/>
  <c r="A258" i="4"/>
  <c r="D257" i="4"/>
  <c r="A257" i="4"/>
  <c r="E253" i="4"/>
  <c r="D253" i="4"/>
  <c r="B253" i="4"/>
  <c r="A253" i="4"/>
  <c r="E252" i="4"/>
  <c r="D252" i="4"/>
  <c r="B252" i="4"/>
  <c r="A252" i="4"/>
  <c r="E251" i="4"/>
  <c r="D251" i="4"/>
  <c r="B251" i="4"/>
  <c r="A251" i="4"/>
  <c r="E250" i="4"/>
  <c r="D250" i="4"/>
  <c r="B250" i="4"/>
  <c r="A250" i="4"/>
  <c r="E249" i="4"/>
  <c r="D249" i="4"/>
  <c r="B249" i="4"/>
  <c r="A249" i="4"/>
  <c r="E248" i="4"/>
  <c r="D248" i="4"/>
  <c r="B248" i="4"/>
  <c r="A248" i="4"/>
  <c r="E244" i="4"/>
  <c r="D244" i="4"/>
  <c r="B244" i="4"/>
  <c r="A244" i="4"/>
  <c r="E243" i="4"/>
  <c r="D243" i="4"/>
  <c r="B243" i="4"/>
  <c r="A243" i="4"/>
  <c r="E242" i="4"/>
  <c r="D242" i="4"/>
  <c r="B242" i="4"/>
  <c r="A242" i="4"/>
  <c r="E241" i="4"/>
  <c r="D241" i="4"/>
  <c r="B241" i="4"/>
  <c r="A241" i="4"/>
  <c r="E240" i="4"/>
  <c r="D240" i="4"/>
  <c r="B240" i="4"/>
  <c r="A240" i="4"/>
  <c r="E239" i="4"/>
  <c r="D239" i="4"/>
  <c r="B239" i="4"/>
  <c r="A239" i="4"/>
  <c r="E233" i="4"/>
  <c r="D233" i="4"/>
  <c r="A233" i="4"/>
  <c r="E232" i="4"/>
  <c r="D232" i="4"/>
  <c r="A232" i="4"/>
  <c r="E231" i="4"/>
  <c r="D231" i="4"/>
  <c r="A231" i="4"/>
  <c r="E230" i="4"/>
  <c r="D230" i="4"/>
  <c r="A230" i="4"/>
  <c r="E229" i="4"/>
  <c r="D229" i="4"/>
  <c r="A229" i="4"/>
  <c r="E228" i="4"/>
  <c r="D228" i="4"/>
  <c r="A228" i="4"/>
  <c r="E227" i="4"/>
  <c r="D227" i="4"/>
  <c r="A227" i="4"/>
  <c r="E223" i="4"/>
  <c r="D223" i="4"/>
  <c r="B223" i="4"/>
  <c r="A223" i="4"/>
  <c r="E222" i="4"/>
  <c r="D222" i="4"/>
  <c r="B222" i="4"/>
  <c r="A222" i="4"/>
  <c r="E221" i="4"/>
  <c r="D221" i="4"/>
  <c r="B221" i="4"/>
  <c r="A221" i="4"/>
  <c r="E220" i="4"/>
  <c r="D220" i="4"/>
  <c r="B220" i="4"/>
  <c r="A220" i="4"/>
  <c r="E219" i="4"/>
  <c r="D219" i="4"/>
  <c r="B219" i="4"/>
  <c r="A219" i="4"/>
  <c r="D215" i="4"/>
  <c r="B215" i="4"/>
  <c r="A215" i="4"/>
  <c r="D214" i="4"/>
  <c r="B214" i="4"/>
  <c r="A214" i="4"/>
  <c r="D213" i="4"/>
  <c r="B213" i="4"/>
  <c r="A213" i="4"/>
  <c r="D212" i="4"/>
  <c r="B212" i="4"/>
  <c r="A212" i="4"/>
  <c r="D211" i="4"/>
  <c r="B211" i="4"/>
  <c r="A211" i="4"/>
  <c r="D210" i="4"/>
  <c r="B210" i="4"/>
  <c r="A210" i="4"/>
  <c r="D209" i="4"/>
  <c r="B209" i="4"/>
  <c r="A209" i="4"/>
  <c r="D208" i="4"/>
  <c r="B208" i="4"/>
  <c r="A208" i="4"/>
  <c r="E204" i="4"/>
  <c r="D204" i="4"/>
  <c r="B204" i="4"/>
  <c r="A204" i="4"/>
  <c r="E203" i="4"/>
  <c r="D203" i="4"/>
  <c r="B203" i="4"/>
  <c r="A203" i="4"/>
  <c r="E202" i="4"/>
  <c r="D202" i="4"/>
  <c r="B202" i="4"/>
  <c r="A202" i="4"/>
  <c r="E201" i="4"/>
  <c r="D201" i="4"/>
  <c r="B201" i="4"/>
  <c r="A201" i="4"/>
  <c r="E197" i="4"/>
  <c r="D197" i="4"/>
  <c r="B197" i="4"/>
  <c r="A197" i="4"/>
  <c r="E196" i="4"/>
  <c r="D196" i="4"/>
  <c r="B196" i="4"/>
  <c r="A196" i="4"/>
  <c r="E195" i="4"/>
  <c r="D195" i="4"/>
  <c r="B195" i="4"/>
  <c r="A195" i="4"/>
  <c r="E194" i="4"/>
  <c r="D194" i="4"/>
  <c r="B194" i="4"/>
  <c r="A194" i="4"/>
  <c r="D188" i="4"/>
  <c r="A188" i="4"/>
  <c r="D187" i="4"/>
  <c r="A187" i="4"/>
  <c r="D186" i="4"/>
  <c r="A186" i="4"/>
  <c r="D185" i="4"/>
  <c r="A185" i="4"/>
  <c r="D184" i="4"/>
  <c r="A184" i="4"/>
  <c r="D183" i="4"/>
  <c r="A183" i="4"/>
  <c r="D182" i="4"/>
  <c r="A182" i="4"/>
  <c r="D181" i="4"/>
  <c r="A181" i="4"/>
  <c r="D180" i="4"/>
  <c r="A180" i="4"/>
  <c r="D179" i="4"/>
  <c r="A179" i="4"/>
  <c r="D178" i="4"/>
  <c r="A178" i="4"/>
  <c r="E174" i="4"/>
  <c r="D174" i="4"/>
  <c r="A174" i="4"/>
  <c r="E173" i="4"/>
  <c r="D173" i="4"/>
  <c r="A173" i="4"/>
  <c r="E172" i="4"/>
  <c r="D172" i="4"/>
  <c r="A172" i="4"/>
  <c r="E171" i="4"/>
  <c r="D171" i="4"/>
  <c r="A171" i="4"/>
  <c r="E170" i="4"/>
  <c r="D170" i="4"/>
  <c r="A170" i="4"/>
  <c r="E169" i="4"/>
  <c r="D169" i="4"/>
  <c r="A169" i="4"/>
  <c r="E163" i="4"/>
  <c r="D163" i="4"/>
  <c r="A163" i="4"/>
  <c r="E162" i="4"/>
  <c r="D162" i="4"/>
  <c r="A162" i="4"/>
  <c r="E161" i="4"/>
  <c r="D161" i="4"/>
  <c r="A161" i="4"/>
  <c r="E160" i="4"/>
  <c r="D160" i="4"/>
  <c r="A160" i="4"/>
  <c r="E159" i="4"/>
  <c r="D159" i="4"/>
  <c r="A159" i="4"/>
  <c r="E158" i="4"/>
  <c r="D158" i="4"/>
  <c r="A158" i="4"/>
  <c r="E154" i="4"/>
  <c r="D154" i="4"/>
  <c r="A154" i="4"/>
  <c r="E153" i="4"/>
  <c r="D153" i="4"/>
  <c r="A153" i="4"/>
  <c r="E152" i="4"/>
  <c r="D152" i="4"/>
  <c r="A152" i="4"/>
  <c r="E146" i="4"/>
  <c r="D146" i="4"/>
  <c r="A146" i="4"/>
  <c r="E145" i="4"/>
  <c r="D145" i="4"/>
  <c r="A145" i="4"/>
  <c r="E144" i="4"/>
  <c r="D144" i="4"/>
  <c r="A144" i="4"/>
  <c r="E143" i="4"/>
  <c r="D143" i="4"/>
  <c r="A143" i="4"/>
  <c r="D137" i="4"/>
  <c r="B137" i="4"/>
  <c r="A137" i="4"/>
  <c r="D136" i="4"/>
  <c r="B136" i="4"/>
  <c r="A136" i="4"/>
  <c r="D135" i="4"/>
  <c r="B135" i="4"/>
  <c r="A135" i="4"/>
  <c r="D134" i="4"/>
  <c r="B134" i="4"/>
  <c r="A134" i="4"/>
  <c r="D133" i="4"/>
  <c r="B133" i="4"/>
  <c r="A133" i="4"/>
  <c r="D132" i="4"/>
  <c r="B132" i="4"/>
  <c r="A132" i="4"/>
  <c r="D131" i="4"/>
  <c r="B131" i="4"/>
  <c r="A131" i="4"/>
  <c r="D130" i="4"/>
  <c r="B130" i="4"/>
  <c r="A130" i="4"/>
  <c r="D126" i="4"/>
  <c r="B126" i="4"/>
  <c r="A126" i="4"/>
  <c r="D125" i="4"/>
  <c r="B125" i="4"/>
  <c r="A125" i="4"/>
  <c r="D121" i="4"/>
  <c r="B121" i="4"/>
  <c r="A121" i="4"/>
  <c r="D120" i="4"/>
  <c r="B120" i="4"/>
  <c r="A120" i="4"/>
  <c r="E114" i="4"/>
  <c r="D114" i="4"/>
  <c r="B114" i="4"/>
  <c r="A114" i="4"/>
  <c r="E113" i="4"/>
  <c r="D113" i="4"/>
  <c r="B113" i="4"/>
  <c r="A113" i="4"/>
  <c r="D109" i="4"/>
  <c r="B109" i="4"/>
  <c r="A109" i="4"/>
  <c r="D108" i="4"/>
  <c r="B108" i="4"/>
  <c r="A108" i="4"/>
  <c r="D107" i="4"/>
  <c r="B107" i="4"/>
  <c r="A107" i="4"/>
  <c r="E103" i="4"/>
  <c r="D103" i="4"/>
  <c r="B103" i="4"/>
  <c r="A103" i="4"/>
  <c r="E102" i="4"/>
  <c r="D102" i="4"/>
  <c r="B102" i="4"/>
  <c r="A102" i="4"/>
  <c r="E101" i="4"/>
  <c r="D101" i="4"/>
  <c r="B101" i="4"/>
  <c r="A101" i="4"/>
  <c r="E100" i="4"/>
  <c r="D100" i="4"/>
  <c r="B100" i="4"/>
  <c r="A100" i="4"/>
  <c r="E99" i="4"/>
  <c r="D99" i="4"/>
  <c r="B99" i="4"/>
  <c r="A99" i="4"/>
  <c r="E98" i="4"/>
  <c r="D98" i="4"/>
  <c r="B98" i="4"/>
  <c r="A98" i="4"/>
  <c r="E97" i="4"/>
  <c r="D97" i="4"/>
  <c r="B97" i="4"/>
  <c r="A97" i="4"/>
  <c r="D91" i="4"/>
  <c r="A91" i="4"/>
  <c r="D90" i="4"/>
  <c r="A90" i="4"/>
  <c r="D89" i="4"/>
  <c r="A89" i="4"/>
  <c r="D85" i="4"/>
  <c r="B85" i="4"/>
  <c r="A85" i="4"/>
  <c r="D84" i="4"/>
  <c r="B84" i="4"/>
  <c r="A84" i="4"/>
  <c r="D83" i="4"/>
  <c r="B83" i="4"/>
  <c r="A83" i="4"/>
  <c r="D79" i="4"/>
  <c r="B79" i="4"/>
  <c r="A79" i="4"/>
  <c r="D78" i="4"/>
  <c r="B78" i="4"/>
  <c r="A78" i="4"/>
  <c r="E74" i="4"/>
  <c r="D74" i="4"/>
  <c r="B74" i="4"/>
  <c r="A74" i="4"/>
  <c r="E73" i="4"/>
  <c r="D73" i="4"/>
  <c r="B73" i="4"/>
  <c r="A73" i="4"/>
  <c r="E72" i="4"/>
  <c r="D72" i="4"/>
  <c r="B72" i="4"/>
  <c r="A72" i="4"/>
  <c r="E71" i="4"/>
  <c r="D71" i="4"/>
  <c r="B71" i="4"/>
  <c r="A71" i="4"/>
  <c r="E70" i="4"/>
  <c r="D70" i="4"/>
  <c r="B70" i="4"/>
  <c r="A70" i="4"/>
  <c r="E69" i="4"/>
  <c r="D69" i="4"/>
  <c r="B69" i="4"/>
  <c r="A69" i="4"/>
  <c r="E68" i="4"/>
  <c r="D68" i="4"/>
  <c r="B68" i="4"/>
  <c r="A68" i="4"/>
  <c r="E67" i="4"/>
  <c r="D67" i="4"/>
  <c r="B67" i="4"/>
  <c r="A67" i="4"/>
  <c r="E66" i="4"/>
  <c r="D66" i="4"/>
  <c r="B66" i="4"/>
  <c r="A66" i="4"/>
  <c r="E65" i="4"/>
  <c r="D65" i="4"/>
  <c r="B65" i="4"/>
  <c r="A65" i="4"/>
  <c r="D61" i="4"/>
  <c r="C61" i="4"/>
  <c r="B61" i="4"/>
  <c r="A61" i="4"/>
  <c r="D60" i="4"/>
  <c r="C60" i="4"/>
  <c r="B60" i="4"/>
  <c r="A60" i="4"/>
  <c r="D59" i="4"/>
  <c r="C59" i="4"/>
  <c r="B59" i="4"/>
  <c r="A59" i="4"/>
  <c r="D53" i="4"/>
  <c r="B53" i="4"/>
  <c r="A53" i="4"/>
  <c r="D52" i="4"/>
  <c r="B52" i="4"/>
  <c r="A52" i="4"/>
  <c r="D51" i="4"/>
  <c r="B51" i="4"/>
  <c r="A51" i="4"/>
  <c r="D50" i="4"/>
  <c r="B50" i="4"/>
  <c r="A50" i="4"/>
  <c r="D49" i="4"/>
  <c r="B49" i="4"/>
  <c r="A49" i="4"/>
  <c r="D48" i="4"/>
  <c r="B48" i="4"/>
  <c r="A48" i="4"/>
  <c r="D42" i="4"/>
  <c r="B42" i="4"/>
  <c r="A42" i="4"/>
  <c r="D41" i="4"/>
  <c r="B41" i="4"/>
  <c r="A41" i="4"/>
  <c r="D40" i="4"/>
  <c r="B40" i="4"/>
  <c r="A40" i="4"/>
  <c r="D39" i="4"/>
  <c r="B39" i="4"/>
  <c r="A39" i="4"/>
  <c r="D38" i="4"/>
  <c r="B38" i="4"/>
  <c r="A38" i="4"/>
  <c r="E34" i="4"/>
  <c r="D34" i="4"/>
  <c r="A34" i="4"/>
  <c r="E33" i="4"/>
  <c r="D33" i="4"/>
  <c r="A33" i="4"/>
  <c r="E32" i="4"/>
  <c r="D32" i="4"/>
  <c r="A32" i="4"/>
  <c r="E28" i="4"/>
  <c r="D28" i="4"/>
  <c r="A28" i="4"/>
  <c r="E27" i="4"/>
  <c r="D27" i="4"/>
  <c r="A27" i="4"/>
  <c r="E26" i="4"/>
  <c r="D26" i="4"/>
  <c r="A26" i="4"/>
  <c r="E22" i="4"/>
  <c r="D22" i="4"/>
  <c r="A22" i="4"/>
  <c r="E21" i="4"/>
  <c r="D21" i="4"/>
  <c r="A21" i="4"/>
  <c r="E20" i="4"/>
  <c r="D20" i="4"/>
  <c r="A20" i="4"/>
  <c r="D14" i="4"/>
  <c r="B14" i="4"/>
  <c r="A14" i="4"/>
  <c r="D13" i="4"/>
  <c r="B13" i="4"/>
  <c r="A13" i="4"/>
  <c r="D12" i="4"/>
  <c r="B12" i="4"/>
  <c r="A12" i="4"/>
  <c r="D11" i="4"/>
  <c r="B11" i="4"/>
  <c r="A11" i="4"/>
  <c r="D10" i="4"/>
  <c r="B10" i="4"/>
  <c r="A10" i="4"/>
  <c r="C646" i="3"/>
  <c r="B646" i="3"/>
  <c r="A646" i="3"/>
  <c r="C645" i="3"/>
  <c r="B645" i="3"/>
  <c r="A645" i="3"/>
  <c r="C644" i="3"/>
  <c r="B644" i="3"/>
  <c r="A644" i="3"/>
  <c r="C638" i="3"/>
  <c r="B638" i="3"/>
  <c r="A638" i="3"/>
  <c r="C637" i="3"/>
  <c r="B637" i="3"/>
  <c r="A637" i="3"/>
  <c r="C636" i="3"/>
  <c r="B636" i="3"/>
  <c r="A636" i="3"/>
  <c r="C635" i="3"/>
  <c r="B635" i="3"/>
  <c r="A635" i="3"/>
  <c r="C634" i="3"/>
  <c r="B634" i="3"/>
  <c r="A634" i="3"/>
  <c r="C633" i="3"/>
  <c r="B633" i="3"/>
  <c r="A633" i="3"/>
  <c r="C632" i="3"/>
  <c r="B632" i="3"/>
  <c r="A632" i="3"/>
  <c r="C631" i="3"/>
  <c r="B631" i="3"/>
  <c r="A631" i="3"/>
  <c r="C630" i="3"/>
  <c r="B630" i="3"/>
  <c r="A630" i="3"/>
  <c r="C626" i="3"/>
  <c r="B626" i="3"/>
  <c r="A626" i="3"/>
  <c r="C625" i="3"/>
  <c r="B625" i="3"/>
  <c r="A625" i="3"/>
  <c r="C624" i="3"/>
  <c r="B624" i="3"/>
  <c r="A624" i="3"/>
  <c r="C623" i="3"/>
  <c r="B623" i="3"/>
  <c r="A623" i="3"/>
  <c r="C622" i="3"/>
  <c r="B622" i="3"/>
  <c r="A622" i="3"/>
  <c r="C621" i="3"/>
  <c r="B621" i="3"/>
  <c r="A621" i="3"/>
  <c r="D617" i="3"/>
  <c r="C617" i="3"/>
  <c r="B617" i="3"/>
  <c r="A617" i="3"/>
  <c r="D616" i="3"/>
  <c r="C616" i="3"/>
  <c r="B616" i="3"/>
  <c r="A616" i="3"/>
  <c r="D615" i="3"/>
  <c r="C615" i="3"/>
  <c r="B615" i="3"/>
  <c r="A615" i="3"/>
  <c r="D614" i="3"/>
  <c r="C614" i="3"/>
  <c r="B614" i="3"/>
  <c r="A614" i="3"/>
  <c r="D613" i="3"/>
  <c r="C613" i="3"/>
  <c r="B613" i="3"/>
  <c r="A613" i="3"/>
  <c r="D612" i="3"/>
  <c r="C612" i="3"/>
  <c r="B612" i="3"/>
  <c r="A612" i="3"/>
  <c r="C608" i="3"/>
  <c r="B608" i="3"/>
  <c r="A608" i="3"/>
  <c r="C607" i="3"/>
  <c r="B607" i="3"/>
  <c r="A607" i="3"/>
  <c r="C606" i="3"/>
  <c r="B606" i="3"/>
  <c r="A606" i="3"/>
  <c r="C602" i="3"/>
  <c r="B602" i="3"/>
  <c r="A602" i="3"/>
  <c r="C601" i="3"/>
  <c r="B601" i="3"/>
  <c r="A601" i="3"/>
  <c r="C600" i="3"/>
  <c r="B600" i="3"/>
  <c r="A600" i="3"/>
  <c r="C599" i="3"/>
  <c r="B599" i="3"/>
  <c r="A599" i="3"/>
  <c r="C598" i="3"/>
  <c r="B598" i="3"/>
  <c r="A598" i="3"/>
  <c r="D594" i="3"/>
  <c r="C594" i="3"/>
  <c r="B594" i="3"/>
  <c r="A594" i="3"/>
  <c r="D593" i="3"/>
  <c r="C593" i="3"/>
  <c r="B593" i="3"/>
  <c r="A593" i="3"/>
  <c r="C589" i="3"/>
  <c r="B589" i="3"/>
  <c r="A589" i="3"/>
  <c r="C588" i="3"/>
  <c r="B588" i="3"/>
  <c r="A588" i="3"/>
  <c r="C587" i="3"/>
  <c r="B587" i="3"/>
  <c r="A587" i="3"/>
  <c r="C586" i="3"/>
  <c r="B586" i="3"/>
  <c r="A586" i="3"/>
  <c r="C585" i="3"/>
  <c r="B585" i="3"/>
  <c r="A585" i="3"/>
  <c r="C584" i="3"/>
  <c r="B584" i="3"/>
  <c r="A584" i="3"/>
  <c r="C583" i="3"/>
  <c r="B583" i="3"/>
  <c r="A583" i="3"/>
  <c r="C582" i="3"/>
  <c r="B582" i="3"/>
  <c r="A582" i="3"/>
  <c r="C581" i="3"/>
  <c r="B581" i="3"/>
  <c r="A581" i="3"/>
  <c r="C580" i="3"/>
  <c r="B580" i="3"/>
  <c r="A580" i="3"/>
  <c r="C579" i="3"/>
  <c r="B579" i="3"/>
  <c r="A579" i="3"/>
  <c r="C578" i="3"/>
  <c r="B578" i="3"/>
  <c r="A578" i="3"/>
  <c r="C574" i="3"/>
  <c r="B574" i="3"/>
  <c r="A574" i="3"/>
  <c r="C573" i="3"/>
  <c r="B573" i="3"/>
  <c r="A573" i="3"/>
  <c r="C572" i="3"/>
  <c r="B572" i="3"/>
  <c r="A572" i="3"/>
  <c r="C571" i="3"/>
  <c r="B571" i="3"/>
  <c r="A571" i="3"/>
  <c r="C570" i="3"/>
  <c r="B570" i="3"/>
  <c r="A570" i="3"/>
  <c r="C569" i="3"/>
  <c r="B569" i="3"/>
  <c r="A569" i="3"/>
  <c r="C568" i="3"/>
  <c r="B568" i="3"/>
  <c r="A568" i="3"/>
  <c r="C567" i="3"/>
  <c r="B567" i="3"/>
  <c r="A567" i="3"/>
  <c r="C566" i="3"/>
  <c r="B566" i="3"/>
  <c r="A566" i="3"/>
  <c r="C565" i="3"/>
  <c r="B565" i="3"/>
  <c r="A565" i="3"/>
  <c r="C564" i="3"/>
  <c r="B564" i="3"/>
  <c r="A564" i="3"/>
  <c r="C563" i="3"/>
  <c r="B563" i="3"/>
  <c r="A563" i="3"/>
  <c r="C562" i="3"/>
  <c r="B562" i="3"/>
  <c r="A562" i="3"/>
  <c r="C561" i="3"/>
  <c r="B561" i="3"/>
  <c r="A561" i="3"/>
  <c r="C560" i="3"/>
  <c r="B560" i="3"/>
  <c r="A560" i="3"/>
  <c r="C559" i="3"/>
  <c r="B559" i="3"/>
  <c r="A559" i="3"/>
  <c r="D555" i="3"/>
  <c r="C555" i="3"/>
  <c r="B555" i="3"/>
  <c r="A555" i="3"/>
  <c r="D554" i="3"/>
  <c r="C554" i="3"/>
  <c r="B554" i="3"/>
  <c r="A554" i="3"/>
  <c r="D553" i="3"/>
  <c r="C553" i="3"/>
  <c r="B553" i="3"/>
  <c r="A553" i="3"/>
  <c r="D552" i="3"/>
  <c r="C552" i="3"/>
  <c r="B552" i="3"/>
  <c r="A552" i="3"/>
  <c r="D548" i="3"/>
  <c r="C548" i="3"/>
  <c r="B548" i="3"/>
  <c r="A548" i="3"/>
  <c r="D547" i="3"/>
  <c r="C547" i="3"/>
  <c r="B547" i="3"/>
  <c r="A547" i="3"/>
  <c r="D546" i="3"/>
  <c r="C546" i="3"/>
  <c r="B546" i="3"/>
  <c r="A546" i="3"/>
  <c r="D545" i="3"/>
  <c r="C545" i="3"/>
  <c r="B545" i="3"/>
  <c r="A545" i="3"/>
  <c r="D544" i="3"/>
  <c r="C544" i="3"/>
  <c r="B544" i="3"/>
  <c r="A544" i="3"/>
  <c r="D543" i="3"/>
  <c r="C543" i="3"/>
  <c r="B543" i="3"/>
  <c r="A543" i="3"/>
  <c r="D542" i="3"/>
  <c r="C542" i="3"/>
  <c r="B542" i="3"/>
  <c r="A542" i="3"/>
  <c r="C538" i="3"/>
  <c r="B538" i="3"/>
  <c r="A538" i="3"/>
  <c r="C537" i="3"/>
  <c r="B537" i="3"/>
  <c r="A537" i="3"/>
  <c r="C536" i="3"/>
  <c r="B536" i="3"/>
  <c r="A536" i="3"/>
  <c r="C535" i="3"/>
  <c r="B535" i="3"/>
  <c r="A535" i="3"/>
  <c r="C534" i="3"/>
  <c r="B534" i="3"/>
  <c r="A534" i="3"/>
  <c r="C533" i="3"/>
  <c r="B533" i="3"/>
  <c r="A533" i="3"/>
  <c r="C532" i="3"/>
  <c r="B532" i="3"/>
  <c r="A532" i="3"/>
  <c r="C531" i="3"/>
  <c r="B531" i="3"/>
  <c r="A531" i="3"/>
  <c r="C530" i="3"/>
  <c r="B530" i="3"/>
  <c r="A530" i="3"/>
  <c r="C529" i="3"/>
  <c r="B529" i="3"/>
  <c r="A529" i="3"/>
  <c r="C528" i="3"/>
  <c r="B528" i="3"/>
  <c r="A528" i="3"/>
  <c r="C527" i="3"/>
  <c r="B527" i="3"/>
  <c r="A527" i="3"/>
  <c r="C526" i="3"/>
  <c r="B526" i="3"/>
  <c r="A526" i="3"/>
  <c r="C522" i="3"/>
  <c r="B522" i="3"/>
  <c r="A522" i="3"/>
  <c r="C521" i="3"/>
  <c r="B521" i="3"/>
  <c r="A521" i="3"/>
  <c r="C520" i="3"/>
  <c r="B520" i="3"/>
  <c r="A520" i="3"/>
  <c r="C519" i="3"/>
  <c r="B519" i="3"/>
  <c r="A519" i="3"/>
  <c r="C518" i="3"/>
  <c r="B518" i="3"/>
  <c r="A518" i="3"/>
  <c r="C517" i="3"/>
  <c r="B517" i="3"/>
  <c r="A517" i="3"/>
  <c r="C516" i="3"/>
  <c r="B516" i="3"/>
  <c r="A516" i="3"/>
  <c r="D512" i="3"/>
  <c r="C512" i="3"/>
  <c r="B512" i="3"/>
  <c r="A512" i="3"/>
  <c r="D511" i="3"/>
  <c r="C511" i="3"/>
  <c r="B511" i="3"/>
  <c r="A511" i="3"/>
  <c r="D510" i="3"/>
  <c r="C510" i="3"/>
  <c r="B510" i="3"/>
  <c r="A510" i="3"/>
  <c r="D509" i="3"/>
  <c r="C509" i="3"/>
  <c r="B509" i="3"/>
  <c r="A509" i="3"/>
  <c r="D508" i="3"/>
  <c r="C508" i="3"/>
  <c r="B508" i="3"/>
  <c r="A508" i="3"/>
  <c r="D507" i="3"/>
  <c r="C507" i="3"/>
  <c r="B507" i="3"/>
  <c r="A507" i="3"/>
  <c r="D503" i="3"/>
  <c r="C503" i="3"/>
  <c r="B503" i="3"/>
  <c r="A503" i="3"/>
  <c r="D502" i="3"/>
  <c r="C502" i="3"/>
  <c r="B502" i="3"/>
  <c r="A502" i="3"/>
  <c r="D501" i="3"/>
  <c r="C501" i="3"/>
  <c r="B501" i="3"/>
  <c r="A501" i="3"/>
  <c r="D500" i="3"/>
  <c r="C500" i="3"/>
  <c r="B500" i="3"/>
  <c r="A500" i="3"/>
  <c r="D499" i="3"/>
  <c r="C499" i="3"/>
  <c r="B499" i="3"/>
  <c r="A499" i="3"/>
  <c r="D498" i="3"/>
  <c r="C498" i="3"/>
  <c r="B498" i="3"/>
  <c r="A498" i="3"/>
  <c r="D494" i="3"/>
  <c r="C494" i="3"/>
  <c r="B494" i="3"/>
  <c r="A494" i="3"/>
  <c r="D493" i="3"/>
  <c r="C493" i="3"/>
  <c r="B493" i="3"/>
  <c r="A493" i="3"/>
  <c r="D492" i="3"/>
  <c r="C492" i="3"/>
  <c r="B492" i="3"/>
  <c r="A492" i="3"/>
  <c r="D491" i="3"/>
  <c r="C491" i="3"/>
  <c r="B491" i="3"/>
  <c r="A491" i="3"/>
  <c r="D490" i="3"/>
  <c r="C490" i="3"/>
  <c r="B490" i="3"/>
  <c r="A490" i="3"/>
  <c r="D489" i="3"/>
  <c r="C489" i="3"/>
  <c r="B489" i="3"/>
  <c r="A489" i="3"/>
  <c r="D488" i="3"/>
  <c r="C488" i="3"/>
  <c r="B488" i="3"/>
  <c r="A488" i="3"/>
  <c r="D487" i="3"/>
  <c r="C487" i="3"/>
  <c r="B487" i="3"/>
  <c r="A487" i="3"/>
  <c r="D483" i="3"/>
  <c r="C483" i="3"/>
  <c r="B483" i="3"/>
  <c r="A483" i="3"/>
  <c r="D482" i="3"/>
  <c r="C482" i="3"/>
  <c r="B482" i="3"/>
  <c r="A482" i="3"/>
  <c r="D481" i="3"/>
  <c r="C481" i="3"/>
  <c r="B481" i="3"/>
  <c r="A481" i="3"/>
  <c r="D480" i="3"/>
  <c r="C480" i="3"/>
  <c r="B480" i="3"/>
  <c r="A480" i="3"/>
  <c r="D479" i="3"/>
  <c r="C479" i="3"/>
  <c r="B479" i="3"/>
  <c r="A479" i="3"/>
  <c r="C475" i="3"/>
  <c r="B475" i="3"/>
  <c r="A475" i="3"/>
  <c r="C474" i="3"/>
  <c r="B474" i="3"/>
  <c r="A474" i="3"/>
  <c r="C473" i="3"/>
  <c r="B473" i="3"/>
  <c r="A473" i="3"/>
  <c r="C472" i="3"/>
  <c r="B472" i="3"/>
  <c r="A472" i="3"/>
  <c r="C471" i="3"/>
  <c r="B471" i="3"/>
  <c r="A471" i="3"/>
  <c r="C470" i="3"/>
  <c r="B470" i="3"/>
  <c r="A470" i="3"/>
  <c r="C469" i="3"/>
  <c r="B469" i="3"/>
  <c r="A469" i="3"/>
  <c r="C468" i="3"/>
  <c r="B468" i="3"/>
  <c r="A468" i="3"/>
  <c r="E464" i="3"/>
  <c r="D464" i="3"/>
  <c r="C464" i="3"/>
  <c r="B464" i="3"/>
  <c r="A464" i="3"/>
  <c r="E463" i="3"/>
  <c r="D463" i="3"/>
  <c r="C463" i="3"/>
  <c r="B463" i="3"/>
  <c r="A463" i="3"/>
  <c r="E462" i="3"/>
  <c r="D462" i="3"/>
  <c r="C462" i="3"/>
  <c r="B462" i="3"/>
  <c r="A462" i="3"/>
  <c r="E461" i="3"/>
  <c r="D461" i="3"/>
  <c r="C461" i="3"/>
  <c r="B461" i="3"/>
  <c r="A461" i="3"/>
  <c r="E457" i="3"/>
  <c r="D457" i="3"/>
  <c r="C457" i="3"/>
  <c r="B457" i="3"/>
  <c r="A457" i="3"/>
  <c r="E456" i="3"/>
  <c r="D456" i="3"/>
  <c r="C456" i="3"/>
  <c r="B456" i="3"/>
  <c r="A456" i="3"/>
  <c r="E455" i="3"/>
  <c r="D455" i="3"/>
  <c r="C455" i="3"/>
  <c r="B455" i="3"/>
  <c r="A455" i="3"/>
  <c r="E454" i="3"/>
  <c r="D454" i="3"/>
  <c r="C454" i="3"/>
  <c r="B454" i="3"/>
  <c r="A454" i="3"/>
  <c r="C450" i="3"/>
  <c r="B450" i="3"/>
  <c r="A450" i="3"/>
  <c r="C449" i="3"/>
  <c r="B449" i="3"/>
  <c r="A449" i="3"/>
  <c r="C448" i="3"/>
  <c r="B448" i="3"/>
  <c r="A448" i="3"/>
  <c r="C447" i="3"/>
  <c r="B447" i="3"/>
  <c r="A447" i="3"/>
  <c r="C446" i="3"/>
  <c r="B446" i="3"/>
  <c r="A446" i="3"/>
  <c r="C445" i="3"/>
  <c r="B445" i="3"/>
  <c r="A445" i="3"/>
  <c r="C444" i="3"/>
  <c r="B444" i="3"/>
  <c r="A444" i="3"/>
  <c r="C443" i="3"/>
  <c r="B443" i="3"/>
  <c r="A443" i="3"/>
  <c r="C442" i="3"/>
  <c r="B442" i="3"/>
  <c r="A442" i="3"/>
  <c r="C441" i="3"/>
  <c r="B441" i="3"/>
  <c r="A441" i="3"/>
  <c r="C440" i="3"/>
  <c r="B440" i="3"/>
  <c r="A440" i="3"/>
  <c r="C439" i="3"/>
  <c r="B439" i="3"/>
  <c r="A439" i="3"/>
  <c r="C438" i="3"/>
  <c r="B438" i="3"/>
  <c r="A438" i="3"/>
  <c r="C437" i="3"/>
  <c r="B437" i="3"/>
  <c r="A437" i="3"/>
  <c r="D433" i="3"/>
  <c r="C433" i="3"/>
  <c r="B433" i="3"/>
  <c r="A433" i="3"/>
  <c r="D432" i="3"/>
  <c r="C432" i="3"/>
  <c r="B432" i="3"/>
  <c r="A432" i="3"/>
  <c r="D431" i="3"/>
  <c r="C431" i="3"/>
  <c r="B431" i="3"/>
  <c r="A431" i="3"/>
  <c r="D430" i="3"/>
  <c r="C430" i="3"/>
  <c r="B430" i="3"/>
  <c r="A430" i="3"/>
  <c r="D429" i="3"/>
  <c r="C429" i="3"/>
  <c r="B429" i="3"/>
  <c r="A429" i="3"/>
  <c r="D428" i="3"/>
  <c r="C428" i="3"/>
  <c r="B428" i="3"/>
  <c r="A428" i="3"/>
  <c r="D424" i="3"/>
  <c r="C424" i="3"/>
  <c r="B424" i="3"/>
  <c r="A424" i="3"/>
  <c r="D423" i="3"/>
  <c r="C423" i="3"/>
  <c r="B423" i="3"/>
  <c r="A423" i="3"/>
  <c r="D422" i="3"/>
  <c r="C422" i="3"/>
  <c r="B422" i="3"/>
  <c r="A422" i="3"/>
  <c r="D421" i="3"/>
  <c r="C421" i="3"/>
  <c r="B421" i="3"/>
  <c r="A421" i="3"/>
  <c r="D420" i="3"/>
  <c r="C420" i="3"/>
  <c r="B420" i="3"/>
  <c r="A420" i="3"/>
  <c r="D419" i="3"/>
  <c r="C419" i="3"/>
  <c r="B419" i="3"/>
  <c r="A419" i="3"/>
  <c r="D418" i="3"/>
  <c r="C418" i="3"/>
  <c r="B418" i="3"/>
  <c r="A418" i="3"/>
  <c r="D417" i="3"/>
  <c r="C417" i="3"/>
  <c r="B417" i="3"/>
  <c r="A417" i="3"/>
  <c r="D416" i="3"/>
  <c r="C416" i="3"/>
  <c r="B416" i="3"/>
  <c r="A416" i="3"/>
  <c r="E412" i="3"/>
  <c r="D412" i="3"/>
  <c r="C412" i="3"/>
  <c r="B412" i="3"/>
  <c r="A412" i="3"/>
  <c r="E411" i="3"/>
  <c r="D411" i="3"/>
  <c r="C411" i="3"/>
  <c r="B411" i="3"/>
  <c r="A411" i="3"/>
  <c r="E410" i="3"/>
  <c r="D410" i="3"/>
  <c r="C410" i="3"/>
  <c r="B410" i="3"/>
  <c r="A410" i="3"/>
  <c r="E409" i="3"/>
  <c r="D409" i="3"/>
  <c r="C409" i="3"/>
  <c r="B409" i="3"/>
  <c r="A409" i="3"/>
  <c r="C405" i="3"/>
  <c r="B405" i="3"/>
  <c r="A405" i="3"/>
  <c r="C404" i="3"/>
  <c r="B404" i="3"/>
  <c r="A404" i="3"/>
  <c r="C403" i="3"/>
  <c r="B403" i="3"/>
  <c r="A403" i="3"/>
  <c r="C402" i="3"/>
  <c r="B402" i="3"/>
  <c r="A402" i="3"/>
  <c r="C401" i="3"/>
  <c r="B401" i="3"/>
  <c r="A401" i="3"/>
  <c r="C400" i="3"/>
  <c r="B400" i="3"/>
  <c r="A400" i="3"/>
  <c r="C399" i="3"/>
  <c r="B399" i="3"/>
  <c r="A399" i="3"/>
  <c r="C398" i="3"/>
  <c r="B398" i="3"/>
  <c r="A398" i="3"/>
  <c r="C394" i="3"/>
  <c r="B394" i="3"/>
  <c r="A394" i="3"/>
  <c r="C393" i="3"/>
  <c r="B393" i="3"/>
  <c r="A393" i="3"/>
  <c r="C392" i="3"/>
  <c r="B392" i="3"/>
  <c r="A392" i="3"/>
  <c r="C391" i="3"/>
  <c r="B391" i="3"/>
  <c r="A391" i="3"/>
  <c r="C390" i="3"/>
  <c r="B390" i="3"/>
  <c r="A390" i="3"/>
  <c r="D386" i="3"/>
  <c r="C386" i="3"/>
  <c r="B386" i="3"/>
  <c r="A386" i="3"/>
  <c r="D385" i="3"/>
  <c r="C385" i="3"/>
  <c r="B385" i="3"/>
  <c r="A385" i="3"/>
  <c r="C381" i="3"/>
  <c r="B381" i="3"/>
  <c r="A381" i="3"/>
  <c r="C380" i="3"/>
  <c r="B380" i="3"/>
  <c r="A380" i="3"/>
  <c r="C379" i="3"/>
  <c r="B379" i="3"/>
  <c r="A379" i="3"/>
  <c r="D375" i="3"/>
  <c r="C375" i="3"/>
  <c r="B375" i="3"/>
  <c r="A375" i="3"/>
  <c r="D374" i="3"/>
  <c r="C374" i="3"/>
  <c r="B374" i="3"/>
  <c r="A374" i="3"/>
  <c r="D373" i="3"/>
  <c r="C373" i="3"/>
  <c r="B373" i="3"/>
  <c r="A373" i="3"/>
  <c r="D372" i="3"/>
  <c r="C372" i="3"/>
  <c r="B372" i="3"/>
  <c r="A372" i="3"/>
  <c r="D371" i="3"/>
  <c r="C371" i="3"/>
  <c r="B371" i="3"/>
  <c r="A371" i="3"/>
  <c r="D370" i="3"/>
  <c r="C370" i="3"/>
  <c r="B370" i="3"/>
  <c r="A370" i="3"/>
  <c r="D369" i="3"/>
  <c r="C369" i="3"/>
  <c r="B369" i="3"/>
  <c r="A369" i="3"/>
  <c r="D365" i="3"/>
  <c r="C365" i="3"/>
  <c r="B365" i="3"/>
  <c r="A365" i="3"/>
  <c r="D364" i="3"/>
  <c r="C364" i="3"/>
  <c r="B364" i="3"/>
  <c r="A364" i="3"/>
  <c r="D363" i="3"/>
  <c r="C363" i="3"/>
  <c r="B363" i="3"/>
  <c r="A363" i="3"/>
  <c r="C359" i="3"/>
  <c r="B359" i="3"/>
  <c r="A359" i="3"/>
  <c r="C358" i="3"/>
  <c r="B358" i="3"/>
  <c r="A358" i="3"/>
  <c r="C357" i="3"/>
  <c r="B357" i="3"/>
  <c r="A357" i="3"/>
  <c r="C356" i="3"/>
  <c r="B356" i="3"/>
  <c r="A356" i="3"/>
  <c r="C355" i="3"/>
  <c r="B355" i="3"/>
  <c r="A355" i="3"/>
  <c r="C354" i="3"/>
  <c r="B354" i="3"/>
  <c r="A354" i="3"/>
  <c r="D350" i="3"/>
  <c r="C350" i="3"/>
  <c r="B350" i="3"/>
  <c r="A350" i="3"/>
  <c r="D349" i="3"/>
  <c r="C349" i="3"/>
  <c r="B349" i="3"/>
  <c r="A349" i="3"/>
  <c r="D348" i="3"/>
  <c r="C348" i="3"/>
  <c r="B348" i="3"/>
  <c r="A348" i="3"/>
  <c r="D347" i="3"/>
  <c r="C347" i="3"/>
  <c r="B347" i="3"/>
  <c r="A347" i="3"/>
  <c r="D346" i="3"/>
  <c r="C346" i="3"/>
  <c r="B346" i="3"/>
  <c r="A346" i="3"/>
  <c r="D345" i="3"/>
  <c r="C345" i="3"/>
  <c r="B345" i="3"/>
  <c r="A345" i="3"/>
  <c r="D344" i="3"/>
  <c r="C344" i="3"/>
  <c r="B344" i="3"/>
  <c r="A344" i="3"/>
  <c r="D343" i="3"/>
  <c r="C343" i="3"/>
  <c r="B343" i="3"/>
  <c r="A343" i="3"/>
  <c r="D342" i="3"/>
  <c r="C342" i="3"/>
  <c r="B342" i="3"/>
  <c r="A342" i="3"/>
  <c r="D341" i="3"/>
  <c r="C341" i="3"/>
  <c r="B341" i="3"/>
  <c r="A341" i="3"/>
  <c r="D337" i="3"/>
  <c r="C337" i="3"/>
  <c r="B337" i="3"/>
  <c r="A337" i="3"/>
  <c r="D336" i="3"/>
  <c r="C336" i="3"/>
  <c r="B336" i="3"/>
  <c r="A336" i="3"/>
  <c r="D335" i="3"/>
  <c r="C335" i="3"/>
  <c r="B335" i="3"/>
  <c r="A335" i="3"/>
  <c r="C329" i="3"/>
  <c r="B329" i="3"/>
  <c r="A329" i="3"/>
  <c r="C328" i="3"/>
  <c r="B328" i="3"/>
  <c r="A328" i="3"/>
  <c r="C327" i="3"/>
  <c r="B327" i="3"/>
  <c r="A327" i="3"/>
  <c r="C326" i="3"/>
  <c r="B326" i="3"/>
  <c r="A326" i="3"/>
  <c r="C325" i="3"/>
  <c r="B325" i="3"/>
  <c r="A325" i="3"/>
  <c r="C324" i="3"/>
  <c r="B324" i="3"/>
  <c r="A324" i="3"/>
  <c r="C323" i="3"/>
  <c r="B323" i="3"/>
  <c r="A323" i="3"/>
  <c r="C322" i="3"/>
  <c r="B322" i="3"/>
  <c r="A322" i="3"/>
  <c r="C321" i="3"/>
  <c r="B321" i="3"/>
  <c r="A321" i="3"/>
  <c r="C320" i="3"/>
  <c r="B320" i="3"/>
  <c r="A320" i="3"/>
  <c r="C316" i="3"/>
  <c r="B316" i="3"/>
  <c r="A316" i="3"/>
  <c r="C315" i="3"/>
  <c r="B315" i="3"/>
  <c r="A315" i="3"/>
  <c r="C314" i="3"/>
  <c r="B314" i="3"/>
  <c r="A314" i="3"/>
  <c r="C313" i="3"/>
  <c r="B313" i="3"/>
  <c r="A313" i="3"/>
  <c r="C312" i="3"/>
  <c r="B312" i="3"/>
  <c r="A312" i="3"/>
  <c r="C311" i="3"/>
  <c r="B311" i="3"/>
  <c r="A311" i="3"/>
  <c r="C307" i="3"/>
  <c r="B307" i="3"/>
  <c r="A307" i="3"/>
  <c r="C306" i="3"/>
  <c r="B306" i="3"/>
  <c r="A306" i="3"/>
  <c r="C305" i="3"/>
  <c r="B305" i="3"/>
  <c r="A305" i="3"/>
  <c r="C304" i="3"/>
  <c r="B304" i="3"/>
  <c r="A304" i="3"/>
  <c r="C303" i="3"/>
  <c r="B303" i="3"/>
  <c r="A303" i="3"/>
  <c r="C302" i="3"/>
  <c r="B302" i="3"/>
  <c r="A302" i="3"/>
  <c r="C301" i="3"/>
  <c r="B301" i="3"/>
  <c r="A301" i="3"/>
  <c r="C300" i="3"/>
  <c r="B300" i="3"/>
  <c r="A300" i="3"/>
  <c r="C299" i="3"/>
  <c r="B299" i="3"/>
  <c r="A299" i="3"/>
  <c r="C298" i="3"/>
  <c r="B298" i="3"/>
  <c r="A298" i="3"/>
  <c r="C294" i="3"/>
  <c r="B294" i="3"/>
  <c r="A294" i="3"/>
  <c r="C293" i="3"/>
  <c r="B293" i="3"/>
  <c r="A293" i="3"/>
  <c r="C292" i="3"/>
  <c r="B292" i="3"/>
  <c r="A292" i="3"/>
  <c r="C291" i="3"/>
  <c r="B291" i="3"/>
  <c r="A291" i="3"/>
  <c r="C290" i="3"/>
  <c r="B290" i="3"/>
  <c r="A290" i="3"/>
  <c r="C289" i="3"/>
  <c r="B289" i="3"/>
  <c r="A289" i="3"/>
  <c r="C285" i="3"/>
  <c r="B285" i="3"/>
  <c r="A285" i="3"/>
  <c r="C284" i="3"/>
  <c r="B284" i="3"/>
  <c r="A284" i="3"/>
  <c r="C283" i="3"/>
  <c r="B283" i="3"/>
  <c r="A283" i="3"/>
  <c r="C282" i="3"/>
  <c r="B282" i="3"/>
  <c r="A282" i="3"/>
  <c r="C281" i="3"/>
  <c r="B281" i="3"/>
  <c r="A281" i="3"/>
  <c r="C277" i="3"/>
  <c r="B277" i="3"/>
  <c r="A277" i="3"/>
  <c r="C276" i="3"/>
  <c r="B276" i="3"/>
  <c r="A276" i="3"/>
  <c r="C275" i="3"/>
  <c r="B275" i="3"/>
  <c r="A275" i="3"/>
  <c r="C274" i="3"/>
  <c r="B274" i="3"/>
  <c r="A274" i="3"/>
  <c r="C273" i="3"/>
  <c r="B273" i="3"/>
  <c r="A273" i="3"/>
  <c r="C272" i="3"/>
  <c r="B272" i="3"/>
  <c r="A272" i="3"/>
  <c r="C271" i="3"/>
  <c r="B271" i="3"/>
  <c r="A271" i="3"/>
  <c r="C270" i="3"/>
  <c r="B270" i="3"/>
  <c r="A270" i="3"/>
  <c r="C269" i="3"/>
  <c r="B269" i="3"/>
  <c r="A269" i="3"/>
  <c r="C268" i="3"/>
  <c r="B268" i="3"/>
  <c r="A268" i="3"/>
  <c r="C267" i="3"/>
  <c r="B267" i="3"/>
  <c r="A267" i="3"/>
  <c r="C266" i="3"/>
  <c r="B266" i="3"/>
  <c r="A266" i="3"/>
  <c r="C265" i="3"/>
  <c r="B265" i="3"/>
  <c r="A265" i="3"/>
  <c r="C264" i="3"/>
  <c r="B264" i="3"/>
  <c r="A264" i="3"/>
  <c r="C263" i="3"/>
  <c r="B263" i="3"/>
  <c r="A263" i="3"/>
  <c r="C262" i="3"/>
  <c r="B262" i="3"/>
  <c r="A262" i="3"/>
  <c r="C257" i="3"/>
  <c r="B257" i="3"/>
  <c r="A257" i="3"/>
  <c r="C256" i="3"/>
  <c r="B256" i="3"/>
  <c r="C255" i="3"/>
  <c r="B255" i="3"/>
  <c r="A255" i="3"/>
  <c r="C254" i="3"/>
  <c r="B254" i="3"/>
  <c r="A254" i="3"/>
  <c r="C253" i="3"/>
  <c r="B253" i="3"/>
  <c r="A253" i="3"/>
  <c r="C252" i="3"/>
  <c r="B252" i="3"/>
  <c r="A252" i="3"/>
  <c r="C251" i="3"/>
  <c r="B251" i="3"/>
  <c r="A251" i="3"/>
  <c r="C250" i="3"/>
  <c r="B250" i="3"/>
  <c r="A250" i="3"/>
  <c r="C249" i="3"/>
  <c r="B249" i="3"/>
  <c r="A249" i="3"/>
  <c r="C248" i="3"/>
  <c r="B248" i="3"/>
  <c r="A248" i="3"/>
  <c r="C247" i="3"/>
  <c r="B247" i="3"/>
  <c r="A247" i="3"/>
  <c r="C242" i="3"/>
  <c r="B242" i="3"/>
  <c r="A242" i="3"/>
  <c r="C241" i="3"/>
  <c r="B241" i="3"/>
  <c r="A241" i="3"/>
  <c r="C240" i="3"/>
  <c r="B240" i="3"/>
  <c r="A240" i="3"/>
  <c r="C239" i="3"/>
  <c r="B239" i="3"/>
  <c r="A239" i="3"/>
  <c r="C238" i="3"/>
  <c r="B238" i="3"/>
  <c r="A238" i="3"/>
  <c r="C237" i="3"/>
  <c r="B237" i="3"/>
  <c r="A237" i="3"/>
  <c r="C236" i="3"/>
  <c r="B236" i="3"/>
  <c r="A236" i="3"/>
  <c r="C235" i="3"/>
  <c r="B235" i="3"/>
  <c r="A235" i="3"/>
  <c r="C234" i="3"/>
  <c r="B234" i="3"/>
  <c r="A234" i="3"/>
  <c r="C233" i="3"/>
  <c r="B233" i="3"/>
  <c r="A233" i="3"/>
  <c r="C232" i="3"/>
  <c r="B232" i="3"/>
  <c r="A232" i="3"/>
  <c r="D226" i="3"/>
  <c r="C226" i="3"/>
  <c r="B226" i="3"/>
  <c r="A226" i="3"/>
  <c r="D225" i="3"/>
  <c r="C225" i="3"/>
  <c r="B225" i="3"/>
  <c r="A225" i="3"/>
  <c r="D221" i="3"/>
  <c r="C221" i="3"/>
  <c r="B221" i="3"/>
  <c r="A221" i="3"/>
  <c r="D220" i="3"/>
  <c r="C220" i="3"/>
  <c r="B220" i="3"/>
  <c r="A220" i="3"/>
  <c r="D219" i="3"/>
  <c r="C219" i="3"/>
  <c r="B219" i="3"/>
  <c r="A219" i="3"/>
  <c r="D215" i="3"/>
  <c r="C215" i="3"/>
  <c r="B215" i="3"/>
  <c r="A215" i="3"/>
  <c r="D214" i="3"/>
  <c r="C214" i="3"/>
  <c r="B214" i="3"/>
  <c r="A214" i="3"/>
  <c r="D213" i="3"/>
  <c r="C213" i="3"/>
  <c r="B213" i="3"/>
  <c r="A213" i="3"/>
  <c r="D212" i="3"/>
  <c r="C212" i="3"/>
  <c r="B212" i="3"/>
  <c r="A212" i="3"/>
  <c r="D208" i="3"/>
  <c r="C208" i="3"/>
  <c r="B208" i="3"/>
  <c r="A208" i="3"/>
  <c r="D207" i="3"/>
  <c r="C207" i="3"/>
  <c r="B207" i="3"/>
  <c r="A207" i="3"/>
  <c r="D206" i="3"/>
  <c r="C206" i="3"/>
  <c r="B206" i="3"/>
  <c r="A206" i="3"/>
  <c r="D205" i="3"/>
  <c r="C205" i="3"/>
  <c r="B205" i="3"/>
  <c r="A205" i="3"/>
  <c r="D204" i="3"/>
  <c r="C204" i="3"/>
  <c r="B204" i="3"/>
  <c r="A204" i="3"/>
  <c r="D203" i="3"/>
  <c r="C203" i="3"/>
  <c r="B203" i="3"/>
  <c r="A203" i="3"/>
  <c r="D199" i="3"/>
  <c r="C199" i="3"/>
  <c r="B199" i="3"/>
  <c r="A199" i="3"/>
  <c r="D198" i="3"/>
  <c r="C198" i="3"/>
  <c r="B198" i="3"/>
  <c r="A198" i="3"/>
  <c r="D194" i="3"/>
  <c r="C194" i="3"/>
  <c r="B194" i="3"/>
  <c r="A194" i="3"/>
  <c r="D193" i="3"/>
  <c r="C193" i="3"/>
  <c r="B193" i="3"/>
  <c r="A193" i="3"/>
  <c r="D192" i="3"/>
  <c r="C192" i="3"/>
  <c r="B192" i="3"/>
  <c r="A192" i="3"/>
  <c r="D191" i="3"/>
  <c r="C191" i="3"/>
  <c r="B191" i="3"/>
  <c r="A191" i="3"/>
  <c r="D190" i="3"/>
  <c r="C190" i="3"/>
  <c r="B190" i="3"/>
  <c r="A190" i="3"/>
  <c r="D189" i="3"/>
  <c r="C189" i="3"/>
  <c r="B189" i="3"/>
  <c r="A189" i="3"/>
  <c r="D188" i="3"/>
  <c r="C188" i="3"/>
  <c r="B188" i="3"/>
  <c r="A188" i="3"/>
  <c r="D187" i="3"/>
  <c r="C187" i="3"/>
  <c r="B187" i="3"/>
  <c r="A187" i="3"/>
  <c r="D183" i="3"/>
  <c r="C183" i="3"/>
  <c r="B183" i="3"/>
  <c r="A183" i="3"/>
  <c r="D182" i="3"/>
  <c r="C182" i="3"/>
  <c r="B182" i="3"/>
  <c r="A182" i="3"/>
  <c r="D178" i="3"/>
  <c r="C178" i="3"/>
  <c r="B178" i="3"/>
  <c r="A178" i="3"/>
  <c r="D177" i="3"/>
  <c r="C177" i="3"/>
  <c r="B177" i="3"/>
  <c r="A177" i="3"/>
  <c r="D176" i="3"/>
  <c r="C176" i="3"/>
  <c r="B176" i="3"/>
  <c r="A176" i="3"/>
  <c r="D175" i="3"/>
  <c r="C175" i="3"/>
  <c r="B175" i="3"/>
  <c r="A175" i="3"/>
  <c r="D174" i="3"/>
  <c r="C174" i="3"/>
  <c r="B174" i="3"/>
  <c r="A174" i="3"/>
  <c r="D173" i="3"/>
  <c r="C173" i="3"/>
  <c r="B173" i="3"/>
  <c r="A173" i="3"/>
  <c r="D169" i="3"/>
  <c r="C169" i="3"/>
  <c r="B169" i="3"/>
  <c r="A169" i="3"/>
  <c r="D168" i="3"/>
  <c r="C168" i="3"/>
  <c r="B168" i="3"/>
  <c r="A168" i="3"/>
  <c r="D167" i="3"/>
  <c r="C167" i="3"/>
  <c r="B167" i="3"/>
  <c r="A167" i="3"/>
  <c r="D166" i="3"/>
  <c r="C166" i="3"/>
  <c r="B166" i="3"/>
  <c r="A166" i="3"/>
  <c r="D165" i="3"/>
  <c r="C165" i="3"/>
  <c r="B165" i="3"/>
  <c r="A165" i="3"/>
  <c r="D164" i="3"/>
  <c r="C164" i="3"/>
  <c r="B164" i="3"/>
  <c r="A164" i="3"/>
  <c r="D160" i="3"/>
  <c r="C160" i="3"/>
  <c r="B160" i="3"/>
  <c r="A160" i="3"/>
  <c r="D159" i="3"/>
  <c r="C159" i="3"/>
  <c r="B159" i="3"/>
  <c r="A159" i="3"/>
  <c r="D158" i="3"/>
  <c r="C158" i="3"/>
  <c r="B158" i="3"/>
  <c r="A158" i="3"/>
  <c r="D157" i="3"/>
  <c r="C157" i="3"/>
  <c r="B157" i="3"/>
  <c r="A157" i="3"/>
  <c r="D156" i="3"/>
  <c r="C156" i="3"/>
  <c r="B156" i="3"/>
  <c r="A156" i="3"/>
  <c r="D155" i="3"/>
  <c r="C155" i="3"/>
  <c r="B155" i="3"/>
  <c r="A155" i="3"/>
  <c r="D154" i="3"/>
  <c r="C154" i="3"/>
  <c r="B154" i="3"/>
  <c r="A154" i="3"/>
  <c r="D153" i="3"/>
  <c r="C153" i="3"/>
  <c r="B153" i="3"/>
  <c r="A153" i="3"/>
  <c r="D149" i="3"/>
  <c r="C149" i="3"/>
  <c r="B149" i="3"/>
  <c r="A149" i="3"/>
  <c r="D148" i="3"/>
  <c r="C148" i="3"/>
  <c r="B148" i="3"/>
  <c r="A148" i="3"/>
  <c r="D147" i="3"/>
  <c r="C147" i="3"/>
  <c r="B147" i="3"/>
  <c r="A147" i="3"/>
  <c r="D146" i="3"/>
  <c r="C146" i="3"/>
  <c r="B146" i="3"/>
  <c r="A146" i="3"/>
  <c r="D145" i="3"/>
  <c r="C145" i="3"/>
  <c r="B145" i="3"/>
  <c r="A145" i="3"/>
  <c r="D144" i="3"/>
  <c r="C144" i="3"/>
  <c r="B144" i="3"/>
  <c r="A144" i="3"/>
  <c r="D143" i="3"/>
  <c r="C143" i="3"/>
  <c r="B143" i="3"/>
  <c r="A143" i="3"/>
  <c r="D142" i="3"/>
  <c r="C142" i="3"/>
  <c r="B142" i="3"/>
  <c r="A142" i="3"/>
  <c r="D138" i="3"/>
  <c r="C138" i="3"/>
  <c r="B138" i="3"/>
  <c r="A138" i="3"/>
  <c r="D137" i="3"/>
  <c r="C137" i="3"/>
  <c r="B137" i="3"/>
  <c r="A137" i="3"/>
  <c r="D133" i="3"/>
  <c r="C133" i="3"/>
  <c r="B133" i="3"/>
  <c r="A133" i="3"/>
  <c r="D132" i="3"/>
  <c r="C132" i="3"/>
  <c r="B132" i="3"/>
  <c r="A132" i="3"/>
  <c r="D131" i="3"/>
  <c r="C131" i="3"/>
  <c r="B131" i="3"/>
  <c r="A131" i="3"/>
  <c r="D130" i="3"/>
  <c r="C130" i="3"/>
  <c r="B130" i="3"/>
  <c r="A130" i="3"/>
  <c r="D129" i="3"/>
  <c r="C129" i="3"/>
  <c r="B129" i="3"/>
  <c r="A129" i="3"/>
  <c r="D128" i="3"/>
  <c r="C128" i="3"/>
  <c r="B128" i="3"/>
  <c r="A128" i="3"/>
  <c r="D127" i="3"/>
  <c r="C127" i="3"/>
  <c r="B127" i="3"/>
  <c r="A127" i="3"/>
  <c r="D126" i="3"/>
  <c r="C126" i="3"/>
  <c r="B126" i="3"/>
  <c r="A126" i="3"/>
  <c r="D125" i="3"/>
  <c r="C125" i="3"/>
  <c r="B125" i="3"/>
  <c r="A125" i="3"/>
  <c r="D124" i="3"/>
  <c r="C124" i="3"/>
  <c r="B124" i="3"/>
  <c r="A124" i="3"/>
  <c r="D123" i="3"/>
  <c r="C123" i="3"/>
  <c r="B123" i="3"/>
  <c r="A123" i="3"/>
  <c r="D119" i="3"/>
  <c r="C119" i="3"/>
  <c r="B119" i="3"/>
  <c r="A119" i="3"/>
  <c r="D118" i="3"/>
  <c r="C118" i="3"/>
  <c r="B118" i="3"/>
  <c r="A118" i="3"/>
  <c r="D117" i="3"/>
  <c r="C117" i="3"/>
  <c r="B117" i="3"/>
  <c r="A117" i="3"/>
  <c r="D116" i="3"/>
  <c r="C116" i="3"/>
  <c r="B116" i="3"/>
  <c r="A116" i="3"/>
  <c r="D115" i="3"/>
  <c r="C115" i="3"/>
  <c r="B115" i="3"/>
  <c r="A115" i="3"/>
  <c r="D111" i="3"/>
  <c r="C111" i="3"/>
  <c r="B111" i="3"/>
  <c r="A111" i="3"/>
  <c r="D110" i="3"/>
  <c r="C110" i="3"/>
  <c r="B110" i="3"/>
  <c r="A110" i="3"/>
  <c r="D109" i="3"/>
  <c r="C109" i="3"/>
  <c r="B109" i="3"/>
  <c r="A109" i="3"/>
  <c r="D108" i="3"/>
  <c r="C108" i="3"/>
  <c r="B108" i="3"/>
  <c r="A108" i="3"/>
  <c r="D107" i="3"/>
  <c r="C107" i="3"/>
  <c r="B107" i="3"/>
  <c r="A107" i="3"/>
  <c r="D101" i="3"/>
  <c r="C101" i="3"/>
  <c r="B101" i="3"/>
  <c r="A101" i="3"/>
  <c r="D100" i="3"/>
  <c r="C100" i="3"/>
  <c r="B100" i="3"/>
  <c r="A100" i="3"/>
  <c r="D99" i="3"/>
  <c r="C99" i="3"/>
  <c r="B99" i="3"/>
  <c r="A99" i="3"/>
  <c r="D98" i="3"/>
  <c r="C98" i="3"/>
  <c r="B98" i="3"/>
  <c r="A98" i="3"/>
  <c r="D97" i="3"/>
  <c r="C97" i="3"/>
  <c r="B97" i="3"/>
  <c r="A97" i="3"/>
  <c r="D96" i="3"/>
  <c r="C96" i="3"/>
  <c r="B96" i="3"/>
  <c r="A96" i="3"/>
  <c r="D95" i="3"/>
  <c r="C95" i="3"/>
  <c r="B95" i="3"/>
  <c r="A95" i="3"/>
  <c r="E91" i="3"/>
  <c r="D91" i="3"/>
  <c r="C91" i="3"/>
  <c r="B91" i="3"/>
  <c r="A91" i="3"/>
  <c r="E90" i="3"/>
  <c r="D90" i="3"/>
  <c r="C90" i="3"/>
  <c r="B90" i="3"/>
  <c r="A90" i="3"/>
  <c r="E89" i="3"/>
  <c r="D89" i="3"/>
  <c r="C89" i="3"/>
  <c r="B89" i="3"/>
  <c r="A89" i="3"/>
  <c r="E88" i="3"/>
  <c r="D88" i="3"/>
  <c r="C88" i="3"/>
  <c r="B88" i="3"/>
  <c r="A88" i="3"/>
  <c r="E87" i="3"/>
  <c r="D87" i="3"/>
  <c r="C87" i="3"/>
  <c r="B87" i="3"/>
  <c r="A87" i="3"/>
  <c r="E86" i="3"/>
  <c r="D86" i="3"/>
  <c r="C86" i="3"/>
  <c r="B86" i="3"/>
  <c r="A86" i="3"/>
  <c r="E85" i="3"/>
  <c r="D85" i="3"/>
  <c r="C85" i="3"/>
  <c r="B85" i="3"/>
  <c r="A85" i="3"/>
  <c r="E84" i="3"/>
  <c r="D84" i="3"/>
  <c r="C84" i="3"/>
  <c r="B84" i="3"/>
  <c r="A84" i="3"/>
  <c r="E83" i="3"/>
  <c r="D83" i="3"/>
  <c r="C83" i="3"/>
  <c r="B83" i="3"/>
  <c r="A83" i="3"/>
  <c r="E82" i="3"/>
  <c r="D82" i="3"/>
  <c r="C82" i="3"/>
  <c r="B82" i="3"/>
  <c r="A82" i="3"/>
  <c r="E81" i="3"/>
  <c r="D81" i="3"/>
  <c r="C81" i="3"/>
  <c r="B81" i="3"/>
  <c r="A81" i="3"/>
  <c r="C75" i="3"/>
  <c r="B75" i="3"/>
  <c r="A75" i="3"/>
  <c r="C74" i="3"/>
  <c r="B74" i="3"/>
  <c r="A74" i="3"/>
  <c r="C73" i="3"/>
  <c r="B73" i="3"/>
  <c r="A73" i="3"/>
  <c r="C72" i="3"/>
  <c r="B72" i="3"/>
  <c r="A72" i="3"/>
  <c r="C71" i="3"/>
  <c r="B71" i="3"/>
  <c r="A71" i="3"/>
  <c r="C70" i="3"/>
  <c r="B70" i="3"/>
  <c r="A70" i="3"/>
  <c r="C66" i="3"/>
  <c r="B66" i="3"/>
  <c r="A66" i="3"/>
  <c r="C65" i="3"/>
  <c r="B65" i="3"/>
  <c r="A65" i="3"/>
  <c r="C64" i="3"/>
  <c r="B64" i="3"/>
  <c r="A64" i="3"/>
  <c r="C63" i="3"/>
  <c r="B63" i="3"/>
  <c r="A63" i="3"/>
  <c r="C59" i="3"/>
  <c r="B59" i="3"/>
  <c r="A59" i="3"/>
  <c r="C58" i="3"/>
  <c r="B58" i="3"/>
  <c r="A58" i="3"/>
  <c r="C57" i="3"/>
  <c r="B57" i="3"/>
  <c r="A57" i="3"/>
  <c r="C56" i="3"/>
  <c r="B56" i="3"/>
  <c r="A56" i="3"/>
  <c r="C55" i="3"/>
  <c r="B55" i="3"/>
  <c r="A55" i="3"/>
  <c r="C54" i="3"/>
  <c r="B54" i="3"/>
  <c r="A54" i="3"/>
  <c r="C53" i="3"/>
  <c r="B53" i="3"/>
  <c r="A53" i="3"/>
  <c r="C52" i="3"/>
  <c r="B52" i="3"/>
  <c r="A52" i="3"/>
  <c r="C51" i="3"/>
  <c r="B51" i="3"/>
  <c r="A51" i="3"/>
  <c r="C50" i="3"/>
  <c r="B50" i="3"/>
  <c r="A50" i="3"/>
  <c r="C49" i="3"/>
  <c r="B49" i="3"/>
  <c r="A49"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1" i="3"/>
  <c r="B31" i="3"/>
  <c r="A31" i="3"/>
  <c r="C30" i="3"/>
  <c r="B30" i="3"/>
  <c r="A30" i="3"/>
  <c r="C29" i="3"/>
  <c r="B29" i="3"/>
  <c r="A29" i="3"/>
  <c r="C28" i="3"/>
  <c r="B28" i="3"/>
  <c r="A28" i="3"/>
  <c r="C27" i="3"/>
  <c r="B27" i="3"/>
  <c r="A27" i="3"/>
  <c r="C26" i="3"/>
  <c r="B26" i="3"/>
  <c r="A26" i="3"/>
  <c r="C25" i="3"/>
  <c r="B25" i="3"/>
  <c r="A25" i="3"/>
  <c r="C24" i="3"/>
  <c r="B24" i="3"/>
  <c r="A24" i="3"/>
  <c r="C23" i="3"/>
  <c r="B23" i="3"/>
  <c r="A23" i="3"/>
  <c r="C22" i="3"/>
  <c r="B22" i="3"/>
  <c r="A22" i="3"/>
  <c r="C17" i="3"/>
  <c r="B17" i="3"/>
  <c r="A17" i="3"/>
  <c r="C16" i="3"/>
  <c r="B16" i="3"/>
  <c r="C15" i="3"/>
  <c r="B15" i="3"/>
  <c r="A15" i="3"/>
  <c r="C14" i="3"/>
  <c r="B14" i="3"/>
  <c r="A14" i="3"/>
  <c r="C13" i="3"/>
  <c r="B13" i="3"/>
  <c r="A13" i="3"/>
  <c r="C12" i="3"/>
  <c r="B12" i="3"/>
  <c r="A12" i="3"/>
  <c r="C11" i="3"/>
  <c r="B11" i="3"/>
  <c r="A11" i="3"/>
  <c r="C10" i="3"/>
  <c r="B10" i="3"/>
  <c r="A10" i="3"/>
  <c r="C422" i="2"/>
  <c r="B422" i="2"/>
  <c r="A422" i="2"/>
  <c r="C421" i="2"/>
  <c r="B421" i="2"/>
  <c r="A421" i="2"/>
  <c r="C420" i="2"/>
  <c r="B420" i="2"/>
  <c r="A420" i="2"/>
  <c r="C416" i="2"/>
  <c r="B416" i="2"/>
  <c r="A416" i="2"/>
  <c r="B412" i="2"/>
  <c r="A412" i="2"/>
  <c r="B411" i="2"/>
  <c r="A411" i="2"/>
  <c r="B410" i="2"/>
  <c r="A410" i="2"/>
  <c r="B409" i="2"/>
  <c r="A409" i="2"/>
  <c r="B408" i="2"/>
  <c r="A408" i="2"/>
  <c r="B407" i="2"/>
  <c r="A407" i="2"/>
  <c r="B406" i="2"/>
  <c r="A406" i="2"/>
  <c r="B405" i="2"/>
  <c r="A405" i="2"/>
  <c r="B404" i="2"/>
  <c r="A404" i="2"/>
  <c r="A402" i="2"/>
  <c r="C397" i="2"/>
  <c r="B397" i="2"/>
  <c r="A397" i="2"/>
  <c r="C396" i="2"/>
  <c r="B396" i="2"/>
  <c r="A396" i="2"/>
  <c r="C395" i="2"/>
  <c r="B395" i="2"/>
  <c r="A395" i="2"/>
  <c r="C394" i="2"/>
  <c r="B394" i="2"/>
  <c r="A394" i="2"/>
  <c r="C393" i="2"/>
  <c r="B393" i="2"/>
  <c r="A393" i="2"/>
  <c r="C392" i="2"/>
  <c r="B392" i="2"/>
  <c r="A392" i="2"/>
  <c r="B391" i="2"/>
  <c r="A391" i="2"/>
  <c r="C385" i="2"/>
  <c r="B385" i="2"/>
  <c r="A385" i="2"/>
  <c r="C384" i="2"/>
  <c r="B384" i="2"/>
  <c r="A384" i="2"/>
  <c r="C383" i="2"/>
  <c r="B383" i="2"/>
  <c r="A383" i="2"/>
  <c r="C382" i="2"/>
  <c r="B382" i="2"/>
  <c r="A382"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A366" i="2"/>
  <c r="A365" i="2"/>
  <c r="A364"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A350" i="2"/>
  <c r="A349"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A334" i="2"/>
  <c r="A333" i="2"/>
  <c r="B330" i="2"/>
  <c r="A330" i="2"/>
  <c r="C329" i="2"/>
  <c r="B329" i="2"/>
  <c r="C328" i="2"/>
  <c r="B328" i="2"/>
  <c r="A328" i="2"/>
  <c r="C327" i="2"/>
  <c r="B327" i="2"/>
  <c r="A327" i="2"/>
  <c r="C326" i="2"/>
  <c r="B326" i="2"/>
  <c r="A326" i="2"/>
  <c r="C325" i="2"/>
  <c r="B325" i="2"/>
  <c r="A325" i="2"/>
  <c r="C324" i="2"/>
  <c r="B324" i="2"/>
  <c r="A324" i="2"/>
  <c r="C323" i="2"/>
  <c r="B323" i="2"/>
  <c r="A323" i="2"/>
  <c r="D317" i="2"/>
  <c r="C317" i="2"/>
  <c r="B317" i="2"/>
  <c r="A317" i="2"/>
  <c r="D316" i="2"/>
  <c r="C316" i="2"/>
  <c r="B316" i="2"/>
  <c r="A316" i="2"/>
  <c r="D315" i="2"/>
  <c r="C315" i="2"/>
  <c r="B315" i="2"/>
  <c r="A315" i="2"/>
  <c r="D314" i="2"/>
  <c r="C314" i="2"/>
  <c r="B314" i="2"/>
  <c r="A314" i="2"/>
  <c r="D313" i="2"/>
  <c r="C313" i="2"/>
  <c r="B313" i="2"/>
  <c r="A313" i="2"/>
  <c r="D312" i="2"/>
  <c r="C312" i="2"/>
  <c r="B312" i="2"/>
  <c r="A312" i="2"/>
  <c r="D311" i="2"/>
  <c r="C311" i="2"/>
  <c r="B311" i="2"/>
  <c r="A311" i="2"/>
  <c r="D310" i="2"/>
  <c r="C310" i="2"/>
  <c r="B310" i="2"/>
  <c r="A310" i="2"/>
  <c r="D306" i="2"/>
  <c r="C306" i="2"/>
  <c r="B306" i="2"/>
  <c r="A306" i="2"/>
  <c r="D302" i="2"/>
  <c r="C302" i="2"/>
  <c r="B302" i="2"/>
  <c r="A302" i="2"/>
  <c r="D301" i="2"/>
  <c r="C301" i="2"/>
  <c r="B301" i="2"/>
  <c r="A301" i="2"/>
  <c r="D300" i="2"/>
  <c r="C300" i="2"/>
  <c r="B300" i="2"/>
  <c r="A300" i="2"/>
  <c r="D299" i="2"/>
  <c r="C299" i="2"/>
  <c r="B299" i="2"/>
  <c r="A299" i="2"/>
  <c r="D298" i="2"/>
  <c r="C298" i="2"/>
  <c r="B298" i="2"/>
  <c r="A298" i="2"/>
  <c r="D297" i="2"/>
  <c r="C297" i="2"/>
  <c r="B297" i="2"/>
  <c r="A297" i="2"/>
  <c r="E293" i="2"/>
  <c r="D293" i="2"/>
  <c r="C293" i="2"/>
  <c r="B293" i="2"/>
  <c r="A293" i="2"/>
  <c r="E292" i="2"/>
  <c r="D292" i="2"/>
  <c r="C292" i="2"/>
  <c r="B292" i="2"/>
  <c r="A292" i="2"/>
  <c r="E291" i="2"/>
  <c r="D291" i="2"/>
  <c r="C291" i="2"/>
  <c r="B291" i="2"/>
  <c r="A291" i="2"/>
  <c r="E290" i="2"/>
  <c r="D290" i="2"/>
  <c r="C290" i="2"/>
  <c r="B290" i="2"/>
  <c r="A290" i="2"/>
  <c r="E289" i="2"/>
  <c r="D289" i="2"/>
  <c r="C289" i="2"/>
  <c r="B289" i="2"/>
  <c r="A289" i="2"/>
  <c r="E288" i="2"/>
  <c r="D288" i="2"/>
  <c r="C288" i="2"/>
  <c r="B288" i="2"/>
  <c r="A288" i="2"/>
  <c r="D284" i="2"/>
  <c r="C284" i="2"/>
  <c r="B284" i="2"/>
  <c r="A284" i="2"/>
  <c r="D283" i="2"/>
  <c r="C283" i="2"/>
  <c r="B283" i="2"/>
  <c r="A283" i="2"/>
  <c r="D282" i="2"/>
  <c r="C282" i="2"/>
  <c r="B282" i="2"/>
  <c r="A282" i="2"/>
  <c r="D278" i="2"/>
  <c r="C278" i="2"/>
  <c r="B278" i="2"/>
  <c r="A278" i="2"/>
  <c r="D277" i="2"/>
  <c r="C277" i="2"/>
  <c r="B277" i="2"/>
  <c r="A277" i="2"/>
  <c r="D276" i="2"/>
  <c r="C276" i="2"/>
  <c r="B276" i="2"/>
  <c r="A276" i="2"/>
  <c r="D275" i="2"/>
  <c r="C275" i="2"/>
  <c r="B275" i="2"/>
  <c r="A275" i="2"/>
  <c r="D274" i="2"/>
  <c r="C274" i="2"/>
  <c r="B274" i="2"/>
  <c r="A274" i="2"/>
  <c r="E270" i="2"/>
  <c r="D270" i="2"/>
  <c r="C270" i="2"/>
  <c r="B270" i="2"/>
  <c r="A270" i="2"/>
  <c r="E269" i="2"/>
  <c r="D269" i="2"/>
  <c r="C269" i="2"/>
  <c r="B269" i="2"/>
  <c r="A269" i="2"/>
  <c r="D265" i="2"/>
  <c r="C265" i="2"/>
  <c r="B265" i="2"/>
  <c r="A265" i="2"/>
  <c r="D264" i="2"/>
  <c r="C264" i="2"/>
  <c r="B264" i="2"/>
  <c r="A264" i="2"/>
  <c r="D263" i="2"/>
  <c r="C263" i="2"/>
  <c r="B263" i="2"/>
  <c r="A263" i="2"/>
  <c r="D262" i="2"/>
  <c r="C262" i="2"/>
  <c r="B262" i="2"/>
  <c r="A262" i="2"/>
  <c r="D261" i="2"/>
  <c r="C261" i="2"/>
  <c r="B261" i="2"/>
  <c r="A261" i="2"/>
  <c r="D260" i="2"/>
  <c r="C260" i="2"/>
  <c r="B260" i="2"/>
  <c r="A260" i="2"/>
  <c r="D259" i="2"/>
  <c r="C259" i="2"/>
  <c r="B259" i="2"/>
  <c r="A259" i="2"/>
  <c r="D255" i="2"/>
  <c r="C255" i="2"/>
  <c r="B255" i="2"/>
  <c r="A255" i="2"/>
  <c r="D254" i="2"/>
  <c r="C254" i="2"/>
  <c r="B254" i="2"/>
  <c r="A254" i="2"/>
  <c r="D253" i="2"/>
  <c r="C253" i="2"/>
  <c r="B253" i="2"/>
  <c r="A253" i="2"/>
  <c r="D252" i="2"/>
  <c r="C252" i="2"/>
  <c r="B252" i="2"/>
  <c r="A252" i="2"/>
  <c r="D248" i="2"/>
  <c r="C248" i="2"/>
  <c r="B248" i="2"/>
  <c r="A248" i="2"/>
  <c r="D247" i="2"/>
  <c r="C247" i="2"/>
  <c r="B247" i="2"/>
  <c r="A247" i="2"/>
  <c r="D246" i="2"/>
  <c r="C246" i="2"/>
  <c r="B246" i="2"/>
  <c r="A246" i="2"/>
  <c r="D245" i="2"/>
  <c r="C245" i="2"/>
  <c r="B245" i="2"/>
  <c r="A245" i="2"/>
  <c r="D244" i="2"/>
  <c r="C244" i="2"/>
  <c r="B244" i="2"/>
  <c r="A244" i="2"/>
  <c r="D243" i="2"/>
  <c r="C243" i="2"/>
  <c r="B243" i="2"/>
  <c r="A243" i="2"/>
  <c r="D242" i="2"/>
  <c r="C242" i="2"/>
  <c r="B242" i="2"/>
  <c r="A242" i="2"/>
  <c r="D241" i="2"/>
  <c r="C241" i="2"/>
  <c r="B241" i="2"/>
  <c r="A241" i="2"/>
  <c r="D237" i="2"/>
  <c r="C237" i="2"/>
  <c r="B237" i="2"/>
  <c r="A237" i="2"/>
  <c r="D236" i="2"/>
  <c r="C236" i="2"/>
  <c r="B236" i="2"/>
  <c r="A236" i="2"/>
  <c r="D235" i="2"/>
  <c r="C235" i="2"/>
  <c r="B235" i="2"/>
  <c r="A235" i="2"/>
  <c r="D234" i="2"/>
  <c r="C234" i="2"/>
  <c r="B234" i="2"/>
  <c r="A234" i="2"/>
  <c r="D233" i="2"/>
  <c r="C233" i="2"/>
  <c r="B233" i="2"/>
  <c r="A233" i="2"/>
  <c r="D232" i="2"/>
  <c r="C232" i="2"/>
  <c r="B232" i="2"/>
  <c r="A232" i="2"/>
  <c r="D231" i="2"/>
  <c r="C231" i="2"/>
  <c r="B231" i="2"/>
  <c r="A231" i="2"/>
  <c r="E227" i="2"/>
  <c r="D227" i="2"/>
  <c r="C227" i="2"/>
  <c r="B227" i="2"/>
  <c r="A227" i="2"/>
  <c r="E226" i="2"/>
  <c r="D226" i="2"/>
  <c r="C226" i="2"/>
  <c r="B226" i="2"/>
  <c r="A226" i="2"/>
  <c r="E225" i="2"/>
  <c r="D225" i="2"/>
  <c r="C225" i="2"/>
  <c r="B225" i="2"/>
  <c r="A225" i="2"/>
  <c r="E224" i="2"/>
  <c r="D224" i="2"/>
  <c r="C224" i="2"/>
  <c r="B224" i="2"/>
  <c r="A224" i="2"/>
  <c r="E220" i="2"/>
  <c r="D220" i="2"/>
  <c r="C220" i="2"/>
  <c r="B220" i="2"/>
  <c r="A220" i="2"/>
  <c r="E219" i="2"/>
  <c r="D219" i="2"/>
  <c r="C219" i="2"/>
  <c r="B219" i="2"/>
  <c r="A219" i="2"/>
  <c r="E218" i="2"/>
  <c r="D218" i="2"/>
  <c r="C218" i="2"/>
  <c r="B218" i="2"/>
  <c r="A218" i="2"/>
  <c r="E217" i="2"/>
  <c r="D217" i="2"/>
  <c r="C217" i="2"/>
  <c r="B217" i="2"/>
  <c r="A217" i="2"/>
  <c r="E216" i="2"/>
  <c r="D216" i="2"/>
  <c r="C216" i="2"/>
  <c r="B216" i="2"/>
  <c r="A216" i="2"/>
  <c r="E215" i="2"/>
  <c r="D215" i="2"/>
  <c r="C215" i="2"/>
  <c r="B215" i="2"/>
  <c r="A215" i="2"/>
  <c r="E214" i="2"/>
  <c r="D214" i="2"/>
  <c r="C214" i="2"/>
  <c r="B214" i="2"/>
  <c r="A214" i="2"/>
  <c r="D210" i="2"/>
  <c r="C210" i="2"/>
  <c r="B210" i="2"/>
  <c r="A210" i="2"/>
  <c r="D209" i="2"/>
  <c r="C209" i="2"/>
  <c r="B209" i="2"/>
  <c r="A209" i="2"/>
  <c r="D205" i="2"/>
  <c r="C205" i="2"/>
  <c r="B205" i="2"/>
  <c r="A205" i="2"/>
  <c r="D204" i="2"/>
  <c r="C204" i="2"/>
  <c r="B204" i="2"/>
  <c r="A204" i="2"/>
  <c r="D203" i="2"/>
  <c r="C203" i="2"/>
  <c r="B203" i="2"/>
  <c r="A203" i="2"/>
  <c r="D202" i="2"/>
  <c r="C202" i="2"/>
  <c r="B202" i="2"/>
  <c r="A202" i="2"/>
  <c r="D201" i="2"/>
  <c r="C201" i="2"/>
  <c r="B201" i="2"/>
  <c r="A201" i="2"/>
  <c r="D200" i="2"/>
  <c r="C200" i="2"/>
  <c r="B200" i="2"/>
  <c r="A200" i="2"/>
  <c r="D199" i="2"/>
  <c r="C199" i="2"/>
  <c r="B199" i="2"/>
  <c r="A199" i="2"/>
  <c r="D195" i="2"/>
  <c r="C195" i="2"/>
  <c r="B195" i="2"/>
  <c r="A195" i="2"/>
  <c r="D191" i="2"/>
  <c r="C191" i="2"/>
  <c r="B191" i="2"/>
  <c r="A191" i="2"/>
  <c r="D190" i="2"/>
  <c r="C190" i="2"/>
  <c r="B190" i="2"/>
  <c r="A190" i="2"/>
  <c r="D189" i="2"/>
  <c r="C189" i="2"/>
  <c r="B189" i="2"/>
  <c r="A189" i="2"/>
  <c r="D185" i="2"/>
  <c r="C185" i="2"/>
  <c r="B185" i="2"/>
  <c r="A185" i="2"/>
  <c r="D184" i="2"/>
  <c r="C184" i="2"/>
  <c r="B184" i="2"/>
  <c r="A184" i="2"/>
  <c r="D183" i="2"/>
  <c r="C183" i="2"/>
  <c r="B183" i="2"/>
  <c r="A183" i="2"/>
  <c r="D179" i="2"/>
  <c r="C179" i="2"/>
  <c r="B179" i="2"/>
  <c r="A179" i="2"/>
  <c r="D178" i="2"/>
  <c r="C178" i="2"/>
  <c r="B178" i="2"/>
  <c r="A178" i="2"/>
  <c r="D177" i="2"/>
  <c r="C177" i="2"/>
  <c r="B177" i="2"/>
  <c r="A177" i="2"/>
  <c r="D176" i="2"/>
  <c r="C176" i="2"/>
  <c r="B176" i="2"/>
  <c r="A176" i="2"/>
  <c r="E172" i="2"/>
  <c r="D172" i="2"/>
  <c r="C172" i="2"/>
  <c r="B172" i="2"/>
  <c r="A172" i="2"/>
  <c r="E171" i="2"/>
  <c r="D171" i="2"/>
  <c r="C171" i="2"/>
  <c r="B171" i="2"/>
  <c r="A171" i="2"/>
  <c r="E170" i="2"/>
  <c r="D170" i="2"/>
  <c r="C170" i="2"/>
  <c r="B170" i="2"/>
  <c r="A170" i="2"/>
  <c r="E169" i="2"/>
  <c r="D169" i="2"/>
  <c r="C169" i="2"/>
  <c r="B169" i="2"/>
  <c r="A169" i="2"/>
  <c r="E168" i="2"/>
  <c r="D168" i="2"/>
  <c r="C168" i="2"/>
  <c r="B168" i="2"/>
  <c r="A168" i="2"/>
  <c r="E167" i="2"/>
  <c r="D167" i="2"/>
  <c r="C167" i="2"/>
  <c r="B167" i="2"/>
  <c r="A167" i="2"/>
  <c r="E163" i="2"/>
  <c r="D163" i="2"/>
  <c r="C163" i="2"/>
  <c r="B163" i="2"/>
  <c r="A163" i="2"/>
  <c r="E162" i="2"/>
  <c r="D162" i="2"/>
  <c r="C162" i="2"/>
  <c r="B162" i="2"/>
  <c r="A162" i="2"/>
  <c r="E161" i="2"/>
  <c r="D161" i="2"/>
  <c r="C161" i="2"/>
  <c r="B161" i="2"/>
  <c r="A161" i="2"/>
  <c r="E160" i="2"/>
  <c r="D160" i="2"/>
  <c r="C160" i="2"/>
  <c r="B160" i="2"/>
  <c r="A160" i="2"/>
  <c r="E159" i="2"/>
  <c r="D159" i="2"/>
  <c r="C159" i="2"/>
  <c r="B159" i="2"/>
  <c r="A159" i="2"/>
  <c r="E158" i="2"/>
  <c r="D158" i="2"/>
  <c r="C158" i="2"/>
  <c r="B158" i="2"/>
  <c r="A158" i="2"/>
  <c r="E154" i="2"/>
  <c r="D154" i="2"/>
  <c r="C154" i="2"/>
  <c r="B154" i="2"/>
  <c r="A154" i="2"/>
  <c r="E153" i="2"/>
  <c r="D153" i="2"/>
  <c r="C153" i="2"/>
  <c r="B153" i="2"/>
  <c r="A153" i="2"/>
  <c r="E149" i="2"/>
  <c r="D149" i="2"/>
  <c r="C149" i="2"/>
  <c r="B149" i="2"/>
  <c r="A149" i="2"/>
  <c r="E148" i="2"/>
  <c r="D148" i="2"/>
  <c r="C148" i="2"/>
  <c r="B148" i="2"/>
  <c r="A148" i="2"/>
  <c r="E147" i="2"/>
  <c r="D147" i="2"/>
  <c r="C147" i="2"/>
  <c r="B147" i="2"/>
  <c r="A147" i="2"/>
  <c r="E146" i="2"/>
  <c r="D146" i="2"/>
  <c r="C146" i="2"/>
  <c r="B146" i="2"/>
  <c r="A146" i="2"/>
  <c r="E145" i="2"/>
  <c r="D145" i="2"/>
  <c r="C145" i="2"/>
  <c r="B145" i="2"/>
  <c r="A145" i="2"/>
  <c r="E141" i="2"/>
  <c r="D141" i="2"/>
  <c r="C141" i="2"/>
  <c r="B141" i="2"/>
  <c r="A141" i="2"/>
  <c r="E140" i="2"/>
  <c r="D140" i="2"/>
  <c r="C140" i="2"/>
  <c r="B140" i="2"/>
  <c r="A140" i="2"/>
  <c r="E139" i="2"/>
  <c r="D139" i="2"/>
  <c r="C139" i="2"/>
  <c r="B139" i="2"/>
  <c r="A139" i="2"/>
  <c r="E138" i="2"/>
  <c r="D138" i="2"/>
  <c r="C138" i="2"/>
  <c r="B138" i="2"/>
  <c r="A138" i="2"/>
  <c r="E137" i="2"/>
  <c r="D137" i="2"/>
  <c r="C137" i="2"/>
  <c r="B137" i="2"/>
  <c r="A137" i="2"/>
  <c r="D133" i="2"/>
  <c r="C133" i="2"/>
  <c r="B133" i="2"/>
  <c r="A133" i="2"/>
  <c r="D132" i="2"/>
  <c r="C132" i="2"/>
  <c r="B132" i="2"/>
  <c r="A132" i="2"/>
  <c r="D131" i="2"/>
  <c r="C131" i="2"/>
  <c r="B131" i="2"/>
  <c r="A131" i="2"/>
  <c r="D130" i="2"/>
  <c r="C130" i="2"/>
  <c r="B130" i="2"/>
  <c r="A130" i="2"/>
  <c r="D129" i="2"/>
  <c r="C129" i="2"/>
  <c r="B129" i="2"/>
  <c r="A129" i="2"/>
  <c r="D128" i="2"/>
  <c r="C128" i="2"/>
  <c r="B128" i="2"/>
  <c r="A128" i="2"/>
  <c r="D127" i="2"/>
  <c r="C127" i="2"/>
  <c r="B127" i="2"/>
  <c r="A127" i="2"/>
  <c r="D126" i="2"/>
  <c r="C126" i="2"/>
  <c r="B126" i="2"/>
  <c r="A126" i="2"/>
  <c r="E122" i="2"/>
  <c r="D122" i="2"/>
  <c r="C122" i="2"/>
  <c r="B122" i="2"/>
  <c r="A122" i="2"/>
  <c r="E121" i="2"/>
  <c r="D121" i="2"/>
  <c r="C121" i="2"/>
  <c r="B121" i="2"/>
  <c r="A121" i="2"/>
  <c r="E120" i="2"/>
  <c r="D120" i="2"/>
  <c r="C120" i="2"/>
  <c r="B120" i="2"/>
  <c r="A120" i="2"/>
  <c r="E119" i="2"/>
  <c r="D119" i="2"/>
  <c r="C119" i="2"/>
  <c r="B119" i="2"/>
  <c r="A119" i="2"/>
  <c r="E115" i="2"/>
  <c r="D115" i="2"/>
  <c r="C115" i="2"/>
  <c r="B115" i="2"/>
  <c r="A115" i="2"/>
  <c r="E114" i="2"/>
  <c r="D114" i="2"/>
  <c r="C114" i="2"/>
  <c r="B114" i="2"/>
  <c r="A114" i="2"/>
  <c r="E113" i="2"/>
  <c r="D113" i="2"/>
  <c r="C113" i="2"/>
  <c r="B113" i="2"/>
  <c r="A113" i="2"/>
  <c r="E112" i="2"/>
  <c r="D112" i="2"/>
  <c r="C112" i="2"/>
  <c r="B112" i="2"/>
  <c r="A112" i="2"/>
  <c r="D108" i="2"/>
  <c r="C108" i="2"/>
  <c r="B108" i="2"/>
  <c r="A108" i="2"/>
  <c r="D107" i="2"/>
  <c r="C107" i="2"/>
  <c r="B107" i="2"/>
  <c r="A107" i="2"/>
  <c r="D106" i="2"/>
  <c r="C106" i="2"/>
  <c r="B106" i="2"/>
  <c r="A106" i="2"/>
  <c r="D105" i="2"/>
  <c r="C105" i="2"/>
  <c r="B105" i="2"/>
  <c r="A105" i="2"/>
  <c r="D104" i="2"/>
  <c r="C104" i="2"/>
  <c r="B104" i="2"/>
  <c r="A104" i="2"/>
  <c r="D100" i="2"/>
  <c r="C100" i="2"/>
  <c r="B100" i="2"/>
  <c r="A100" i="2"/>
  <c r="D99" i="2"/>
  <c r="C99" i="2"/>
  <c r="B99" i="2"/>
  <c r="A99" i="2"/>
  <c r="D98" i="2"/>
  <c r="C98" i="2"/>
  <c r="B98" i="2"/>
  <c r="A98" i="2"/>
  <c r="D97" i="2"/>
  <c r="C97" i="2"/>
  <c r="B97" i="2"/>
  <c r="A97" i="2"/>
  <c r="D96" i="2"/>
  <c r="C96" i="2"/>
  <c r="B96" i="2"/>
  <c r="A96" i="2"/>
  <c r="D92" i="2"/>
  <c r="C92" i="2"/>
  <c r="B92" i="2"/>
  <c r="A92" i="2"/>
  <c r="E88" i="2"/>
  <c r="D88" i="2"/>
  <c r="C88" i="2"/>
  <c r="B88" i="2"/>
  <c r="A88" i="2"/>
  <c r="E87" i="2"/>
  <c r="D87" i="2"/>
  <c r="C87" i="2"/>
  <c r="B87" i="2"/>
  <c r="A87" i="2"/>
  <c r="E86" i="2"/>
  <c r="D86" i="2"/>
  <c r="C86" i="2"/>
  <c r="B86" i="2"/>
  <c r="A86" i="2"/>
  <c r="E85" i="2"/>
  <c r="D85" i="2"/>
  <c r="C85" i="2"/>
  <c r="B85" i="2"/>
  <c r="A85" i="2"/>
  <c r="E81" i="2"/>
  <c r="D81" i="2"/>
  <c r="C81" i="2"/>
  <c r="B81" i="2"/>
  <c r="A81" i="2"/>
  <c r="E80" i="2"/>
  <c r="D80" i="2"/>
  <c r="C80" i="2"/>
  <c r="B80" i="2"/>
  <c r="A80" i="2"/>
  <c r="E76" i="2"/>
  <c r="D76" i="2"/>
  <c r="C76" i="2"/>
  <c r="B76" i="2"/>
  <c r="A76" i="2"/>
  <c r="E75" i="2"/>
  <c r="D75" i="2"/>
  <c r="C75" i="2"/>
  <c r="B75" i="2"/>
  <c r="A75" i="2"/>
  <c r="E71" i="2"/>
  <c r="D71" i="2"/>
  <c r="C71" i="2"/>
  <c r="B71" i="2"/>
  <c r="A71" i="2"/>
  <c r="E70" i="2"/>
  <c r="D70" i="2"/>
  <c r="C70" i="2"/>
  <c r="B70" i="2"/>
  <c r="A70" i="2"/>
  <c r="E66" i="2"/>
  <c r="D66" i="2"/>
  <c r="C66" i="2"/>
  <c r="B66" i="2"/>
  <c r="A66" i="2"/>
  <c r="E65" i="2"/>
  <c r="D65" i="2"/>
  <c r="C65" i="2"/>
  <c r="B65" i="2"/>
  <c r="A65" i="2"/>
  <c r="D61" i="2"/>
  <c r="C61" i="2"/>
  <c r="B61" i="2"/>
  <c r="A61" i="2"/>
  <c r="D60" i="2"/>
  <c r="C60" i="2"/>
  <c r="B60" i="2"/>
  <c r="A60" i="2"/>
  <c r="D59" i="2"/>
  <c r="C59" i="2"/>
  <c r="B59" i="2"/>
  <c r="A59" i="2"/>
  <c r="E55" i="2"/>
  <c r="D55" i="2"/>
  <c r="C55" i="2"/>
  <c r="B55" i="2"/>
  <c r="A55" i="2"/>
  <c r="E54" i="2"/>
  <c r="D54" i="2"/>
  <c r="C54" i="2"/>
  <c r="B54" i="2"/>
  <c r="A54" i="2"/>
  <c r="E53" i="2"/>
  <c r="D53" i="2"/>
  <c r="C53" i="2"/>
  <c r="B53" i="2"/>
  <c r="A53" i="2"/>
  <c r="E52" i="2"/>
  <c r="D52" i="2"/>
  <c r="C52" i="2"/>
  <c r="B52" i="2"/>
  <c r="A52" i="2"/>
  <c r="E51" i="2"/>
  <c r="D51" i="2"/>
  <c r="C51" i="2"/>
  <c r="B51" i="2"/>
  <c r="A51" i="2"/>
  <c r="E50" i="2"/>
  <c r="D50" i="2"/>
  <c r="C50" i="2"/>
  <c r="B50" i="2"/>
  <c r="A50" i="2"/>
  <c r="E49" i="2"/>
  <c r="D49" i="2"/>
  <c r="C49" i="2"/>
  <c r="B49" i="2"/>
  <c r="A49" i="2"/>
  <c r="D45" i="2"/>
  <c r="C45" i="2"/>
  <c r="B45" i="2"/>
  <c r="A45" i="2"/>
  <c r="D41" i="2"/>
  <c r="C41" i="2"/>
  <c r="B41" i="2"/>
  <c r="A41" i="2"/>
  <c r="D40" i="2"/>
  <c r="C40" i="2"/>
  <c r="B40" i="2"/>
  <c r="A40" i="2"/>
  <c r="D36" i="2"/>
  <c r="C36" i="2"/>
  <c r="B36" i="2"/>
  <c r="A36" i="2"/>
  <c r="D35" i="2"/>
  <c r="C35" i="2"/>
  <c r="B35" i="2"/>
  <c r="A35" i="2"/>
  <c r="D34" i="2"/>
  <c r="C34" i="2"/>
  <c r="B34" i="2"/>
  <c r="A34" i="2"/>
  <c r="D30" i="2"/>
  <c r="C30" i="2"/>
  <c r="B30" i="2"/>
  <c r="A30" i="2"/>
  <c r="D29" i="2"/>
  <c r="C29" i="2"/>
  <c r="B29" i="2"/>
  <c r="A29" i="2"/>
  <c r="E25" i="2"/>
  <c r="D25" i="2"/>
  <c r="C25" i="2"/>
  <c r="B25" i="2"/>
  <c r="A25" i="2"/>
  <c r="E24" i="2"/>
  <c r="D24" i="2"/>
  <c r="C24" i="2"/>
  <c r="B24" i="2"/>
  <c r="A24" i="2"/>
  <c r="E23" i="2"/>
  <c r="D23" i="2"/>
  <c r="C23" i="2"/>
  <c r="B23" i="2"/>
  <c r="A23" i="2"/>
  <c r="E22" i="2"/>
  <c r="D22" i="2"/>
  <c r="C22" i="2"/>
  <c r="B22" i="2"/>
  <c r="A22" i="2"/>
  <c r="E21" i="2"/>
  <c r="D21" i="2"/>
  <c r="C21" i="2"/>
  <c r="B21" i="2"/>
  <c r="A21" i="2"/>
  <c r="E20" i="2"/>
  <c r="D20" i="2"/>
  <c r="C20" i="2"/>
  <c r="B20" i="2"/>
  <c r="A20" i="2"/>
  <c r="E19" i="2"/>
  <c r="D19" i="2"/>
  <c r="C19" i="2"/>
  <c r="B19" i="2"/>
  <c r="A19" i="2"/>
  <c r="E18" i="2"/>
  <c r="D18" i="2"/>
  <c r="C18" i="2"/>
  <c r="B18" i="2"/>
  <c r="A18" i="2"/>
  <c r="E17" i="2"/>
  <c r="D17" i="2"/>
  <c r="C17" i="2"/>
  <c r="B17" i="2"/>
  <c r="A17" i="2"/>
  <c r="E16" i="2"/>
  <c r="D16" i="2"/>
  <c r="C16" i="2"/>
  <c r="B16" i="2"/>
  <c r="A16" i="2"/>
  <c r="D12" i="2"/>
  <c r="C12" i="2"/>
  <c r="B12" i="2"/>
  <c r="A12" i="2"/>
  <c r="D11" i="2"/>
  <c r="C11" i="2"/>
  <c r="B11" i="2"/>
  <c r="A11" i="2"/>
  <c r="D10" i="2"/>
  <c r="C10" i="2"/>
  <c r="B10" i="2"/>
  <c r="A10" i="2"/>
  <c r="F24" i="8" l="1"/>
  <c r="F40" i="8" s="1"/>
</calcChain>
</file>

<file path=xl/sharedStrings.xml><?xml version="1.0" encoding="utf-8"?>
<sst xmlns="http://schemas.openxmlformats.org/spreadsheetml/2006/main" count="5583" uniqueCount="2638">
  <si>
    <t>Official Price List</t>
  </si>
  <si>
    <t>All prices in USD. Prices exclusive of taxes and duties. Terms and conditions per master service agreement.</t>
  </si>
  <si>
    <t>Client:</t>
  </si>
  <si>
    <t>Date:</t>
  </si>
  <si>
    <t>A.  FISHING &amp; SPECIAL TOOLS</t>
  </si>
  <si>
    <t>← Contents</t>
  </si>
  <si>
    <t>Personnel &amp; Transportation — Daily Rates</t>
  </si>
  <si>
    <t>Item Code</t>
  </si>
  <si>
    <t>Description</t>
  </si>
  <si>
    <t>Unit</t>
  </si>
  <si>
    <t>Price (USD)</t>
  </si>
  <si>
    <t>Baskets — Junk</t>
  </si>
  <si>
    <t>First Day</t>
  </si>
  <si>
    <t>Additional Day</t>
  </si>
  <si>
    <t>Baskets — Reverse Circulating Jet, Tungsten Carbide Dressed</t>
  </si>
  <si>
    <t>Baskets — Junk (Poor Boy, Drag Tooth)</t>
  </si>
  <si>
    <t>Impression Blocks</t>
  </si>
  <si>
    <t>Boxes — Metal</t>
  </si>
  <si>
    <t>Washpipe Spears — Triple Connection or Canfield</t>
  </si>
  <si>
    <t>Safety or Control Bushings</t>
  </si>
  <si>
    <t>Clamps — Safety, Drill Collar</t>
  </si>
  <si>
    <t>Minimum 4 Days</t>
  </si>
  <si>
    <t>Jars — Fishing, Hydraulic or Mechanical</t>
  </si>
  <si>
    <t>First 8 Hours</t>
  </si>
  <si>
    <t>Additional Hour</t>
  </si>
  <si>
    <t>Jars — Bumper Sub</t>
  </si>
  <si>
    <t>Mills — Dressed with Tungsten Carbide</t>
  </si>
  <si>
    <t>First 30 ft</t>
  </si>
  <si>
    <t>Milling Sections</t>
  </si>
  <si>
    <t>Mills — Cement, Junk or Bladed</t>
  </si>
  <si>
    <t>Mills — Cement, Concave or Flat Bottom</t>
  </si>
  <si>
    <t>Mills — Packer, Pilot or Tapered</t>
  </si>
  <si>
    <t>Overshots — Series 150 Rotary</t>
  </si>
  <si>
    <t>Overshots — Series 70 Short Catch</t>
  </si>
  <si>
    <t>Overshot Guides — Mill Type, Tungsten Carbide</t>
  </si>
  <si>
    <t>Overshot Extensions</t>
  </si>
  <si>
    <t>Guides — Oversize</t>
  </si>
  <si>
    <t>Guides — Wall Book</t>
  </si>
  <si>
    <t>Pipe — Washover</t>
  </si>
  <si>
    <t>Pipe — Washover Extensions</t>
  </si>
  <si>
    <t>Bull Nose</t>
  </si>
  <si>
    <t>Lift Subs (Used with Washpipe)</t>
  </si>
  <si>
    <t>Reamers — 3 &amp; 4 Blade, Conventional Fishing, Dressed</t>
  </si>
  <si>
    <t>Saw — Pneumatic Casing</t>
  </si>
  <si>
    <t>Casing Scrapers</t>
  </si>
  <si>
    <t>Shoes — Rotary or Washpipe, Crushed Tungsten Carbide</t>
  </si>
  <si>
    <t>Rollers — Casing</t>
  </si>
  <si>
    <t>Shock Tools</t>
  </si>
  <si>
    <t>First 5 Days</t>
  </si>
  <si>
    <t>Spears — Rope Center, Multi-Prong</t>
  </si>
  <si>
    <t>Spears — Rotary Releasing and "J"-Type, Full</t>
  </si>
  <si>
    <t>Spear Extensions</t>
  </si>
  <si>
    <t>Spear Pack-Off</t>
  </si>
  <si>
    <t>Lift Subs — Drill Collar</t>
  </si>
  <si>
    <t>Spear Stop Subs</t>
  </si>
  <si>
    <t>Stabilizers — Welded Blade, Fixed Blade</t>
  </si>
  <si>
    <t>Subs — Rotary</t>
  </si>
  <si>
    <t>Taps — Screw In / Cut-Lip</t>
  </si>
  <si>
    <t>Swages — Casing (Swaging Tool)</t>
  </si>
  <si>
    <t>Die Collars &amp; Tapered Taps</t>
  </si>
  <si>
    <t>B.  TESTING TOOLS — PACKERS, BRIDGE PLUGS &amp; SETTING TOOLS</t>
  </si>
  <si>
    <t>Transportation &amp; Personnel</t>
  </si>
  <si>
    <t>Retrievable Test, Treat and Squeeze Packer</t>
  </si>
  <si>
    <t>Retrievable Bridge Plug (Run Separately)</t>
  </si>
  <si>
    <t>Retrievable Bridge Plug (Run with Another MAKAMAN Libya Tool)</t>
  </si>
  <si>
    <t>Setting Tools &amp; Accessories</t>
  </si>
  <si>
    <t>C.  SALES — DRILLABLE CEMENT RETAINERS &amp; BRIDGE PLUG PACKERS</t>
  </si>
  <si>
    <t>Drillable Cement Retainers &amp; Drillable Bridge Plug Packers</t>
  </si>
  <si>
    <t>D.  GENERAL CONDITIONS &amp; SURCHARGES</t>
  </si>
  <si>
    <t>Sale, Damaged or Lost Tools</t>
  </si>
  <si>
    <t>Customer's Equipment</t>
  </si>
  <si>
    <t>Destructive Well Fluids &amp; Surcharges</t>
  </si>
  <si>
    <t>Official Price List — Tools and Testing</t>
  </si>
  <si>
    <t>All prices in USD ($). Prices subject to surcharges per Terms &amp; Conditions. Quotation only — not a contract.</t>
  </si>
  <si>
    <t>A.  TOOLS SERVICES</t>
  </si>
  <si>
    <t>Price</t>
  </si>
  <si>
    <t>Job cancellation: when called to location and the job is not run due to circumstances beyond our control, personnel charges are in addition.</t>
  </si>
  <si>
    <t>Retrievable Test, Treat &amp; Squeeze Packer — First 8 Hours or Fraction</t>
  </si>
  <si>
    <t>Price is determined by size and depth packer set. Job time begins when the tool starts in the well and ends when recovered. Additional zone charge applies when the tool is moved to another zone for any purpose (excludes looking for casing leaks).</t>
  </si>
  <si>
    <t>Retrievable Bridge Plug (run with another Makaman packer) — First 8 Hours or Fraction</t>
  </si>
  <si>
    <t>Retrievable Bridge Plug (run separately) — First 8 Hours or Fraction</t>
  </si>
  <si>
    <t>Drill Cement Retainers &amp; Drillable Bridge Plug — Special Tools Service</t>
  </si>
  <si>
    <t>Sales — per Casing OD</t>
  </si>
  <si>
    <t>B.  DRILLING TOOLS &amp; FILTRATION</t>
  </si>
  <si>
    <t>Drilling Tools — Stabilizers, Jars &amp; Casing Scrapers</t>
  </si>
  <si>
    <t>Per Day</t>
  </si>
  <si>
    <t>Add. Day</t>
  </si>
  <si>
    <t>Stand-By</t>
  </si>
  <si>
    <t>Filtration Services</t>
  </si>
  <si>
    <t>C.  PUMPING &amp; STIMULATION SERVICES</t>
  </si>
  <si>
    <t>500 HP Pump</t>
  </si>
  <si>
    <t>1,000 HP Pump</t>
  </si>
  <si>
    <t>2,000 HP Pump</t>
  </si>
  <si>
    <t>Volume Charge</t>
  </si>
  <si>
    <t>High Pressure Treating Line — 2" H.P. Iron</t>
  </si>
  <si>
    <t>High Pressure Flexible Hoses</t>
  </si>
  <si>
    <t>Acid Mixing &amp; Holding Tanks (Lined)</t>
  </si>
  <si>
    <t>Acid Transport Tanks (Lined)</t>
  </si>
  <si>
    <t>Acid Road Tanker (Lined)</t>
  </si>
  <si>
    <t>Fluid Mixing &amp; Holding Tanks (Unlined)</t>
  </si>
  <si>
    <t>Fluid Mixing &amp; Holding Tanks (Lined)</t>
  </si>
  <si>
    <t>Batch Mixers c/w Diesel Engine</t>
  </si>
  <si>
    <t>Suction Pressure &amp; Fluid Transfer Pumps — Centrifugal</t>
  </si>
  <si>
    <t>Suction / Discharge Hoses</t>
  </si>
  <si>
    <t>Stimulation Fluid Mixing</t>
  </si>
  <si>
    <t>D.  DRILL STEM TESTING SERVICES</t>
  </si>
  <si>
    <t>Conventional Bottom Hole or Straddle Tests (Cased or Open Hole) — First 24 Hours</t>
  </si>
  <si>
    <t>Depth in Feet</t>
  </si>
  <si>
    <t>Charges are for the first 24 hours from the time the packers are run through the rotary table into the well until they return to surface; additional hours are charged for. Standard conventional tools included: 30 ft perforated anchor, 2 sets open-hole packer assembly, Lee Mason hydraulic jars, shut-in tool, reverse circulating subs, drop-bar assembly, 5 joints of chicksan, bull nose, bypass pipe, Walter's safety joint, hydraulic main valve, analysis kit, bubble head and hoses.</t>
  </si>
  <si>
    <t>Auxiliary Charges</t>
  </si>
  <si>
    <t>Corrosive service charge (H₂S, CO₂ or acid) and desert surcharge each add 20%.</t>
  </si>
  <si>
    <t>Optional Equipment Charges (at customer's request)</t>
  </si>
  <si>
    <t>Pressure &amp; Temperature Recorders</t>
  </si>
  <si>
    <t>Recorders, Reports &amp; Data Analysis</t>
  </si>
  <si>
    <t>Sale of Damaged Open Hole Packer Rubbers</t>
  </si>
  <si>
    <t>Sale of Casing Packer Redress Kits</t>
  </si>
  <si>
    <t>Sale of Damaged Packer Rubber Supports (Inserts)</t>
  </si>
  <si>
    <t>E.  FISHING SERVICES</t>
  </si>
  <si>
    <t>Fishing Services — Personnel &amp; Mobilisation</t>
  </si>
  <si>
    <t>Last Day</t>
  </si>
  <si>
    <t>Reverse Circulating Jet &amp; Junk Baskets (Poor Boy / Drag Tooth)</t>
  </si>
  <si>
    <t>Per Run</t>
  </si>
  <si>
    <t>Impression Blocks &amp; Metal Boxes</t>
  </si>
  <si>
    <t>Triple Connection / Canfield Washpipe</t>
  </si>
  <si>
    <t>Safety / Control Bushing</t>
  </si>
  <si>
    <t>Safety Clamps — Drill Collar or Wireline (min. 4 days)</t>
  </si>
  <si>
    <t>Cutters — Inside &amp; Outside Casing (Mechanical / Hydraulic)</t>
  </si>
  <si>
    <t>Per Cut</t>
  </si>
  <si>
    <t>Inside Casing Hydraulic Pressure Cutter</t>
  </si>
  <si>
    <t>Drilling &amp; Fishing Jars, Bumper Subs</t>
  </si>
  <si>
    <t>First 8 Hrs</t>
  </si>
  <si>
    <t>Add. Hr</t>
  </si>
  <si>
    <t>Rotary Safety, J-Type Safety, Magnets &amp; Fishing Jars</t>
  </si>
  <si>
    <t>Mills — Dressed with Tungsten Carbide Inserts</t>
  </si>
  <si>
    <t>Mills — Cement, Junk, Bladed &amp; Packer/Pilot Types</t>
  </si>
  <si>
    <t>Overshots — Series 150, Rotary Releasing &amp; Pack-off (Small)</t>
  </si>
  <si>
    <t>Overshots — Series 150, Rotary Releasing &amp; Pack-off (Large)</t>
  </si>
  <si>
    <t>Overshot Guides — Mill Type (Tungsten Carbide Dressed)</t>
  </si>
  <si>
    <t>Guides — Oversize, Donut, Extra &amp; Wall Hook</t>
  </si>
  <si>
    <t>Washover Pipe</t>
  </si>
  <si>
    <t>First Day ($/ft)</t>
  </si>
  <si>
    <t>Add. Day ($/ft)</t>
  </si>
  <si>
    <t>Washover Pipe Extensions</t>
  </si>
  <si>
    <t>Bull Nose &amp; Lift Subs</t>
  </si>
  <si>
    <t>Reamers, Saws, Casing Scrapers &amp; Shoes</t>
  </si>
  <si>
    <t>Cable Spear</t>
  </si>
  <si>
    <t>Rope Center / Multi-Prong &amp; Rotary Releasing J-Type Spears</t>
  </si>
  <si>
    <t>Spear Extensions &amp; Pack-off Assemblies</t>
  </si>
  <si>
    <t>Lift — Drill Collar</t>
  </si>
  <si>
    <t>Stabilizers — Welded / Fixed Blade</t>
  </si>
  <si>
    <t>Per Job</t>
  </si>
  <si>
    <t>Subs — Rotary &amp; Bit (Sucker Rod Conn.)</t>
  </si>
  <si>
    <t>Subs — Rotary &amp; Bit (Sucker Rod Conn.), per Day</t>
  </si>
  <si>
    <t>Swages — Casing, Die Collars &amp; Tapered</t>
  </si>
  <si>
    <t>F.  CUSTOMER'S EQUIPMENT &amp; TERMS</t>
  </si>
  <si>
    <t>Customer's Equipment — Surcharges</t>
  </si>
  <si>
    <t>Surcharge</t>
  </si>
  <si>
    <t>Damaged or Lost Tool Services: Tools lost/damaged in transit, lost-in-hole, or damaged beyond repair are charged at Makaman Libya landed cost plus 50%, plus 100% of accrued rental. Parts to recondition a tool: landed cost plus 50%. Tools cut/welded/modified at customer's request are considered damaged beyond repair. Landed cost = manufacturer's export price plus 35%. Corrosive-environment surcharge: 50%. Desert/Marine surcharge (add to all invoices): plus 20%.</t>
  </si>
  <si>
    <t>Oil Service Incorporated — Tools &amp; Testing / Special Tools Service   ·   All prices in USD ($)   ·   Rates per unit as noted</t>
  </si>
  <si>
    <t>A.  TRANSPORTATION &amp; PERSONNEL</t>
  </si>
  <si>
    <t>Transportation &amp; Personnel — Daily Rates</t>
  </si>
  <si>
    <t>per KM</t>
  </si>
  <si>
    <t>per day</t>
  </si>
  <si>
    <t>B.  RETRIEVABLE PACKERS, BRIDGE PLUGS &amp; SETTING TOOLS</t>
  </si>
  <si>
    <t>Retrievable Test, Treat &amp; Squeeze Packer</t>
  </si>
  <si>
    <t>Size thru 7"</t>
  </si>
  <si>
    <t>Size thru 9 5/8"</t>
  </si>
  <si>
    <t>Size 13 3/8"</t>
  </si>
  <si>
    <t>Retrievable Bridge Plug — Run Separately</t>
  </si>
  <si>
    <t>Retrievable Bridge Plug — Run With Another MAKAMAN Packer</t>
  </si>
  <si>
    <t>per job</t>
  </si>
  <si>
    <t>per run</t>
  </si>
  <si>
    <t>C.  DRILLABLE CEMENT RETAINERS &amp; BRIDGE PLUGS — SALES</t>
  </si>
  <si>
    <t>Drillable Cement Retainers &amp; Drillable Bridge Plug Packer — by Casing OD (Sale)</t>
  </si>
  <si>
    <t>per unit</t>
  </si>
  <si>
    <t>D.  FISHING SUPERVISION &amp; BASKETS</t>
  </si>
  <si>
    <t>Fishing Supervision &amp; Transport</t>
  </si>
  <si>
    <t>Junk Baskets</t>
  </si>
  <si>
    <t>$/day</t>
  </si>
  <si>
    <t>Reverse-Circulating Jet Baskets (Tungsten)</t>
  </si>
  <si>
    <t>Junk Baskets — Poor-Boy / Drag-Tooth</t>
  </si>
  <si>
    <t>Impression Block — 8" OD &amp; smaller</t>
  </si>
  <si>
    <t>Impression Block — over 8"</t>
  </si>
  <si>
    <t>Boxes, Metal — all sizes</t>
  </si>
  <si>
    <t>E.  WASHPIPE ACCESSORIES, BUSHINGS &amp; CLAMPS</t>
  </si>
  <si>
    <t>Washpipe Spears / Wasphip Pin</t>
  </si>
  <si>
    <t>Safety / Control Bushings</t>
  </si>
  <si>
    <t>Safety Clamps — Drill Collar or Wireline</t>
  </si>
  <si>
    <t>$/day (min 4)</t>
  </si>
  <si>
    <t>F.  CUTTERS</t>
  </si>
  <si>
    <t>Inside Casing Cutters — Mechanical</t>
  </si>
  <si>
    <t>per cut</t>
  </si>
  <si>
    <t>Outside Cutters — Casing, Drill or Tubing</t>
  </si>
  <si>
    <t>Inside Casing Cutters — Hydraulic Pressure (Conventional Gridded)</t>
  </si>
  <si>
    <t>G.  JARS &amp; BUMPER SUBS</t>
  </si>
  <si>
    <t>Fishing Jars (Hydraulic or Mechanical) &amp; Bumper Subs</t>
  </si>
  <si>
    <t>Fishing Jar — Thru 6-1/2" OD</t>
  </si>
  <si>
    <t>Fishing Jar — Thru 8" OD</t>
  </si>
  <si>
    <t>Bumper Sub — 4-1/4" OD</t>
  </si>
  <si>
    <t>Bumper Sub — 6-1/4" OD</t>
  </si>
  <si>
    <t>H.  SAFETY SUBS &amp; MAGNETS</t>
  </si>
  <si>
    <t>Rotary Safety, "J"-Type &amp; Shear-Pin Subs — Drill Pipe &amp; Tubing</t>
  </si>
  <si>
    <t>Rotary Safety — 3-1/2" conn.</t>
  </si>
  <si>
    <t>Rotary Safety — 6-5/8" conn. &amp; smaller</t>
  </si>
  <si>
    <t>"J"-Type / Shear-Pin — 6-5/8" conn. &amp; smaller</t>
  </si>
  <si>
    <t>Magnets</t>
  </si>
  <si>
    <t>Ditch Magnet — all sizes</t>
  </si>
  <si>
    <t>Fishing Magnet — Thru 2-1/2" OD</t>
  </si>
  <si>
    <t>Fishing Magnet — Thru 4-1/2" OD</t>
  </si>
  <si>
    <t>Fishing Magnet — Thru 6-1/2" OD</t>
  </si>
  <si>
    <t>Fishing Magnet — Thru 8-1/2" OD</t>
  </si>
  <si>
    <t>Fishing Magnet — Thru 11-1/2" OD</t>
  </si>
  <si>
    <t>I.  MILLS</t>
  </si>
  <si>
    <t>Mills — Dressed with Tungsten Carbide / Milling Section</t>
  </si>
  <si>
    <t>First 30 Days</t>
  </si>
  <si>
    <t>Dressed w/Tungsten — Thru 10 3/4" OD</t>
  </si>
  <si>
    <t>per tool</t>
  </si>
  <si>
    <t>Dressed w/Tungsten — Thru 13 3/8" OD</t>
  </si>
  <si>
    <t>Milling Section — Thru 8 5/8" OD</t>
  </si>
  <si>
    <t>Milling Section — Thru 10 3/4" OD</t>
  </si>
  <si>
    <t>Milling Section — Thru 13 3/8" OD</t>
  </si>
  <si>
    <t>Milling Section — Thru 20" OD</t>
  </si>
  <si>
    <t>Mills — Cement, Junk, Bladed, Concave, Packer, Pilot &amp; Watermelon</t>
  </si>
  <si>
    <t>Cement, Junk or Bladed Type — all sizes</t>
  </si>
  <si>
    <t>Cement/Concave/Flat/Hollow — Thru 12" OD</t>
  </si>
  <si>
    <t>Cement/Concave/Flat/Hollow — Thru 15" OD</t>
  </si>
  <si>
    <t>Cement/Concave/Flat/Hollow — Thru 20" OD</t>
  </si>
  <si>
    <t>Cement/Concave/Flat/Hollow — Thru 24" OD</t>
  </si>
  <si>
    <t>Cement/Concave/Flat/Hollow — Thru 26" OD</t>
  </si>
  <si>
    <t>Packer, Pilot, Tapered or Watermelon — Thru 15" OD</t>
  </si>
  <si>
    <t>Packer, Pilot, Tapered or Watermelon — Thru 20" OD</t>
  </si>
  <si>
    <t>Packer, Pilot, Tapered or Watermelon — Thru 24" OD</t>
  </si>
  <si>
    <t>Packer, Pilot, Tapered or Watermelon — Thru 26" OD</t>
  </si>
  <si>
    <t>Packer, Pilot, Tapered or Watermelon — Thru 30" OD</t>
  </si>
  <si>
    <t>J.  OVERSHOTS, GUIDES &amp; EXTENSIONS</t>
  </si>
  <si>
    <t>Overshots — Series 150 (Rotary Releasing &amp; Pack-off)</t>
  </si>
  <si>
    <t>First Days</t>
  </si>
  <si>
    <t>Overshots — Series 70 (Short Catch)</t>
  </si>
  <si>
    <t>Guides — Oversize / Donut / Extra &amp; Wall Hook</t>
  </si>
  <si>
    <t>Oversize/Donut — Thru 7" OD</t>
  </si>
  <si>
    <t>Oversize/Donut — Thru 11" OD</t>
  </si>
  <si>
    <t>Oversize/Donut — Thru 16-18" OD</t>
  </si>
  <si>
    <t>Oversize/Donut — Thru 20" OD</t>
  </si>
  <si>
    <t>Oversize/Donut — Thru 24" OD</t>
  </si>
  <si>
    <t>Wall Hook — Thru 7-7/8" OD</t>
  </si>
  <si>
    <t>Wall Hook — Thru 20-3/4" OD</t>
  </si>
  <si>
    <t>K.  WASHOVER PIPE, EXTENSIONS &amp; BULL NOSES</t>
  </si>
  <si>
    <t>Washover Pipe (Rotary Shoe Dressed)</t>
  </si>
  <si>
    <t>$/ft</t>
  </si>
  <si>
    <t>Bull Noses &amp; Lift Subs</t>
  </si>
  <si>
    <t>Bull Nose — Thru 3-1/2" joint size</t>
  </si>
  <si>
    <t>Bull Nose — Thru 4-1/2" joint size</t>
  </si>
  <si>
    <t>Bull Nose — Thru 5-1/2" joint size</t>
  </si>
  <si>
    <t>Bull Nose — Thru 6-5/8" joint size</t>
  </si>
  <si>
    <t>Lift Sub (used with washpipe) — Thru 5-3/4" OD</t>
  </si>
  <si>
    <t>Lift Sub (used with washpipe) — Thru 10-3/4" OD</t>
  </si>
  <si>
    <t>Lift Sub (used with washpipe) — Thru 20" OD</t>
  </si>
  <si>
    <t>L.  REAMERS, SAWS, CASING SCRAPERS, SHOES &amp; ROLLERS</t>
  </si>
  <si>
    <t>Reamers (3 &amp; 4 Blade), Saw &amp; Casing Scrapers</t>
  </si>
  <si>
    <t>Reamer, Conventional Fishing Dressed — Thru 15" OD</t>
  </si>
  <si>
    <t>Reamer, Conventional Fishing Dressed — Thru 24" OD</t>
  </si>
  <si>
    <t>Reamer, Conventional Fishing Dressed — Thru 30" OD</t>
  </si>
  <si>
    <t>Pneumatic Casing Saw — 4" to 12"</t>
  </si>
  <si>
    <t>Casing Scraper — Thru 5" OD</t>
  </si>
  <si>
    <t>Casing Scraper — Thru 7" OD</t>
  </si>
  <si>
    <t>Casing Scraper — Thru 9 5/8" OD</t>
  </si>
  <si>
    <t>Casing Scraper — Thru 10 3/4" OD</t>
  </si>
  <si>
    <t>Casing Scraper — Thru 13 3/8" OD</t>
  </si>
  <si>
    <t>Casing Scraper — Thru 16" OD</t>
  </si>
  <si>
    <t>Casing Scraper — Thru 20" OD</t>
  </si>
  <si>
    <t>Rotary/Washpipe Shoe (Crushed Tungsten Carbide) — Thru 7 1/2" OD</t>
  </si>
  <si>
    <t>Rotary/Washpipe Shoe (Crushed Tungsten Carbide) — Thru 12 3/4" OD</t>
  </si>
  <si>
    <t>Casing Rollers</t>
  </si>
  <si>
    <t>M.  SHOCK TOOLS &amp; ROPE SOCKETS</t>
  </si>
  <si>
    <t>Shock Tools (Bumper Jars)</t>
  </si>
  <si>
    <t>Rope Sockets</t>
  </si>
  <si>
    <t>Rope Center Multi-Prong, Sucker Rod Conn.</t>
  </si>
  <si>
    <t>Rope Center Multi-Prong — 2 7/8" Conn.</t>
  </si>
  <si>
    <t>Rope Center Multi-Prong — 3 1/2" Conn.</t>
  </si>
  <si>
    <t>Rope Center Multi-Prong — 4 1/2" Conn.</t>
  </si>
  <si>
    <t>Rope Center Multi-Prong — 5 1/2" Conn.</t>
  </si>
  <si>
    <t>Rope Center Multi-Prong — 6 5/8" Conn.</t>
  </si>
  <si>
    <t>Rope Center Multi-Prong — 7 5/8" Conn.</t>
  </si>
  <si>
    <t>Rotary Releasing &amp; "J"-Type (Full) — 2 7/8" OD</t>
  </si>
  <si>
    <t>Rotary Releasing &amp; "J"-Type (Full) — 5" OD</t>
  </si>
  <si>
    <t>Rotary Releasing &amp; "J"-Type (Full) — 6 5/8" OD</t>
  </si>
  <si>
    <t>Rotary Releasing &amp; "J"-Type (Full) — 8 5/8" OD</t>
  </si>
  <si>
    <t>Rotary Releasing &amp; "J"-Type (Full) — 13 3/8" OD</t>
  </si>
  <si>
    <t>Rotary Releasing &amp; "J"-Type (Full) — 16" OD</t>
  </si>
  <si>
    <t>Rotary Releasing &amp; "J"-Type (Full) — 20" OD</t>
  </si>
  <si>
    <t>Rotary Releasing &amp; "J"-Type (Full) — 36" OD</t>
  </si>
  <si>
    <t>N.  SPEARS, STOP SUBS &amp; STABILIZERS</t>
  </si>
  <si>
    <t>Spear Extensions &amp; Pack-Off Assemblies</t>
  </si>
  <si>
    <t>Spear Extension — 2 7/8" Conn.</t>
  </si>
  <si>
    <t>Spear Extension — 3 1/2" Conn.</t>
  </si>
  <si>
    <t>Spear Extension — 4 1/2" Conn.</t>
  </si>
  <si>
    <t>Spear Extension — 6 5/8" Conn.</t>
  </si>
  <si>
    <t>Spear Pack-Off Assembly — 2 7/8" OD</t>
  </si>
  <si>
    <t>Spear Pack-Off Assembly — 4" OD</t>
  </si>
  <si>
    <t>Spear Pack-Off Assembly — 5" OD</t>
  </si>
  <si>
    <t>Spear Pack-Off Assembly — 7" OD</t>
  </si>
  <si>
    <t>Spear Pack-Off Assembly — 9 5/8" OD</t>
  </si>
  <si>
    <t>Spear Pack-Off Assembly — 13 3/8" OD</t>
  </si>
  <si>
    <t>Spear Pack-Off Assembly — 16" OD</t>
  </si>
  <si>
    <t>Lift Drill Collar</t>
  </si>
  <si>
    <t>Lift Drill Collar — 4 1/2" Conn.</t>
  </si>
  <si>
    <t>Lift Drill Collar — 6 5/8" Conn.</t>
  </si>
  <si>
    <t>Spear Stop Subs &amp; Stabilizers</t>
  </si>
  <si>
    <t>Spear Stop Sub — 2 7/8" Conn.</t>
  </si>
  <si>
    <t>Spear Stop Sub — 4 1/2" Conn.</t>
  </si>
  <si>
    <t>Spear Stop Sub — 6 5/8" Conn.</t>
  </si>
  <si>
    <t>Spear Stop Sub — 7 5/8" Conn.</t>
  </si>
  <si>
    <t>Spear Stop Sub — 8 5/8" Conn.</t>
  </si>
  <si>
    <t>Stabilizer, Welded/Fixed Blade — Thru 7-3/8" OD</t>
  </si>
  <si>
    <t>Stabilizer, Welded/Fixed Blade — Thru 13-3/8" OD</t>
  </si>
  <si>
    <t>Stabilizer, Welded/Fixed Blade — Thru 18" OD</t>
  </si>
  <si>
    <t>O.  SUBS, SWAGES &amp; DIE COLLARS</t>
  </si>
  <si>
    <t>Subs — Rotary &amp; Bit</t>
  </si>
  <si>
    <t>Sub (Rotary &amp; Bit) — Sucker Rod Conn.</t>
  </si>
  <si>
    <t>Sub (Rotary &amp; Bit) — 2 7/8" Conn.</t>
  </si>
  <si>
    <t>Sub (Rotary &amp; Bit) — 3 1/2" Conn.</t>
  </si>
  <si>
    <t>Sub (Rotary &amp; Bit) — 4 1/2" Conn.</t>
  </si>
  <si>
    <t>Sub (Rotary &amp; Bit) — 6 5/8" Conn.</t>
  </si>
  <si>
    <t>Sub (Rotary &amp; Bit) — 7 5/8" Conn.</t>
  </si>
  <si>
    <t>Screw-In / Cut-Lip Subs</t>
  </si>
  <si>
    <t>Screw-In / Cut-Lip — 2 7/8" Conn. &amp; smaller</t>
  </si>
  <si>
    <t>Screw-In / Cut-Lip — 3 1/2" Conn. &amp; smaller</t>
  </si>
  <si>
    <t>Screw-In / Cut-Lip — 4 1/2" Conn.</t>
  </si>
  <si>
    <t>Screw-In / Cut-Lip — 5 1/2" Conn.</t>
  </si>
  <si>
    <t>Screw-In / Cut-Lip — 6 5/8" Conn.</t>
  </si>
  <si>
    <t>Screw-In / Cut-Lip — 7 5/8" Conn.</t>
  </si>
  <si>
    <t>Swages &amp; Die Collars</t>
  </si>
  <si>
    <t>Swage, Casing (Swaging Tool) — All Sizes</t>
  </si>
  <si>
    <t>Die Collar &amp; Tapered — Thru 2 1/2" OD</t>
  </si>
  <si>
    <t>Die Collar &amp; Tapered — Thru 3 3/4" OD</t>
  </si>
  <si>
    <t>Die Collar &amp; Tapered — Thru 4 3/4" OD</t>
  </si>
  <si>
    <t>Die Collar &amp; Tapered — Thru 5 3/4" OD</t>
  </si>
  <si>
    <t>Die Collar &amp; Tapered — Thru 6 3/4" OD</t>
  </si>
  <si>
    <t>Die Collar &amp; Tapered — Thru 7 5/8" OD</t>
  </si>
  <si>
    <t>Die Collar &amp; Tapered — Thru 9 5/8" OD</t>
  </si>
  <si>
    <t>Die Collar &amp; Tapered — Thru 10 3/4" OD</t>
  </si>
  <si>
    <t>All prices are in USD. Rental rates are per unit as noted (per day / first day + additional day). Prices subject to change without notice. Freight, redress and lost-in-hole charges are billed separately.</t>
  </si>
  <si>
    <t>All prices in US Dollars (US$). Terms and conditions of Makaman Libya Company apply.</t>
  </si>
  <si>
    <t>Fishing Jar &amp; Bumper Sub Redress Charges</t>
  </si>
  <si>
    <t>Price (US$)</t>
  </si>
  <si>
    <t>Impression Block, Junk Basket &amp; Washover Pipe Redress</t>
  </si>
  <si>
    <t>Mills &amp; Mill Refills</t>
  </si>
  <si>
    <t>First Day (US$)</t>
  </si>
  <si>
    <t>Additional Day (US$)</t>
  </si>
  <si>
    <t>Cable Spears, Overshot Redress Kits &amp; Tool Inspection</t>
  </si>
  <si>
    <t>Bailers, Sand Pumps, Clamps, Elevators &amp; Workshop Labour</t>
  </si>
  <si>
    <t>Magnets, Grapples &amp; Near-Bit Stabilizers</t>
  </si>
  <si>
    <t>Jar Intensifiers, Releasing Spears &amp; Taper Mills</t>
  </si>
  <si>
    <t>Technical Personnel — Daily Rates</t>
  </si>
  <si>
    <t>Swab Cups, Machine Rental &amp; Workshop Charges</t>
  </si>
  <si>
    <t>B.  DRILLING TOOLS &amp; MOTORS</t>
  </si>
  <si>
    <t>Drilling Jars</t>
  </si>
  <si>
    <t>Per Day (US$)</t>
  </si>
  <si>
    <t>Redress Charge (US$)</t>
  </si>
  <si>
    <t>Non-Magnetic Drill Collars</t>
  </si>
  <si>
    <t>3-Day Minimum (US$)</t>
  </si>
  <si>
    <t>Each Additional Day (US$)</t>
  </si>
  <si>
    <t>Hole Openers</t>
  </si>
  <si>
    <t>5-Day Minimum (US$)</t>
  </si>
  <si>
    <t>Stabilizers</t>
  </si>
  <si>
    <t>1st Day (US$)</t>
  </si>
  <si>
    <t>Non-Magnetic Stabilizers</t>
  </si>
  <si>
    <t>Rotary Subs (Substitutes)</t>
  </si>
  <si>
    <t>Rotary Subs — Operating &amp; Redress Rates by OD</t>
  </si>
  <si>
    <t>Directional Drilling Personnel</t>
  </si>
  <si>
    <t>Charge per Day (US$)</t>
  </si>
  <si>
    <t>Performance Motors</t>
  </si>
  <si>
    <t>Size (OD)</t>
  </si>
  <si>
    <t>Daily Rental / Motor (US$)</t>
  </si>
  <si>
    <t>Operating per Foot (US$)</t>
  </si>
  <si>
    <t>Daily Rental / Sleeve (US$)</t>
  </si>
  <si>
    <t>Redress per Used Motor (US$)</t>
  </si>
  <si>
    <t>Cross-Over Subs</t>
  </si>
  <si>
    <t>Size Connection</t>
  </si>
  <si>
    <t>Operating Price (US$)</t>
  </si>
  <si>
    <t>Rental Price (US$)</t>
  </si>
  <si>
    <t>Integral Blade Stabilizers</t>
  </si>
  <si>
    <t>Hole Size (OD)</t>
  </si>
  <si>
    <t>C.  CORING SERVICES</t>
  </si>
  <si>
    <t>Conventional Coring Assemblies &amp; Footage Charges</t>
  </si>
  <si>
    <t>Core Inner Tubes</t>
  </si>
  <si>
    <t>Core Handling &amp; Cutting Equipment</t>
  </si>
  <si>
    <t>Coring Personnel — Daily Rates</t>
  </si>
  <si>
    <t>Lost-in-Hole — Conventional Coring Equipment</t>
  </si>
  <si>
    <t>8" (US$)</t>
  </si>
  <si>
    <t>6 3/4" (US$)</t>
  </si>
  <si>
    <t>4 3/4" (US$)</t>
  </si>
  <si>
    <t>Core Heads — Sales Prices</t>
  </si>
  <si>
    <t>Core Head Notes &amp; Formation Selection Guide</t>
  </si>
  <si>
    <t>Core Stabilization — Gypsum, Resin &amp; Foam</t>
  </si>
  <si>
    <t>foot</t>
  </si>
  <si>
    <t>Core Gamma Logging</t>
  </si>
  <si>
    <t>Core Plugging &amp; Preservation</t>
  </si>
  <si>
    <t>Unconsolidated Core Plugging &amp; Sampling</t>
  </si>
  <si>
    <t>Core Freezing &amp; Cooled Transport</t>
  </si>
  <si>
    <t>Core Reports &amp; Analysis</t>
  </si>
  <si>
    <t>Coring — Rate Application Notes</t>
  </si>
  <si>
    <t>D.  CEMENTING &amp; STIMULATION CHEMICALS</t>
  </si>
  <si>
    <t>Class "G" Cement (94 lbs/cuft) by Field</t>
  </si>
  <si>
    <t>UOM</t>
  </si>
  <si>
    <t>Additional Cement Types — Lite/Heavyweight &amp; Microfine</t>
  </si>
  <si>
    <t>Cement Accelerators</t>
  </si>
  <si>
    <t>Cement Fluid-Loss Additives</t>
  </si>
  <si>
    <t>Cement Dispersants</t>
  </si>
  <si>
    <t>Cement Retarders</t>
  </si>
  <si>
    <t>Antifoam &amp; Defoamers</t>
  </si>
  <si>
    <t>Special Cement Additives</t>
  </si>
  <si>
    <t>Other Cementing Materials</t>
  </si>
  <si>
    <t>Hydrochloric Acid</t>
  </si>
  <si>
    <t>Mud Acid</t>
  </si>
  <si>
    <t>Special Acids</t>
  </si>
  <si>
    <t>Gellant Breakers</t>
  </si>
  <si>
    <t>Bridging Agents</t>
  </si>
  <si>
    <t>Proprietary Chemicals</t>
  </si>
  <si>
    <t>Foaming Agents &amp; Stabilizers</t>
  </si>
  <si>
    <t>Mutual Solvents</t>
  </si>
  <si>
    <t>Iron Sequestering Agents</t>
  </si>
  <si>
    <t>Gelling Agents</t>
  </si>
  <si>
    <t>Corrosion Inhibitors</t>
  </si>
  <si>
    <t>Inhibitor Intensifiers</t>
  </si>
  <si>
    <t>Surfactants</t>
  </si>
  <si>
    <t>Stimulation Fluid-Loss Additives</t>
  </si>
  <si>
    <t>Friction Reducers</t>
  </si>
  <si>
    <t>Diverting Agents</t>
  </si>
  <si>
    <t>Clay Stabilizing Agents</t>
  </si>
  <si>
    <t>Paraffin &amp; Asphaltene Solvents</t>
  </si>
  <si>
    <t>Demulsifiers &amp; Anti-Sludge</t>
  </si>
  <si>
    <t>E.  POWER TONG SERVICES</t>
  </si>
  <si>
    <t>Power Tong Equipment Rental (Tongs &amp; Power Unit)</t>
  </si>
  <si>
    <t>Power Tong Footage Charges</t>
  </si>
  <si>
    <t>Power Tong Personnel</t>
  </si>
  <si>
    <t>Power Tong Stand-By Charges</t>
  </si>
  <si>
    <t>Power Tong — Other &amp; Cancellation Charges</t>
  </si>
  <si>
    <t>F.  PACKER REDRESS KITS</t>
  </si>
  <si>
    <t>Packer Redress Kits — Mechanical &amp; Hydraulic</t>
  </si>
  <si>
    <t>9 5/8" (US$)</t>
  </si>
  <si>
    <t>7" (US$)</t>
  </si>
  <si>
    <t>5 1/2" (US$)</t>
  </si>
  <si>
    <t>5" (US$)</t>
  </si>
  <si>
    <t>G.  DOWNHOLE CASING EQUIPMENT &amp; ACCESSORIES</t>
  </si>
  <si>
    <t>Guide Shoes</t>
  </si>
  <si>
    <t>Float Shoes</t>
  </si>
  <si>
    <t>Stab-In Float Shoes</t>
  </si>
  <si>
    <t>Float Collars</t>
  </si>
  <si>
    <t>Stab-In Float Collar</t>
  </si>
  <si>
    <t>Cementing Plugs, Casing Stabilizers &amp; Welded Centralizers</t>
  </si>
  <si>
    <t>Non-Welded Positive Centralizers</t>
  </si>
  <si>
    <t>Stop Collars with Locking Nails</t>
  </si>
  <si>
    <t>Solid Cement Baskets</t>
  </si>
  <si>
    <t>Thread Compounds</t>
  </si>
  <si>
    <t>Casing Scrapers (Monthly Rate)</t>
  </si>
  <si>
    <t>Liner Hangers, Running Tools &amp; Personnel</t>
  </si>
  <si>
    <t>H.  GYRO SURVEY SERVICES</t>
  </si>
  <si>
    <t>DMS North-Seeking Gyro — Multishot</t>
  </si>
  <si>
    <t>DMS North-Seeking Gyro — Single Shot</t>
  </si>
  <si>
    <t>DMS Electronic Magnetic Gyro — Multishot</t>
  </si>
  <si>
    <t>Gyro Survey Personnel &amp; Transport</t>
  </si>
  <si>
    <t>Gyro Equipment — Lost-in-Hole &amp; Replacement Charges</t>
  </si>
  <si>
    <t>I.  WELL-HEAD SERVICES</t>
  </si>
  <si>
    <t>Well-Head Construction Services</t>
  </si>
  <si>
    <t>Well-Head Maintenance &amp; Remedial Services</t>
  </si>
  <si>
    <t>Well-Head Insulation Personnel</t>
  </si>
  <si>
    <t>J.  CASING EXIT / WHIP-STOCK</t>
  </si>
  <si>
    <t>Casing Exit Whip-Stock Systems</t>
  </si>
  <si>
    <t>K.  LOGGING &amp; INTERVENTION SERVICES</t>
  </si>
  <si>
    <t>Logging &amp; Intervention Services</t>
  </si>
  <si>
    <t>TRANSPORTATION &amp; PERSONNEL</t>
  </si>
  <si>
    <t xml:space="preserve">Price </t>
  </si>
  <si>
    <t>MKN-0001</t>
  </si>
  <si>
    <t xml:space="preserve"> Pick-up with tools traveling to wells, per KM. </t>
  </si>
  <si>
    <t>MKN-0002</t>
  </si>
  <si>
    <t xml:space="preserve"> Tool operator, per day or fraction</t>
  </si>
  <si>
    <t>MKN-0003</t>
  </si>
  <si>
    <t>Assistant Tool Operator, per day or fraction</t>
  </si>
  <si>
    <t>MKN-0004</t>
  </si>
  <si>
    <t xml:space="preserve">Supervisor or Engineer, per day or fraction </t>
  </si>
  <si>
    <t>MKN-0005</t>
  </si>
  <si>
    <t>Helper, per day or fraction</t>
  </si>
  <si>
    <t>MKN-0006</t>
  </si>
  <si>
    <t>STAND-BY             FRIST SIX HOURS after arriving on location</t>
  </si>
  <si>
    <t>No charge</t>
  </si>
  <si>
    <t>After the Frist Six 06) Hours, STAND-BY, PER HOUR OR FRACTION until job started per tool, until PERSONNEL CHARGES will be in addition.</t>
  </si>
  <si>
    <t>MKN-0007</t>
  </si>
  <si>
    <t xml:space="preserve"> JOB CANCELITION When called to location and the job is not run,</t>
  </si>
  <si>
    <t xml:space="preserve"> due to circumstances beyond our control. PERSONNEL CHARGES are in addition.</t>
  </si>
  <si>
    <t xml:space="preserve">RETRIVEVABLE TEST, TREAT AND SQUEEZE PACKER. </t>
  </si>
  <si>
    <t xml:space="preserve">Price is determined by size and depth packer set. Time of job begins when tool starts in well and time end when recovered from well. </t>
  </si>
  <si>
    <t>FRIST-EIGHT (8) HOURS or Fraction</t>
  </si>
  <si>
    <t>MKN-0008</t>
  </si>
  <si>
    <t>"Size thru 7</t>
  </si>
  <si>
    <t>MKN-0009</t>
  </si>
  <si>
    <t>AFTER FIRST DAY size 7"</t>
  </si>
  <si>
    <t>MKN-0010</t>
  </si>
  <si>
    <t xml:space="preserve"> "Size thru 95/8. </t>
  </si>
  <si>
    <t>MKN-0011</t>
  </si>
  <si>
    <t>AFTER FIRST DAY size 9 5/8"</t>
  </si>
  <si>
    <t>MKN-0012</t>
  </si>
  <si>
    <t xml:space="preserve"> "Size 13 3/8.</t>
  </si>
  <si>
    <t>MKN-0013</t>
  </si>
  <si>
    <t>AFTER FIRST DAY size 13 3/8"</t>
  </si>
  <si>
    <t>MKN-0014</t>
  </si>
  <si>
    <t>All sizes, above 15,000 ft. per 100 ft. or fraction add</t>
  </si>
  <si>
    <t>MKN-0015</t>
  </si>
  <si>
    <t>ADDITIONAL ZONE. Each ADDITIONAL ZONE on same run in well, any depth:</t>
  </si>
  <si>
    <t xml:space="preserve"> (This change applies when tool is moved to another zone for any purpose. </t>
  </si>
  <si>
    <t xml:space="preserve"> It does not include 'looking for casing leaks')</t>
  </si>
  <si>
    <t>MKN-0016</t>
  </si>
  <si>
    <t>Unsuccessful run.</t>
  </si>
  <si>
    <t>MKN-0017</t>
  </si>
  <si>
    <t xml:space="preserve"> Each Reset Packer For All Sizes</t>
  </si>
  <si>
    <t>RETRIEVABLE BRIDGE PLUG</t>
  </si>
  <si>
    <t>"RETRIEVABLE BRIDG PLUG (WHEN RUN SEPARATELY)
PRICE IS DETERMINED BY SIZE AND DEPTHPACKER.SET. TIME OF JOB BEGINS WHEN TOOL STARTS IN WELL AND TIME END WHEN RECOVERED FROM WELL
.FRIST-EIGHT (8) HOURS OR FRACTION"</t>
  </si>
  <si>
    <t>MKN-0018</t>
  </si>
  <si>
    <t>Size thru 7" : first day</t>
  </si>
  <si>
    <t>MKN-0019</t>
  </si>
  <si>
    <t>Size thru 7" : after first day</t>
  </si>
  <si>
    <t>MKN-0020</t>
  </si>
  <si>
    <t>Size thru 9 5/8" : first day</t>
  </si>
  <si>
    <t>MKN-0021</t>
  </si>
  <si>
    <t>Size thru 9 5/8" : after first day</t>
  </si>
  <si>
    <t>MKN-0022</t>
  </si>
  <si>
    <t>Size 13 3/8" : first day</t>
  </si>
  <si>
    <t>MKN-0023</t>
  </si>
  <si>
    <t>Size 13 3/8" : after first day</t>
  </si>
  <si>
    <t>MKN-0024</t>
  </si>
  <si>
    <t>All sizes above 15,000 ft. per 100 ft. or fraction: add</t>
  </si>
  <si>
    <t>MKN-0025</t>
  </si>
  <si>
    <t>ADDITIONAL TIME. Each additional consecutive 8-hour or fraction</t>
  </si>
  <si>
    <t>MKN-0026</t>
  </si>
  <si>
    <t>Frac sand (M.E.) 20–40 per pound</t>
  </si>
  <si>
    <t>MKN-0027</t>
  </si>
  <si>
    <t>Unsuccessful run</t>
  </si>
  <si>
    <t>RETRIEVABLE BRIDGE PLUG (When run with another MAKAMAN LIBYA CO. packer)</t>
  </si>
  <si>
    <t>Price is determined by size and depth packer set.</t>
  </si>
  <si>
    <t xml:space="preserve"> Time of job begins when tool starts in well and time end when recovered from well. </t>
  </si>
  <si>
    <t>FIRST EIGHT (8) HOURS or Fraction</t>
  </si>
  <si>
    <t>MKN-0028</t>
  </si>
  <si>
    <t>MKN-0029</t>
  </si>
  <si>
    <t>MKN-0030</t>
  </si>
  <si>
    <t>MKN-0031</t>
  </si>
  <si>
    <t>MKN-0032</t>
  </si>
  <si>
    <t>MKN-0033</t>
  </si>
  <si>
    <t>MKN-0034</t>
  </si>
  <si>
    <t>MKN-0035</t>
  </si>
  <si>
    <t>MKN-0036</t>
  </si>
  <si>
    <t>Each reset on ADDITIONAL ZONE</t>
  </si>
  <si>
    <t>MKN-0037</t>
  </si>
  <si>
    <t>MKN-0038</t>
  </si>
  <si>
    <t>Crossover subs, per sub, per job</t>
  </si>
  <si>
    <t>SETTING TOOLS &amp; ACCESSORIES</t>
  </si>
  <si>
    <t>MKN-0039</t>
  </si>
  <si>
    <t>MECHANICAL SETTING TOOL, per run</t>
  </si>
  <si>
    <t>MKN-0040</t>
  </si>
  <si>
    <t>Wire line kit for cement Retainer/Bridge plug, Per run</t>
  </si>
  <si>
    <t>MKN-0041</t>
  </si>
  <si>
    <t>Tubing Stinger Coupling/ (SSA), Per job</t>
  </si>
  <si>
    <t>MKN-0042</t>
  </si>
  <si>
    <t>Tubing Centralizer ,Per job</t>
  </si>
  <si>
    <t>DRILL CEMENT RETAINERS AND Drillable BRIDGE PLUG PACKER Per CSG OD</t>
  </si>
  <si>
    <t>MKN-0043</t>
  </si>
  <si>
    <t>4  1/2"</t>
  </si>
  <si>
    <t>MKN-0044</t>
  </si>
  <si>
    <t>5"</t>
  </si>
  <si>
    <t>MKN-0045</t>
  </si>
  <si>
    <t>5  1/2"</t>
  </si>
  <si>
    <t>MKN-0046</t>
  </si>
  <si>
    <t>7"</t>
  </si>
  <si>
    <t>MKN-0047</t>
  </si>
  <si>
    <t>9 5/8"</t>
  </si>
  <si>
    <t>MKN-0048</t>
  </si>
  <si>
    <t>13  3/8"</t>
  </si>
  <si>
    <t>STABILIZERS</t>
  </si>
  <si>
    <t>PER DAY</t>
  </si>
  <si>
    <t>STAND BY RATE</t>
  </si>
  <si>
    <t>MKN-0049</t>
  </si>
  <si>
    <t>STABILIZER Thru 6 1/8"</t>
  </si>
  <si>
    <t>MKN-0050</t>
  </si>
  <si>
    <t>STABILIZER Thru 8 5/8"</t>
  </si>
  <si>
    <t>MKN-0051</t>
  </si>
  <si>
    <t>STABILIZER Thru 12 1/4"</t>
  </si>
  <si>
    <t>MKN-0052</t>
  </si>
  <si>
    <t>STABILIZER Thru 17 1/2"</t>
  </si>
  <si>
    <t>MKN-0053</t>
  </si>
  <si>
    <t>HYDROLIC DRILLING JAR 4 3/4" OD &amp; UNDER</t>
  </si>
  <si>
    <t>MKN-0054</t>
  </si>
  <si>
    <t>HYDROLIC DRILLING JAR THRU 5 3/4" OD</t>
  </si>
  <si>
    <t>MKN-0055</t>
  </si>
  <si>
    <t>HYDROLIC DRILLING JAR THRU 6 1/4" OD</t>
  </si>
  <si>
    <t>MKN-0056</t>
  </si>
  <si>
    <t>HYDROLIC DRILLING JAR THRU 7 3/4" OD</t>
  </si>
  <si>
    <t>MKN-0057</t>
  </si>
  <si>
    <t>CASING SCRAPER 5" &amp; 5 1/2"</t>
  </si>
  <si>
    <t>MKN-0058</t>
  </si>
  <si>
    <t>CASING SCRAPER 7"</t>
  </si>
  <si>
    <t>MKN-0059</t>
  </si>
  <si>
    <t>CASING SCRAPER 9 5/8"</t>
  </si>
  <si>
    <t>FILTRATION</t>
  </si>
  <si>
    <t>MKN-0060</t>
  </si>
  <si>
    <t>SERVICE SUPERVISOR FILTRATION UNIT</t>
  </si>
  <si>
    <t>MKN-0061</t>
  </si>
  <si>
    <t>HELPER</t>
  </si>
  <si>
    <t>MKN-0062</t>
  </si>
  <si>
    <t>FILTRATION UNIT AND C-PUMP TRANSPORT</t>
  </si>
  <si>
    <t>MKN-0063</t>
  </si>
  <si>
    <t>FRAC TANK</t>
  </si>
  <si>
    <t>PER JOB</t>
  </si>
  <si>
    <t>MKN-0064</t>
  </si>
  <si>
    <t>CENTER FUGAL PUMP</t>
  </si>
  <si>
    <t>MKN-0065</t>
  </si>
  <si>
    <t>FILTRATION UNIT</t>
  </si>
  <si>
    <t>MKN-0066</t>
  </si>
  <si>
    <t>FILTRATION CATRIDGES</t>
  </si>
  <si>
    <t>PER EACH</t>
  </si>
  <si>
    <t>PUMPING &amp; STIMULATION SERVICES</t>
  </si>
  <si>
    <t>400 HP PUMP</t>
  </si>
  <si>
    <t>MKN-0067</t>
  </si>
  <si>
    <t>500 HP PUMP, rental or standby per pump</t>
  </si>
  <si>
    <t>DAY</t>
  </si>
  <si>
    <t>MKN-0068</t>
  </si>
  <si>
    <t>500 HP PUMP, 0 to 5,000 psi, operating, first 4 hours</t>
  </si>
  <si>
    <t>4 HRS</t>
  </si>
  <si>
    <t>MKN-0069</t>
  </si>
  <si>
    <t>500 HP PUMP, 0 to 5,000 psi, operating, additional hours</t>
  </si>
  <si>
    <t>HOUR</t>
  </si>
  <si>
    <t>MKN-0070</t>
  </si>
  <si>
    <t>500 HP PUMP, 5,001 to 10,000 psi, operating, first 4 hours</t>
  </si>
  <si>
    <t>MKN-0071</t>
  </si>
  <si>
    <t>500 HP PUMP, 5,001 to 10,000 psi, operating, additional hours</t>
  </si>
  <si>
    <t>1,000 HP PUMP</t>
  </si>
  <si>
    <t>MKN-0072</t>
  </si>
  <si>
    <t>1000 HP PUMP, rental or standby per pump</t>
  </si>
  <si>
    <t>MKN-0073</t>
  </si>
  <si>
    <t>1000 HP PUMP, 0 to 5,000 psi, operating, first 4 hours</t>
  </si>
  <si>
    <t>MKN-0074</t>
  </si>
  <si>
    <t>1000 HP PUMP, 0 to 5,000 psi, operating, additional hours</t>
  </si>
  <si>
    <t>MKN-0075</t>
  </si>
  <si>
    <t>1000 HP PUMP, 5,001 to 10,000 psi, operating, first 4 hours</t>
  </si>
  <si>
    <t>MKN-0076</t>
  </si>
  <si>
    <t>1000 HP PUMP, 5,001 to 10,000 psi, operating, additional hours</t>
  </si>
  <si>
    <t>2,000 HP PUMP</t>
  </si>
  <si>
    <t>MKN-0077</t>
  </si>
  <si>
    <t>2,000 HP PUMP, rental or standby per pump</t>
  </si>
  <si>
    <t>MKN-0078</t>
  </si>
  <si>
    <t>2,000 HP PUMP, 0 to 5,000 psi, operating, first 4 hours</t>
  </si>
  <si>
    <t>MKN-0079</t>
  </si>
  <si>
    <t>2,000 HP PUMP, 0 to 5,000 psi, operating, additional hours</t>
  </si>
  <si>
    <t>MKN-0080</t>
  </si>
  <si>
    <t>2,000 HP PUMP, 5,001 to 7,500 psi, operating, first 4 hours</t>
  </si>
  <si>
    <t>MKN-0081</t>
  </si>
  <si>
    <t>2,000 HP PUMP, 5,001 to 7,500 psi, operating, additional hours</t>
  </si>
  <si>
    <t>MKN-0082</t>
  </si>
  <si>
    <t>2,000 HP PUMP, 7,501 to 10,000 psi, operating, first 4 hours</t>
  </si>
  <si>
    <t>MKN-0083</t>
  </si>
  <si>
    <t>2,000 HP PUMP, 7,501 to 10,000 psi, operating, additional hours</t>
  </si>
  <si>
    <t>MKN-0084</t>
  </si>
  <si>
    <t>2,000 HP PUMP, 10,001 to 12,500 psi, operating, First 4 hours</t>
  </si>
  <si>
    <t>MKN-0085</t>
  </si>
  <si>
    <t>2,000 HP PUMP, 10,001 to 12,500 psi, operating, Additional hours</t>
  </si>
  <si>
    <t>MKN-0086</t>
  </si>
  <si>
    <t>2,000 HP PUMP, 12,501 to 15,000 psi, operating, first 4 hours</t>
  </si>
  <si>
    <t>MKN-0087</t>
  </si>
  <si>
    <t>2,000 HP PUMP, 12,501 to 15,000 psi, operating, additional hours</t>
  </si>
  <si>
    <t>FLUID &amp; SLURRY PUMPING - ADDITIONAL CHARGES</t>
  </si>
  <si>
    <t>VOLUME CHARGE</t>
  </si>
  <si>
    <t>MKN-0088</t>
  </si>
  <si>
    <t>Non-corrosive fluids</t>
  </si>
  <si>
    <t>GAL</t>
  </si>
  <si>
    <t>MKN-0089</t>
  </si>
  <si>
    <t>corrosive or abrasive fluids, additional</t>
  </si>
  <si>
    <t>HIGH PRESSURE TREATING LINE</t>
  </si>
  <si>
    <t>2" HIGH PRESSURE IRON</t>
  </si>
  <si>
    <t>MKN-0090</t>
  </si>
  <si>
    <t>2" H.P Plug Valve , each</t>
  </si>
  <si>
    <t>MKN-0091</t>
  </si>
  <si>
    <t>2" H.P Check Valve , each</t>
  </si>
  <si>
    <t>MKN-0092</t>
  </si>
  <si>
    <t xml:space="preserve">2" H.P Straight Joints per foot </t>
  </si>
  <si>
    <t>MKN-0093</t>
  </si>
  <si>
    <t>2" H.P Chicksans , each</t>
  </si>
  <si>
    <t>MKN-0094</t>
  </si>
  <si>
    <t>2" H.P Loops , each</t>
  </si>
  <si>
    <t>MKN-0095</t>
  </si>
  <si>
    <t>2" H.P Lateral , each</t>
  </si>
  <si>
    <t>MKN-0096</t>
  </si>
  <si>
    <t>2" H.P Flow Tee , each</t>
  </si>
  <si>
    <t>MKN-0097</t>
  </si>
  <si>
    <t>2" H.P Crossover , each</t>
  </si>
  <si>
    <t>HIGH PRESSURE FLEXIBLE HOSES</t>
  </si>
  <si>
    <t>MKN-0098</t>
  </si>
  <si>
    <t>2" Coflexip high pressure flexible hose, each, rental or standby</t>
  </si>
  <si>
    <t>MKN-0099</t>
  </si>
  <si>
    <t>2" Coflexip high pressure flexible hose, each, job charge</t>
  </si>
  <si>
    <t>JOB</t>
  </si>
  <si>
    <t>MKN-0100</t>
  </si>
  <si>
    <t>3" Coflexip high pressure flexible hose, each, rental or stand by</t>
  </si>
  <si>
    <t>MKN-0101</t>
  </si>
  <si>
    <t>3" Coflexip high pressure flexible hose, each, job charge</t>
  </si>
  <si>
    <t>MKN-0102</t>
  </si>
  <si>
    <t>4" Coflexip high pressure flexible hose, each, rental or standby</t>
  </si>
  <si>
    <t>MKN-0103</t>
  </si>
  <si>
    <t>4" Coflexip high pressure flexible hose, each, job charge</t>
  </si>
  <si>
    <t>MKN-0104</t>
  </si>
  <si>
    <t>Quick disconnect, rental or standby</t>
  </si>
  <si>
    <t>MKN-0105</t>
  </si>
  <si>
    <t>Quick disconnect, job charge</t>
  </si>
  <si>
    <t>FLUID MIXING, HOLDING &amp; TRANSPORT TANKS</t>
  </si>
  <si>
    <t>ACID MIXING &amp; HOLDING TANKS, LINED</t>
  </si>
  <si>
    <t>MKN-0106</t>
  </si>
  <si>
    <t>Acid mixing &amp; holding tanks, to 4,000 gal, rental or standby</t>
  </si>
  <si>
    <t>MKN-0107</t>
  </si>
  <si>
    <t>Acid mixing &amp; holding tanks, to 4,000 gal, job charge</t>
  </si>
  <si>
    <t>MKN-0108</t>
  </si>
  <si>
    <t>Acid mixing &amp; holding tanks, 4,001 to 8000 gal, rental or standby</t>
  </si>
  <si>
    <t>MKN-0109</t>
  </si>
  <si>
    <t>Acid mixing &amp; holding tanks, 4,001 to 8000 gal, job charge</t>
  </si>
  <si>
    <t>MKN-0110</t>
  </si>
  <si>
    <t>Acid mixing &amp; holding tanks, 8,001 to 12,000 gal, rental or standby</t>
  </si>
  <si>
    <t>MKN-0111</t>
  </si>
  <si>
    <t>Acid mixing &amp; holding tanks, 8,001 to 12,000 gal, job charge</t>
  </si>
  <si>
    <t>ACID TRANSPORT TANKS, LINED</t>
  </si>
  <si>
    <t>MKN-0112</t>
  </si>
  <si>
    <t>Acid transport container 1,300 gal capacity, rental or standby</t>
  </si>
  <si>
    <t>MKN-0113</t>
  </si>
  <si>
    <t>Acid transport container 1,300 gal capacity, job charge</t>
  </si>
  <si>
    <t>MKN-0114</t>
  </si>
  <si>
    <t>Acid transport container 2,000 gal capacity, rental or standby</t>
  </si>
  <si>
    <t>MKN-0115</t>
  </si>
  <si>
    <t>Acid transport container 2,000 gal capacity, job charge</t>
  </si>
  <si>
    <t>MKN-0116</t>
  </si>
  <si>
    <t>Acid transport container 5,000 gal capacity, rental or standby</t>
  </si>
  <si>
    <t>MKN-0117</t>
  </si>
  <si>
    <t>Acid transport container 5,000 gal capacity, job charge</t>
  </si>
  <si>
    <t>ACID ROAD TANKER, LINED</t>
  </si>
  <si>
    <t>MKN-0118</t>
  </si>
  <si>
    <t>Acid road tanker 7,500 gal capacity, rental or standby</t>
  </si>
  <si>
    <t>MKN-0119</t>
  </si>
  <si>
    <t>Acid road tanker 7,500 gal capacity, operation charge</t>
  </si>
  <si>
    <t>FLUID MIXING &amp; HOLDING TANKS, UNLINED</t>
  </si>
  <si>
    <t>MKN-0120</t>
  </si>
  <si>
    <t>Fluid mixing &amp; holding tanks, below 5,000 gal, rental or standby</t>
  </si>
  <si>
    <t>MKN-0121</t>
  </si>
  <si>
    <t>Fluid mixing &amp; holding tanks, below 5,000 gal, job charge</t>
  </si>
  <si>
    <t>MKN-0122</t>
  </si>
  <si>
    <t>Fluid mixing &amp; holding tanks, below 5,000 to 10,000 gal, rental or standby</t>
  </si>
  <si>
    <t>MKN-0123</t>
  </si>
  <si>
    <t>Fluid mixing &amp; holding tanks, below 5,000 to 10,000 gal, job charge</t>
  </si>
  <si>
    <t>MKN-0124</t>
  </si>
  <si>
    <t>fluid holding tank, 300 bbl, rental or standby</t>
  </si>
  <si>
    <t>MKN-0125</t>
  </si>
  <si>
    <t>fluid holding tank, 300 bbl, rental or job charge</t>
  </si>
  <si>
    <t>MKN-0126</t>
  </si>
  <si>
    <t>fluid holding tank, 500 bbl, rental or standby</t>
  </si>
  <si>
    <t>MKN-0127</t>
  </si>
  <si>
    <t>fluid holding tank, 500 bbl, job charge</t>
  </si>
  <si>
    <t>FLUID MIXING &amp; HOLDING TANKS, LINED</t>
  </si>
  <si>
    <t>MKN-0128</t>
  </si>
  <si>
    <t>Fluid mixing &amp; holding tanks, 500 bbl, rental or standby</t>
  </si>
  <si>
    <t>MKN-0129</t>
  </si>
  <si>
    <t>Fluid mixing &amp; holding tanks, 500 bbl, job charge</t>
  </si>
  <si>
    <t>BATCH MIXERS C/W DIESEL ENGINE</t>
  </si>
  <si>
    <t>MKN-0130</t>
  </si>
  <si>
    <t>Batch mixer w/ engine, below 50 bbl, rental or standby</t>
  </si>
  <si>
    <t>MKN-0131</t>
  </si>
  <si>
    <t>Batch mixer w/ engine, below 50 bbl, operating, first 4 hours</t>
  </si>
  <si>
    <t>4HRS</t>
  </si>
  <si>
    <t>MKN-0132</t>
  </si>
  <si>
    <t>Batch mixer w/ engine, below 50 bbl, operating, additional hours</t>
  </si>
  <si>
    <t>MKN-0133</t>
  </si>
  <si>
    <t>Batch mixer w/ engine, 50 to 100 bbl, rental or standby</t>
  </si>
  <si>
    <t>MKN-0134</t>
  </si>
  <si>
    <t>Batch mixer w/ engine, 50 to 100 bbl, operating, first 4 hours</t>
  </si>
  <si>
    <t>MKN-0135</t>
  </si>
  <si>
    <t>Batch mixer w/ engine, 50 to 100 bbl, operating, additional hours</t>
  </si>
  <si>
    <t>SUCTION PRESSURE &amp; FLUID TRANSFER PUMPS</t>
  </si>
  <si>
    <t>CENTRIFUGAL PUMPS</t>
  </si>
  <si>
    <t>MKN-0136</t>
  </si>
  <si>
    <t>Centrifugal pump skid, rental or standby</t>
  </si>
  <si>
    <t>MKN-0137</t>
  </si>
  <si>
    <t>Centrifugal pump skid, job charge</t>
  </si>
  <si>
    <t>MKN-0138</t>
  </si>
  <si>
    <t>Acid Transfer Pump, rental or standby</t>
  </si>
  <si>
    <t>MKN-0139</t>
  </si>
  <si>
    <t>Acid Transfer Pump, job charge</t>
  </si>
  <si>
    <t>SUCTION/DISCHARGES HOSES</t>
  </si>
  <si>
    <t>MKN-0140</t>
  </si>
  <si>
    <t>2" L.P Suction/Discharge Hose, per 15ft section, each</t>
  </si>
  <si>
    <t>MKN-0141</t>
  </si>
  <si>
    <t>3" L.P Suction/Discharge Hose, per 15ft section, each</t>
  </si>
  <si>
    <t>MKN-0142</t>
  </si>
  <si>
    <t>4" L.P Suction/Discharge Hose, per 15ft section, each</t>
  </si>
  <si>
    <t>STIMULATION FLUID MIXING</t>
  </si>
  <si>
    <t>MKN-0143</t>
  </si>
  <si>
    <t>Mixing charge for different acid systems (gelling acid, retarded cross linked acid
 &amp; SDA ...) prior to job, based on total volume of fluid</t>
  </si>
  <si>
    <t>MKN-0144</t>
  </si>
  <si>
    <t>Pre-mixing chemicals prior to any treatment, per hour</t>
  </si>
  <si>
    <t xml:space="preserve">Makaman Drill Stem Units are designed to provide state-of-the-art technology by incorporating </t>
  </si>
  <si>
    <t xml:space="preserve">programmable electronic temperature and pressure recorders. Makaman Drill Stem Testing </t>
  </si>
  <si>
    <t xml:space="preserve">Equipment is designed for rugged and trouble-free operations which has been proven by over </t>
  </si>
  <si>
    <t xml:space="preserve">10,000 drill stem test worldwide. Makaman innovations in tool design have increased drill stem </t>
  </si>
  <si>
    <t>testing success ratios and improved test reliability.</t>
  </si>
  <si>
    <t>Makaman Drill Stem Testing Units are truck-mounted, air-conditioned, and desert-equipped with</t>
  </si>
  <si>
    <t xml:space="preserve"> sand tires and all-wheel drive. Each unit is complete with all necessary down-hole and surface</t>
  </si>
  <si>
    <t xml:space="preserve"> equipment required to perform Conventional Bottom Hole and Straddle Drill Stem Tests in open</t>
  </si>
  <si>
    <t xml:space="preserve"> hole sizes from 5 7/8” to 12 1/4”, with bottom hole temperatures to 3570 Fahrenheit.</t>
  </si>
  <si>
    <t xml:space="preserve">Makaman Drill Stem Testing Surface Equipment (Fail Safe Head, Chicksans, Floor Manifold) </t>
  </si>
  <si>
    <t>conform to N.A.C.E. specifications MR-0175-90 for H₂S service and are pressure-rated for 10,000 P.S.I.</t>
  </si>
  <si>
    <t xml:space="preserve">Makaman Drill Stem Testing Units are operated and maintained by Technical Specialists with a </t>
  </si>
  <si>
    <t>minimum of 15 years of experience.</t>
  </si>
  <si>
    <t>CONVENTIONAL BOTTOM HOLE OR STRADDLE TESTS</t>
  </si>
  <si>
    <t>CASED OR OPEN HOLE</t>
  </si>
  <si>
    <t>Charges are for the first 24 hours from the time the packers are run through the rotary table into</t>
  </si>
  <si>
    <t xml:space="preserve"> the well and until they come back to the surface. Additional hours will be charged for.</t>
  </si>
  <si>
    <t>DEPTH IN FEET</t>
  </si>
  <si>
    <t>MKN-0145</t>
  </si>
  <si>
    <t>0 TO 5,000 FT</t>
  </si>
  <si>
    <t>MKN-0146</t>
  </si>
  <si>
    <t>5,001 TO 6,000 FT</t>
  </si>
  <si>
    <t>MKN-0147</t>
  </si>
  <si>
    <t>6,001 TO 7,000 FT</t>
  </si>
  <si>
    <t>MKN-0148</t>
  </si>
  <si>
    <t>7,001 TO 8,000 FT</t>
  </si>
  <si>
    <t>MKN-0149</t>
  </si>
  <si>
    <t>8,001 TO 9,000 FT</t>
  </si>
  <si>
    <t>MKN-0150</t>
  </si>
  <si>
    <t>9,001 TO 10,000 FT</t>
  </si>
  <si>
    <t>MKN-0151</t>
  </si>
  <si>
    <t>10,001 TO 11,000 FT</t>
  </si>
  <si>
    <t>MKN-0152</t>
  </si>
  <si>
    <t>11,001 TO 12,000 FT</t>
  </si>
  <si>
    <t>MKN-0153</t>
  </si>
  <si>
    <t>12,001 TO 13,000 FT</t>
  </si>
  <si>
    <t>MKN-0154</t>
  </si>
  <si>
    <t>13,001 TO 14,000 FT</t>
  </si>
  <si>
    <t>MKN-0155</t>
  </si>
  <si>
    <t>14,001 FT. OR DEEPER ADD PER 100 FT., OR FRACTION</t>
  </si>
  <si>
    <t>DRILL STEM TESTING SERVICES</t>
  </si>
  <si>
    <t>STANDARD CONVENTIONAL TOOLS INCLUDED IN THESE CHARGES:</t>
  </si>
  <si>
    <t>30 FT. PERFORATED ANCHOR</t>
  </si>
  <si>
    <t>5 JOINTS OF CHICKSAN,</t>
  </si>
  <si>
    <t>2 SETS OPEN HOLE PACKER ASSEMBLY,</t>
  </si>
  <si>
    <t>BULL NOSE,</t>
  </si>
  <si>
    <t>LEE MASON HYDRAULIC JARS,</t>
  </si>
  <si>
    <t>BYPASS PIPE,</t>
  </si>
  <si>
    <t>SHUT-IN TOOL,</t>
  </si>
  <si>
    <t>WALTER'S SAFETY JOINT,</t>
  </si>
  <si>
    <t>PRESSURE ACTIVATED REVERSE</t>
  </si>
  <si>
    <t>HYDRAULIC MAIN VALVE,</t>
  </si>
  <si>
    <t>CIRCULATING SUB, DROP BAR</t>
  </si>
  <si>
    <t>ANALYSIS KIT,</t>
  </si>
  <si>
    <t>ACTIVATED REVERSE CIRCULATING</t>
  </si>
  <si>
    <t>BUBBLE HEAD AND HOSES.</t>
  </si>
  <si>
    <t>SUB,</t>
  </si>
  <si>
    <t>DROP BAR ASSEMBLY,</t>
  </si>
  <si>
    <t>AUXILIARY CHARGES</t>
  </si>
  <si>
    <t>MKN-0156</t>
  </si>
  <si>
    <t>ADDITIONAL HOURS OR FRACTION OF, PER HOUR</t>
  </si>
  <si>
    <t>MKN-0157</t>
  </si>
  <si>
    <t>TRANSPORTATION CHARGE: PICK-UP ROUND TRIP, PER KM</t>
  </si>
  <si>
    <t>MKN-0158</t>
  </si>
  <si>
    <t>TRANSPORTATION CHARGE: SERVICE TRUCK ROUND TRIP, PER KM</t>
  </si>
  <si>
    <t>MKN-0159</t>
  </si>
  <si>
    <t>TRANSPORTATION CHARGE: SERVICE TRUCK STAND BY, PER DAY</t>
  </si>
  <si>
    <t>MKN-0160</t>
  </si>
  <si>
    <t>UNSUCCESSFUL RUN SERVICE CHARGE: INCLUDE STANDARD TESTING EQUIPMENT</t>
  </si>
  <si>
    <t>MKN-0161</t>
  </si>
  <si>
    <t>CANCELLATION OF SERVICE: BY CLIENT.</t>
  </si>
  <si>
    <t>MKN-0162</t>
  </si>
  <si>
    <t>WAITING TIME: EQUIPMENT, AFTER THE FIRST 6 HOURS, PER HOUR.</t>
  </si>
  <si>
    <t>MKN-0163</t>
  </si>
  <si>
    <t>PERSONNEL CHARGES: PER DAY, PER MAN. D.S.T. TECHNICIAN, PER DAY OR FRACTION ...</t>
  </si>
  <si>
    <t>MKN-0164</t>
  </si>
  <si>
    <t>D.S.T. ASSISTANT, PER DAY OR FRACTION ...</t>
  </si>
  <si>
    <t>CORROSIVE SERVICE CHARGE: ...........................</t>
  </si>
  <si>
    <t>MKN-0165</t>
  </si>
  <si>
    <t>WHEN EQUIPMENT AND INSTRUMENTS ARE RUN IN H₂S OR</t>
  </si>
  <si>
    <t>PLUS 20 %</t>
  </si>
  <si>
    <t xml:space="preserve"> CO₂. AND ACID.</t>
  </si>
  <si>
    <t>MKN-0166</t>
  </si>
  <si>
    <t>DESERT SURCHARGE</t>
  </si>
  <si>
    <t>OPTIONAL EQUIPMENT CHARGES AT CUSTOMER'S REQUEST</t>
  </si>
  <si>
    <t>MKN-0167</t>
  </si>
  <si>
    <t>SHUT-IN TOOL, FIRST 24 HOURS</t>
  </si>
  <si>
    <t>MKN-0168</t>
  </si>
  <si>
    <t>SHUT-IN TOOL: EACH ADDITIONAL 8 HOURS, OR FRACTION</t>
  </si>
  <si>
    <t>MKN-0169</t>
  </si>
  <si>
    <t>HYDRAULIC MAIN VALVE, FIRST 24 HOURS</t>
  </si>
  <si>
    <t>MKN-0170</t>
  </si>
  <si>
    <t>HY. M. VALVE: EACH ADDITIONAL 8 HOURS, OR FRACTION</t>
  </si>
  <si>
    <t>MKN-0171</t>
  </si>
  <si>
    <t>OPEN HOLE PACKER ASSEMBLY, PER ASSEMBLY</t>
  </si>
  <si>
    <t>MKN-0172</t>
  </si>
  <si>
    <t>STRADDLE BY-PASS ASSEMBLY, PER RUN</t>
  </si>
  <si>
    <t>MKN-0173</t>
  </si>
  <si>
    <t>WALTER'S SAFETY JOINT, PER RUN</t>
  </si>
  <si>
    <t>MKN-0174</t>
  </si>
  <si>
    <t>LEE MASON HYDRAULIC TESTING JARS, PER RUN</t>
  </si>
  <si>
    <t>MKN-0175</t>
  </si>
  <si>
    <t>REVERSE CIRCULATING EQUIPMENT, PER RUN</t>
  </si>
  <si>
    <t>MKN-0176</t>
  </si>
  <si>
    <t>CROSS OVER SUBS PER SUB, PER RUN</t>
  </si>
  <si>
    <t>MKN-0177</t>
  </si>
  <si>
    <t>ANCHOR IN EXCESS OF 30 FT.: PER FOOT</t>
  </si>
  <si>
    <t>MKN-0178</t>
  </si>
  <si>
    <t>BUBBLE HEAD PLUS GAUGES AND HOSES</t>
  </si>
  <si>
    <t>MKN-0179</t>
  </si>
  <si>
    <t>1 1/2" STEEL CHICKSAN JOINT, PER JOINT</t>
  </si>
  <si>
    <t>MKN-0180</t>
  </si>
  <si>
    <t>SURFACE SAMPLING EQUIPMENT, PER TEST</t>
  </si>
  <si>
    <t>MKN-0181</t>
  </si>
  <si>
    <t>FAIL SAFE, REMOTE CONTROL HEAD INCLUDES: LIFTING NIPPLE, MASTER VALVE, 
FLOW-TEE, DROP BAR ASSEMBLY, SWIVEL, AND ACCESS VALVE</t>
  </si>
  <si>
    <t>MKN-0182</t>
  </si>
  <si>
    <t>RESERVOIR FLUID SAMPLER, PER RUN</t>
  </si>
  <si>
    <t>PRESSURE AND TEMPERATURE RECORDERS</t>
  </si>
  <si>
    <t>MKN-0183</t>
  </si>
  <si>
    <t>MECHANICAL TEMPERATURE RECORDERS: PER RUN</t>
  </si>
  <si>
    <t>MKN-0184</t>
  </si>
  <si>
    <t>MECHANICAL PRESSURE RECORDERS: PER RUN</t>
  </si>
  <si>
    <t>MKN-0185</t>
  </si>
  <si>
    <t>ASE MEMORY GAUGE, PER RUN</t>
  </si>
  <si>
    <t>MKN-0186</t>
  </si>
  <si>
    <t>LITHIUM BATTERY, PER RUN</t>
  </si>
  <si>
    <t>MKN-0187</t>
  </si>
  <si>
    <t>FIELD READING OR MEMORY GAUGE USING ANALYTICAL PROGRAM, 
PER GAUGE, PER RUN</t>
  </si>
  <si>
    <t>MKN-0188</t>
  </si>
  <si>
    <t> LAP TOP COMPUTER AND PRINTER</t>
  </si>
  <si>
    <t>MKN-0189</t>
  </si>
  <si>
    <t>D.S.T. REPORT, FIRST THREE COPIES, FREE, EXTRA COPIES</t>
  </si>
  <si>
    <t>MKN-0190</t>
  </si>
  <si>
    <t>RE-ORDER TEST REPORT: EACH REPORT FOLDER</t>
  </si>
  <si>
    <t>MKN-0191</t>
  </si>
  <si>
    <t>TEST DATA ANALYSIS: COMPUTERIZED DATA ANALYSIS,
 FIRST THREE COPIES (IF ELECTRONIC PRESSURE &amp; TEMPERATURE NOT RUN)</t>
  </si>
  <si>
    <t>MKN-0192</t>
  </si>
  <si>
    <t>LOCAL READING, OTHER THAN BASIC</t>
  </si>
  <si>
    <t>MKN-0193</t>
  </si>
  <si>
    <t>READING, 
PER INSTRUMENT OF MAJOR PRESSURE POINT LOCATION WITH FIELD CHART READER, 
PER CHART</t>
  </si>
  <si>
    <t>SALE OF DAMAGED OPEN HOLE PACKER RUBBERS</t>
  </si>
  <si>
    <t>MKN-0194</t>
  </si>
  <si>
    <t>4 3/4" SLIM HOLE ...... ULTRA HI TEMP. (450º F.)</t>
  </si>
  <si>
    <t>MKN-0195</t>
  </si>
  <si>
    <t>5 1/2" SLIM HOLE ...... ULTRA HI TEMP. (450º F.)</t>
  </si>
  <si>
    <t>MKN-0196</t>
  </si>
  <si>
    <t>7 1/2" O.D.</t>
  </si>
  <si>
    <t>MKN-0197</t>
  </si>
  <si>
    <t>7 3/4" O.D.</t>
  </si>
  <si>
    <t>MKN-0198</t>
  </si>
  <si>
    <t>7 3/4" O.D. ...... ULTRA HI TEMP. (450º F.)</t>
  </si>
  <si>
    <t>MKN-0199</t>
  </si>
  <si>
    <t>8" O.D.</t>
  </si>
  <si>
    <t>MKN-0200</t>
  </si>
  <si>
    <t>8 1/2" O.D.</t>
  </si>
  <si>
    <t>MKN-0201</t>
  </si>
  <si>
    <t>9" O.D.</t>
  </si>
  <si>
    <t>MKN-0202</t>
  </si>
  <si>
    <t>10" O.D.</t>
  </si>
  <si>
    <t>MKN-0203</t>
  </si>
  <si>
    <t>11 1/4" O.D.</t>
  </si>
  <si>
    <t>SALE OF CASING PACKER REDRESS KITS</t>
  </si>
  <si>
    <t>MKN-0204</t>
  </si>
  <si>
    <t>MKN-0205</t>
  </si>
  <si>
    <t>5" SLIM HOLE ...... STANDARD TEMP.</t>
  </si>
  <si>
    <t>MKN-0206</t>
  </si>
  <si>
    <t>5" SLIM HOLE ...... ULTRA HI TEMP. (450º F.)</t>
  </si>
  <si>
    <t>MKN-0207</t>
  </si>
  <si>
    <t>MKN-0208</t>
  </si>
  <si>
    <t>7" ...... ULTRA HI TEMP. (450º F.)</t>
  </si>
  <si>
    <t>MKN-0209</t>
  </si>
  <si>
    <t>SALE OF DAMAGED PACKER RUBBER SUPPORTS (INSERTS)</t>
  </si>
  <si>
    <t>MKN-0210</t>
  </si>
  <si>
    <t>MKN-0211</t>
  </si>
  <si>
    <t>MKN-0212</t>
  </si>
  <si>
    <t>7 1/2"</t>
  </si>
  <si>
    <t>MKN-0213</t>
  </si>
  <si>
    <t>7 3/4" O.D</t>
  </si>
  <si>
    <t>MKN-0214</t>
  </si>
  <si>
    <t>7 3/4" O.D ...... ULTRA HI TEMP. (450º F.)</t>
  </si>
  <si>
    <t>MKN-0215</t>
  </si>
  <si>
    <t>8" O.D</t>
  </si>
  <si>
    <t>MKN-0216</t>
  </si>
  <si>
    <t>8 1/2" O.D</t>
  </si>
  <si>
    <t>MKN-0217</t>
  </si>
  <si>
    <t>9" O.D</t>
  </si>
  <si>
    <t>MKN-0218</t>
  </si>
  <si>
    <t>10" O.D</t>
  </si>
  <si>
    <t>MKN-0219</t>
  </si>
  <si>
    <t>11 1/4" O.D</t>
  </si>
  <si>
    <t>FISHING SERVICES</t>
  </si>
  <si>
    <t>MKN-0220</t>
  </si>
  <si>
    <t>Fishing Tool Supervisor</t>
  </si>
  <si>
    <t>MKN-0221</t>
  </si>
  <si>
    <t>Tools pick up</t>
  </si>
  <si>
    <t>MKN-0222</t>
  </si>
  <si>
    <t>Truck</t>
  </si>
  <si>
    <t>S/1 km</t>
  </si>
  <si>
    <t>BASKETS - JUNK</t>
  </si>
  <si>
    <t>Frist day</t>
  </si>
  <si>
    <t>Add day</t>
  </si>
  <si>
    <t>MKN-0223</t>
  </si>
  <si>
    <t>Thru 3-3/4"OD</t>
  </si>
  <si>
    <t>MKN-0224</t>
  </si>
  <si>
    <t>Thru 4-1/4"OD</t>
  </si>
  <si>
    <t>MKN-0225</t>
  </si>
  <si>
    <t>Thru 4-3/4" OD</t>
  </si>
  <si>
    <t>MKN-0226</t>
  </si>
  <si>
    <t>Thru 5-3/4" OD</t>
  </si>
  <si>
    <t>MKN-0227</t>
  </si>
  <si>
    <t>Thru 6-1/8"OD</t>
  </si>
  <si>
    <t>MKN-0228</t>
  </si>
  <si>
    <t>Thru 6-3/4"OD</t>
  </si>
  <si>
    <t>MKN-0229</t>
  </si>
  <si>
    <t>Thru 7-3/4"OD</t>
  </si>
  <si>
    <t>MKN-0230</t>
  </si>
  <si>
    <t>Thru 9-3/4"OD</t>
  </si>
  <si>
    <t>MKN-0231</t>
  </si>
  <si>
    <t>Thru 10-3/4"OD</t>
  </si>
  <si>
    <t>MKN-0232</t>
  </si>
  <si>
    <t>Thru 12-1/4"OD</t>
  </si>
  <si>
    <t>REVERSE CIRCULATING JET - WITH TUNGSTEN</t>
  </si>
  <si>
    <t>MKN-0233</t>
  </si>
  <si>
    <t>Thru 8-3/4"OD</t>
  </si>
  <si>
    <t>Price/Largest OD in/Run</t>
  </si>
  <si>
    <t>MKN-0234</t>
  </si>
  <si>
    <t>Thru 17-1/2"OD</t>
  </si>
  <si>
    <t>BASKETS - JUNK (POOR BAY, DRAG TOOTH, OR</t>
  </si>
  <si>
    <t>MKN-0235</t>
  </si>
  <si>
    <t>Thru 7" OD</t>
  </si>
  <si>
    <t>MKN-0236</t>
  </si>
  <si>
    <t>MKN-0237</t>
  </si>
  <si>
    <t>Thru 13-3/8"OD</t>
  </si>
  <si>
    <t>MKN-0238</t>
  </si>
  <si>
    <t>8" OD &amp; Smaller (minimum 10 hrs)</t>
  </si>
  <si>
    <t>per hour</t>
  </si>
  <si>
    <t>MKN-0239</t>
  </si>
  <si>
    <t>Over 8" (minimum 10 hrs)</t>
  </si>
  <si>
    <t>BOXES METAL</t>
  </si>
  <si>
    <t>MKN-0240</t>
  </si>
  <si>
    <t>ALL Sizes</t>
  </si>
  <si>
    <t>Triple Connection Or Canfield</t>
  </si>
  <si>
    <t>Frist Day</t>
  </si>
  <si>
    <t>Add Day</t>
  </si>
  <si>
    <t>MKN-0241</t>
  </si>
  <si>
    <t>Thru 4 1/2" Wasphole Pin</t>
  </si>
  <si>
    <t>MKN-0242</t>
  </si>
  <si>
    <t>Thru 5 3/4" Wasphole Pin</t>
  </si>
  <si>
    <t>MKN-0243</t>
  </si>
  <si>
    <t>Thru 8 3/8" Wasphole Pin</t>
  </si>
  <si>
    <t>MKN-0244</t>
  </si>
  <si>
    <t>Thru 10 3/4" Wasphole Pin</t>
  </si>
  <si>
    <t>MKN-0245</t>
  </si>
  <si>
    <t>Thru 13 3/8" Wasphole Pin</t>
  </si>
  <si>
    <t>MKN-0246</t>
  </si>
  <si>
    <t>Thru 16 1/2" Wasphole Pin</t>
  </si>
  <si>
    <t>MKN-0247</t>
  </si>
  <si>
    <t>Thru 20" Wasphole Pin</t>
  </si>
  <si>
    <t>SAFETY OR CONTROL BUSHING</t>
  </si>
  <si>
    <t>MKN-0248</t>
  </si>
  <si>
    <t>7 5/8" OD &amp; Smaller</t>
  </si>
  <si>
    <t>MKN-0249</t>
  </si>
  <si>
    <t>9 5/8" OD &amp; Smaller</t>
  </si>
  <si>
    <t>MKN-0250</t>
  </si>
  <si>
    <t>11 3/4" OD &amp; Smaller</t>
  </si>
  <si>
    <t>CLAMPS-SAFETY, DRILL COLLAR OR WIRELINE</t>
  </si>
  <si>
    <t>Price$</t>
  </si>
  <si>
    <t>MKN-0251</t>
  </si>
  <si>
    <t>Thru 10 segments</t>
  </si>
  <si>
    <t>MKN-0252</t>
  </si>
  <si>
    <t>Larger than 10 segments</t>
  </si>
  <si>
    <t>CUTTER-INSIDE CSG-MECHANICAL CUTTER</t>
  </si>
  <si>
    <t>MKN-0253</t>
  </si>
  <si>
    <t>Casing Thru 6-5/8" OD</t>
  </si>
  <si>
    <t>PER CUT</t>
  </si>
  <si>
    <t>MKN-0254</t>
  </si>
  <si>
    <t>Casing Thru 8-5/8" OD</t>
  </si>
  <si>
    <t>CUTTER-OUTSIDE-CASING DRILL OR TUBING</t>
  </si>
  <si>
    <t>MKN-0255</t>
  </si>
  <si>
    <t>Hydraulic or washover cutter (Any size)</t>
  </si>
  <si>
    <t>MKN-0256</t>
  </si>
  <si>
    <t>Mechanical cutter (Any size)</t>
  </si>
  <si>
    <t>CASING CUTTERS</t>
  </si>
  <si>
    <t>MKN-0257</t>
  </si>
  <si>
    <t>Butter-inside Casing-Hydraulic Pressure cutter</t>
  </si>
  <si>
    <t>MKN-0258</t>
  </si>
  <si>
    <t>Thru 9-5/8"OD OR Smaller</t>
  </si>
  <si>
    <t>MKN-0259</t>
  </si>
  <si>
    <t>MKN-0260</t>
  </si>
  <si>
    <t>MKN-0261</t>
  </si>
  <si>
    <t>Thru 18"OD</t>
  </si>
  <si>
    <t>MKN-0262</t>
  </si>
  <si>
    <t>Thru 26"OD</t>
  </si>
  <si>
    <t>MKN-0263</t>
  </si>
  <si>
    <t>Thru 30"OD</t>
  </si>
  <si>
    <t>MKN-0264</t>
  </si>
  <si>
    <t>Thru 42"OD</t>
  </si>
  <si>
    <t>DRILLING JARS</t>
  </si>
  <si>
    <t>FISHING, HYDAULIC OR MECHANICAL JAR</t>
  </si>
  <si>
    <t>First 8 HRS</t>
  </si>
  <si>
    <t>Add. 8 HR</t>
  </si>
  <si>
    <t>Stand By
 Rate</t>
  </si>
  <si>
    <t>Redress Kits Will be 50% on the first</t>
  </si>
  <si>
    <t>MKN-0265</t>
  </si>
  <si>
    <t>Thru 6-1/2" OD</t>
  </si>
  <si>
    <t>MKN-0266</t>
  </si>
  <si>
    <t>Thru 8" OD</t>
  </si>
  <si>
    <t>JARS - BUMPER SUB</t>
  </si>
  <si>
    <t>MKN-0267</t>
  </si>
  <si>
    <t>Thru 4-1/4"OD (Jars - Bumper sub)</t>
  </si>
  <si>
    <t>MKN-0268</t>
  </si>
  <si>
    <t>Thru 6-1/4"OD (Jars - Bumper sub)</t>
  </si>
  <si>
    <t>Rotary safety - Drill pipe and Tubing</t>
  </si>
  <si>
    <t>MKN-0269</t>
  </si>
  <si>
    <t>3-1/2" conn.</t>
  </si>
  <si>
    <t>MKN-0270</t>
  </si>
  <si>
    <t xml:space="preserve">6-5/8" conn. And smaller </t>
  </si>
  <si>
    <t>"J" Type safety, Shear pin type, or unlatching</t>
  </si>
  <si>
    <t>MKN-0271</t>
  </si>
  <si>
    <t>Magnets (Ditch)</t>
  </si>
  <si>
    <t>MFT 100-052</t>
  </si>
  <si>
    <t>All sizes</t>
  </si>
  <si>
    <t>Fishing</t>
  </si>
  <si>
    <t>MKN-0272</t>
  </si>
  <si>
    <t xml:space="preserve"> Thru 2-1/2" OD</t>
  </si>
  <si>
    <t>MKN-0273</t>
  </si>
  <si>
    <t xml:space="preserve"> Thru 4-1/2" OD</t>
  </si>
  <si>
    <t>MKN-0274</t>
  </si>
  <si>
    <t xml:space="preserve"> Thru 6-1/2" OD</t>
  </si>
  <si>
    <t>MKN-0275</t>
  </si>
  <si>
    <t xml:space="preserve"> Thru 8-1/2" OD</t>
  </si>
  <si>
    <t>MKN-0276</t>
  </si>
  <si>
    <t>Thru 11-1/2" OD</t>
  </si>
  <si>
    <t>(Mills-Dressed W/Tungsten Carbide Inserts)</t>
  </si>
  <si>
    <t>MKN-0277</t>
  </si>
  <si>
    <t>Thru 4 1/4"OD</t>
  </si>
  <si>
    <t>Per Tool</t>
  </si>
  <si>
    <t>MKN-0278</t>
  </si>
  <si>
    <t>Thru 6 1/8"OD</t>
  </si>
  <si>
    <t>MKN-0279</t>
  </si>
  <si>
    <t>Thru 7 3/8"OD</t>
  </si>
  <si>
    <t>MKN-0280</t>
  </si>
  <si>
    <t>Thru 8 3/8"OD</t>
  </si>
  <si>
    <t>MKN-0281</t>
  </si>
  <si>
    <t>Thru 10 5/8"OD</t>
  </si>
  <si>
    <t>MKN-0282</t>
  </si>
  <si>
    <t>Thru 17 1/2"OD</t>
  </si>
  <si>
    <t>CEMENT, JUNK OR BLADED TYPE</t>
  </si>
  <si>
    <t>MKN-0283</t>
  </si>
  <si>
    <t>PER RUN</t>
  </si>
  <si>
    <t>MILLS-DRESSED W/CRUSHED TUNGSTEN</t>
  </si>
  <si>
    <t>CEMENT, CONCAVE, FLAT BOTTOM, HOLLOW, ROUND NOSE, DIAMOND POINT OR FISH TAIL</t>
  </si>
  <si>
    <t>MKN-0284</t>
  </si>
  <si>
    <t>Thru 12"OD</t>
  </si>
  <si>
    <t>MKN-0285</t>
  </si>
  <si>
    <t>Thru 15"OD</t>
  </si>
  <si>
    <t>MKN-0286</t>
  </si>
  <si>
    <t>Thru 20"OD</t>
  </si>
  <si>
    <t>MKN-0287</t>
  </si>
  <si>
    <t>Thru 24"OD</t>
  </si>
  <si>
    <t>MKN-0288</t>
  </si>
  <si>
    <t>PACKER, PILOT, TAPERED, OR WATERMELON</t>
  </si>
  <si>
    <t>MKN-0289</t>
  </si>
  <si>
    <t>MKN-0290</t>
  </si>
  <si>
    <t>MKN-0291</t>
  </si>
  <si>
    <t>MKN-0292</t>
  </si>
  <si>
    <t>MKN-0293</t>
  </si>
  <si>
    <t>OVERSHOTS</t>
  </si>
  <si>
    <t>SERIES 150 - ROTARY RELEASING AND PACKOFF</t>
  </si>
  <si>
    <t>Stand By Rate</t>
  </si>
  <si>
    <t>MKN-0294</t>
  </si>
  <si>
    <t>Thru 4-1/8"OD</t>
  </si>
  <si>
    <t>MKN-0295</t>
  </si>
  <si>
    <t>Thru 5-3/8"OD</t>
  </si>
  <si>
    <t>MKN-0296</t>
  </si>
  <si>
    <t>Thru 8-7/8"OD</t>
  </si>
  <si>
    <t>MKN-0297</t>
  </si>
  <si>
    <t>Thru 11-3/4"OD</t>
  </si>
  <si>
    <t>MKN-0298</t>
  </si>
  <si>
    <t>All size for Overshot Grapple 80% of First Day</t>
  </si>
  <si>
    <t>MKN-0299</t>
  </si>
  <si>
    <t>Thru 4 3/4"OD</t>
  </si>
  <si>
    <t>MKN-0300</t>
  </si>
  <si>
    <t>Thru 6 1/4"OD</t>
  </si>
  <si>
    <t>MKN-0301</t>
  </si>
  <si>
    <t>Thru 9 5/8"OD</t>
  </si>
  <si>
    <t>MKN-0302</t>
  </si>
  <si>
    <t>Thru 12 3/4"OD</t>
  </si>
  <si>
    <t>MKN-0303</t>
  </si>
  <si>
    <t>OVERSHOTS GUIDES</t>
  </si>
  <si>
    <t>MILL TYPE (TUNGSTEN CARBIDE DRESSED)</t>
  </si>
  <si>
    <t>MKN-0304</t>
  </si>
  <si>
    <t>Thru 4-3/8"OD</t>
  </si>
  <si>
    <t>MKN-0305</t>
  </si>
  <si>
    <t>Thru 5-3/4"OD</t>
  </si>
  <si>
    <t>MKN-0306</t>
  </si>
  <si>
    <t>Thru 8"OD</t>
  </si>
  <si>
    <t>MKN-0307</t>
  </si>
  <si>
    <t>MKN-0308</t>
  </si>
  <si>
    <t>MKN-0309</t>
  </si>
  <si>
    <t>MKN-0310</t>
  </si>
  <si>
    <t>MKN-0311</t>
  </si>
  <si>
    <t>OVERSHOT EXTENSIONS</t>
  </si>
  <si>
    <t>MKN-0312</t>
  </si>
  <si>
    <t>MKN-0313</t>
  </si>
  <si>
    <t>MKN-0314</t>
  </si>
  <si>
    <t>MKN-0315</t>
  </si>
  <si>
    <t>MKN-0316</t>
  </si>
  <si>
    <t>Thru 13 3/4"OD</t>
  </si>
  <si>
    <t>GUIDES - OVERSIZE, DONUT OR EXTRA</t>
  </si>
  <si>
    <t>MKN-0317</t>
  </si>
  <si>
    <t>Thru 7"OD</t>
  </si>
  <si>
    <t>MKN-0318</t>
  </si>
  <si>
    <t>Thru 11"OD</t>
  </si>
  <si>
    <t>MKN-0319</t>
  </si>
  <si>
    <t>Thru 16-18"OD</t>
  </si>
  <si>
    <t>MKN-0320</t>
  </si>
  <si>
    <t>MKN-0321</t>
  </si>
  <si>
    <t>GUIDES - WALL HOOK</t>
  </si>
  <si>
    <t>MKN-0322</t>
  </si>
  <si>
    <t>Thru 7-7/8"OD</t>
  </si>
  <si>
    <t>MKN-0323</t>
  </si>
  <si>
    <t>Thru 20-3/4"OD</t>
  </si>
  <si>
    <t>PIPE - WASHOVER</t>
  </si>
  <si>
    <t>MKN-0324</t>
  </si>
  <si>
    <t>4-1/2"OD</t>
  </si>
  <si>
    <t>S/FT</t>
  </si>
  <si>
    <t>MKN-0325</t>
  </si>
  <si>
    <t>4-3/4"OD</t>
  </si>
  <si>
    <t>MKN-0326</t>
  </si>
  <si>
    <t>5"OD</t>
  </si>
  <si>
    <t>MKN-0327</t>
  </si>
  <si>
    <t>5-3/8"OD</t>
  </si>
  <si>
    <t>MKN-0328</t>
  </si>
  <si>
    <t>5-3/4"OD</t>
  </si>
  <si>
    <t>MKN-0329</t>
  </si>
  <si>
    <t>7-5/8"OD</t>
  </si>
  <si>
    <t>WASHOVER PIPE &amp; EXTENSIONS</t>
  </si>
  <si>
    <t>MKN-0330</t>
  </si>
  <si>
    <t>Pipe - Washover - Extension</t>
  </si>
  <si>
    <t>MKN-0331</t>
  </si>
  <si>
    <t>MKN-0332</t>
  </si>
  <si>
    <t>Thru 10 3/4"OD</t>
  </si>
  <si>
    <t>MKN-0333</t>
  </si>
  <si>
    <t>Thru 13 3/8"OD</t>
  </si>
  <si>
    <t>MKN-0334</t>
  </si>
  <si>
    <t>Thru 16"OD</t>
  </si>
  <si>
    <t>MKN-0335</t>
  </si>
  <si>
    <t>MKN-0336</t>
  </si>
  <si>
    <t>Bull, Bull Nose</t>
  </si>
  <si>
    <t>MKN-0337</t>
  </si>
  <si>
    <t>Thru 3-1/2"joint size</t>
  </si>
  <si>
    <t>MKN-0338</t>
  </si>
  <si>
    <t>Thru 4-1/2" joint size</t>
  </si>
  <si>
    <t>MKN-0339</t>
  </si>
  <si>
    <t>Thru 5 1/2" joint size</t>
  </si>
  <si>
    <t>LIFT (USED WITH WASHIPPE)</t>
  </si>
  <si>
    <t>MKN-0340</t>
  </si>
  <si>
    <t>Thru 5-3/4" OD pipe</t>
  </si>
  <si>
    <t>MKN-0341</t>
  </si>
  <si>
    <t>Thru 10-3/4"OD pipe</t>
  </si>
  <si>
    <t>MKN-0342</t>
  </si>
  <si>
    <t>Thru 20"OD pipe</t>
  </si>
  <si>
    <t>REAMERS - 3 &amp; 4 BLADE</t>
  </si>
  <si>
    <t>CONVENTIONAL - FISHING - DRESSED WITH HARD</t>
  </si>
  <si>
    <t>MKN-0343</t>
  </si>
  <si>
    <t>MKN-0344</t>
  </si>
  <si>
    <t>MKN-0345</t>
  </si>
  <si>
    <t>SAW</t>
  </si>
  <si>
    <t>MKN-0346</t>
  </si>
  <si>
    <t>Pneumatic Casing Saw - 4" to 12" OD</t>
  </si>
  <si>
    <t>Per CUT</t>
  </si>
  <si>
    <t>CSG. SCR.</t>
  </si>
  <si>
    <t>MKN-0347</t>
  </si>
  <si>
    <t>Thru 5"OD</t>
  </si>
  <si>
    <t>MKN-0348</t>
  </si>
  <si>
    <t>MKN-0349</t>
  </si>
  <si>
    <t>MKN-0350</t>
  </si>
  <si>
    <t>MKN-0351</t>
  </si>
  <si>
    <t>MKN-0352</t>
  </si>
  <si>
    <t>MKN-0353</t>
  </si>
  <si>
    <t>SHOES-ROTARY OR WASHPIPE</t>
  </si>
  <si>
    <t>CRUSHED TUNGSTEN CARBIDE</t>
  </si>
  <si>
    <t>MKN-0354</t>
  </si>
  <si>
    <t>Thru 7 1/2"OD</t>
  </si>
  <si>
    <t>MKN-0355</t>
  </si>
  <si>
    <t>ROLLERS - CASING</t>
  </si>
  <si>
    <t>MKN-0356</t>
  </si>
  <si>
    <t>Thru 4-1/2"OD Casing</t>
  </si>
  <si>
    <t>MKN-0357</t>
  </si>
  <si>
    <t>Thru 5-1/2"OD Casing</t>
  </si>
  <si>
    <t>MKN-0358</t>
  </si>
  <si>
    <t>Thru 7-5/8"OD Casing</t>
  </si>
  <si>
    <t>MKN-0359</t>
  </si>
  <si>
    <t>Thru 9-5/8"OD Casing</t>
  </si>
  <si>
    <t>MKN-0360</t>
  </si>
  <si>
    <t>Thru 10 3/4"OD Casing</t>
  </si>
  <si>
    <t>MKN-0361</t>
  </si>
  <si>
    <t>Thru 11 3/4"OD Casing</t>
  </si>
  <si>
    <t>MKN-0362</t>
  </si>
  <si>
    <t>Thru 13-3/8"OD Casing</t>
  </si>
  <si>
    <t>CABLE SPEAR</t>
  </si>
  <si>
    <t>MKN-0363</t>
  </si>
  <si>
    <t>41/2" - 5" Casing</t>
  </si>
  <si>
    <t>MKN-0364</t>
  </si>
  <si>
    <t>7" Casing</t>
  </si>
  <si>
    <t>MKN-0365</t>
  </si>
  <si>
    <t>9 5/8" Casing</t>
  </si>
  <si>
    <t>MKN-0366</t>
  </si>
  <si>
    <t>13 3/8" Casing</t>
  </si>
  <si>
    <t xml:space="preserve">ROPE CENTER, MULTI-PRONG </t>
  </si>
  <si>
    <t>MKN-0367</t>
  </si>
  <si>
    <t>OR SUCKER ROD CONN.</t>
  </si>
  <si>
    <t>MKN-0368</t>
  </si>
  <si>
    <t>2 7/8" CONN.</t>
  </si>
  <si>
    <t>MKN-0369</t>
  </si>
  <si>
    <t>3 1/2" CONN.</t>
  </si>
  <si>
    <t>MKN-0370</t>
  </si>
  <si>
    <t>4 1/2" CONN.</t>
  </si>
  <si>
    <t>MKN-0371</t>
  </si>
  <si>
    <t>5 1/2" CONN.</t>
  </si>
  <si>
    <t>MKN-0372</t>
  </si>
  <si>
    <t>6 5/8" CONN.</t>
  </si>
  <si>
    <t>MKN-0373</t>
  </si>
  <si>
    <t>7 5/8" CONN.</t>
  </si>
  <si>
    <t>ROTARY RELEASING AND "J"-TYPE-FULL CIRCLE</t>
  </si>
  <si>
    <t>MKN-0374</t>
  </si>
  <si>
    <t>2 7/8" O.D</t>
  </si>
  <si>
    <t>MKN-0375</t>
  </si>
  <si>
    <t>5" O.D</t>
  </si>
  <si>
    <t>MKN-0376</t>
  </si>
  <si>
    <t>6 5/8" O.D</t>
  </si>
  <si>
    <t>MKN-0377</t>
  </si>
  <si>
    <t>8 5/8" O.D</t>
  </si>
  <si>
    <t>MKN-0378</t>
  </si>
  <si>
    <t>13 3/8" O.D</t>
  </si>
  <si>
    <t>MKN-0379</t>
  </si>
  <si>
    <t>16" O.D</t>
  </si>
  <si>
    <t>MKN-0380</t>
  </si>
  <si>
    <t>20" O.D</t>
  </si>
  <si>
    <t>MKN-0381</t>
  </si>
  <si>
    <t>36" O.D</t>
  </si>
  <si>
    <t>SPEAR EXTENSIONS</t>
  </si>
  <si>
    <t>MKN-0382</t>
  </si>
  <si>
    <t>MKN-0383</t>
  </si>
  <si>
    <t>MKN-0384</t>
  </si>
  <si>
    <t>MKN-0385</t>
  </si>
  <si>
    <t>SPEAR PACK-OFF ASSEMBLY</t>
  </si>
  <si>
    <t>MKN-0386</t>
  </si>
  <si>
    <t>2 7/8" OD</t>
  </si>
  <si>
    <t>MKN-0387</t>
  </si>
  <si>
    <t>4 " OD</t>
  </si>
  <si>
    <t>MKN-0388</t>
  </si>
  <si>
    <t>5" OD</t>
  </si>
  <si>
    <t>MKN-0389</t>
  </si>
  <si>
    <t>7" OD</t>
  </si>
  <si>
    <t>MKN-0390</t>
  </si>
  <si>
    <t>9 5/8" OD</t>
  </si>
  <si>
    <t>MKN-0391</t>
  </si>
  <si>
    <t>13 3/8" OD</t>
  </si>
  <si>
    <t>MKN-0392</t>
  </si>
  <si>
    <t>16" OD</t>
  </si>
  <si>
    <t>LIFT-DRILL COLLAR</t>
  </si>
  <si>
    <t>MKN-0393</t>
  </si>
  <si>
    <t>MKN-0394</t>
  </si>
  <si>
    <t>MKN-0395</t>
  </si>
  <si>
    <t>MKN-0396</t>
  </si>
  <si>
    <t>2-7/8" Connection size</t>
  </si>
  <si>
    <t>MKN-0397</t>
  </si>
  <si>
    <t>4-1/2" Connection size</t>
  </si>
  <si>
    <t>MKN-0398</t>
  </si>
  <si>
    <t>6 5/8" Connection size</t>
  </si>
  <si>
    <t>MKN-0399</t>
  </si>
  <si>
    <t>7 5/8" Connection size</t>
  </si>
  <si>
    <t>WELDED BLADE, FIXED BLADE</t>
  </si>
  <si>
    <t>MKN-0400</t>
  </si>
  <si>
    <t>Thru 7-3/8"OD</t>
  </si>
  <si>
    <t>MKN-0401</t>
  </si>
  <si>
    <t>MKN-0402</t>
  </si>
  <si>
    <t>SUBS (RORARY AND BIT)</t>
  </si>
  <si>
    <t>MKN-0403</t>
  </si>
  <si>
    <t>Sucker Rod CONN.</t>
  </si>
  <si>
    <t>MKN-0404</t>
  </si>
  <si>
    <t>MKN-0405</t>
  </si>
  <si>
    <t>MKN-0406</t>
  </si>
  <si>
    <t>MKN-0407</t>
  </si>
  <si>
    <t>MKN-0408</t>
  </si>
  <si>
    <t>SUBS (ROTARY &amp; BIT)</t>
  </si>
  <si>
    <t>MKN-0409</t>
  </si>
  <si>
    <t>SUBS(RORARY AND BIT Sucker Rod CONN.</t>
  </si>
  <si>
    <t>MKN-0410</t>
  </si>
  <si>
    <t>MKN-0411</t>
  </si>
  <si>
    <t>MKN-0412</t>
  </si>
  <si>
    <t>MKN-0413</t>
  </si>
  <si>
    <t>MKN-0414</t>
  </si>
  <si>
    <t>SWAGES-CASING (SWAGING TOOL)</t>
  </si>
  <si>
    <t>MKN-0415</t>
  </si>
  <si>
    <t>All Sizes</t>
  </si>
  <si>
    <t>DIE COLLARS &amp; TAPERED UP TO 30" LONG</t>
  </si>
  <si>
    <t>MKN-0416</t>
  </si>
  <si>
    <t>Thru 2 1/2" OD</t>
  </si>
  <si>
    <t>MKN-0417</t>
  </si>
  <si>
    <t>Thru 3 3/4" OD</t>
  </si>
  <si>
    <t>MKN-0418</t>
  </si>
  <si>
    <t>Thru 4 3/4" OD</t>
  </si>
  <si>
    <t>MKN-0419</t>
  </si>
  <si>
    <t>Thru 5 3/4" OD</t>
  </si>
  <si>
    <t>MKN-0420</t>
  </si>
  <si>
    <t>Thru 6 3/4" OD</t>
  </si>
  <si>
    <t>MKN-0421</t>
  </si>
  <si>
    <t>Thru 7 5/8" OD</t>
  </si>
  <si>
    <t>MKN-0422</t>
  </si>
  <si>
    <t>Thru 9 5/8" OD</t>
  </si>
  <si>
    <t>MKN-0423</t>
  </si>
  <si>
    <t>Thru 10 3/4" OD</t>
  </si>
  <si>
    <t>REDRESS CHARGES – FISHING TOOLS</t>
  </si>
  <si>
    <t>MKN-0424</t>
  </si>
  <si>
    <t>Redress charge for fishing jar thru 6 ½” OD</t>
  </si>
  <si>
    <t>Per run</t>
  </si>
  <si>
    <t>MKN-0425</t>
  </si>
  <si>
    <t>Redress charge for fishing jar thru 8 ¾” OD</t>
  </si>
  <si>
    <t>MKN-0426</t>
  </si>
  <si>
    <t>Redress charge for bumper sub thru 6 ¼” OD</t>
  </si>
  <si>
    <t>MKN-0427</t>
  </si>
  <si>
    <t>Redress charge for bumper sub thru 8 ¾” OD</t>
  </si>
  <si>
    <t>REDRESS &amp; REFILL CHARGES</t>
  </si>
  <si>
    <t>MKN-0428</t>
  </si>
  <si>
    <t>Refill impression block thru 8” OD</t>
  </si>
  <si>
    <t>MKN-0429</t>
  </si>
  <si>
    <t>Refill impression block thru 13 3/8” OD</t>
  </si>
  <si>
    <t>MKN-0430</t>
  </si>
  <si>
    <t>Redress junk basket with tungsten carbide thru 8 ¾” OD</t>
  </si>
  <si>
    <t>MKN-0431</t>
  </si>
  <si>
    <t>Redress junk basket with tungsten carbide thru 13 3/8” OD</t>
  </si>
  <si>
    <t>MKN-0432</t>
  </si>
  <si>
    <t>Redress charge for washover pipe all sizes</t>
  </si>
  <si>
    <t>…..</t>
  </si>
  <si>
    <t>MILLS &amp; REFILLS</t>
  </si>
  <si>
    <t>MKN-0433</t>
  </si>
  <si>
    <t>Skirted mill thru 8 ¾” OD</t>
  </si>
  <si>
    <t>MKN-0434</t>
  </si>
  <si>
    <t>Skirted mill thru 13 3/8” OD</t>
  </si>
  <si>
    <t>MKN-0435</t>
  </si>
  <si>
    <t>Refill washover pipe dressed with crushed carbide for skirted mill all</t>
  </si>
  <si>
    <t>MKN-0436</t>
  </si>
  <si>
    <t>Refill junk mill with crushed carbide for skirted mill all sizes</t>
  </si>
  <si>
    <t>MKN-0437</t>
  </si>
  <si>
    <t>Flat bottom Mill all size</t>
  </si>
  <si>
    <t>MKN-0438</t>
  </si>
  <si>
    <t>Refill flat bottom mill all size</t>
  </si>
  <si>
    <t>CABLE SPEARS &amp; OVERSHOT REDRESS</t>
  </si>
  <si>
    <t>MKN-0439</t>
  </si>
  <si>
    <t>Cable spear thru 8 ¾” OD</t>
  </si>
  <si>
    <t>MKN-0440</t>
  </si>
  <si>
    <t>Cable spear thru 13 3/8” OD</t>
  </si>
  <si>
    <t>MKN-0441</t>
  </si>
  <si>
    <t>Redress kit overshot wide range for all sizes</t>
  </si>
  <si>
    <t>MKN-0442</t>
  </si>
  <si>
    <t>Inspection charge for all tools as per third party company invoice</t>
  </si>
  <si>
    <t>Per tool</t>
  </si>
  <si>
    <t>BAILERS &amp; HANDLING EQUIPMENT</t>
  </si>
  <si>
    <t>MKN-0443</t>
  </si>
  <si>
    <t>Bailer or sand pump all sizes</t>
  </si>
  <si>
    <t>Per day</t>
  </si>
  <si>
    <t>MKN-0444</t>
  </si>
  <si>
    <t>Bailer or sand pump redress charge will be 50% from</t>
  </si>
  <si>
    <t>50% F.Day</t>
  </si>
  <si>
    <t>MKN-0445</t>
  </si>
  <si>
    <t>Safety clamps all sizes</t>
  </si>
  <si>
    <t>MKN-0446</t>
  </si>
  <si>
    <t>Elevators charge all sizes</t>
  </si>
  <si>
    <t>MKN-0447</t>
  </si>
  <si>
    <t>Safety joint charge all sizes</t>
  </si>
  <si>
    <t>MKN-0448</t>
  </si>
  <si>
    <t>Workshop redressing technician rate</t>
  </si>
  <si>
    <t>(minimum 2days)</t>
  </si>
  <si>
    <t>MAGNETS &amp; GRAPPLES</t>
  </si>
  <si>
    <t>MKN-0449</t>
  </si>
  <si>
    <t>Magnet Thru 4 ½” OD</t>
  </si>
  <si>
    <t>MKN-0450</t>
  </si>
  <si>
    <t>Magnet Thru 9 ½” OD</t>
  </si>
  <si>
    <t>MKN-0451</t>
  </si>
  <si>
    <t>Magnet Type Ditch</t>
  </si>
  <si>
    <t>MKN-0452</t>
  </si>
  <si>
    <t>All grapples and controls for all sizes will be charged 50% from</t>
  </si>
  <si>
    <t>MKN-0453</t>
  </si>
  <si>
    <t>Near bit stabilizer thru 7”</t>
  </si>
  <si>
    <t>MKN-0454</t>
  </si>
  <si>
    <t>Near bit stabilizer thru 9 5/8”</t>
  </si>
  <si>
    <t>JAR INTENSIFIERS &amp; RELEASING SPEARS</t>
  </si>
  <si>
    <t>MKN-0455</t>
  </si>
  <si>
    <t>Jar intensifier all size per day</t>
  </si>
  <si>
    <t>MKN-0456</t>
  </si>
  <si>
    <t>Releasing spear thru 7”</t>
  </si>
  <si>
    <t>MKN-0457</t>
  </si>
  <si>
    <t>Releasing Spear thru 9 5/8”</t>
  </si>
  <si>
    <t>MKN-0458</t>
  </si>
  <si>
    <t>Taper mill for thru 7”</t>
  </si>
  <si>
    <t>MKN-0459</t>
  </si>
  <si>
    <t>Taper mill thru 9 5/8”</t>
  </si>
  <si>
    <t>MKN-0460</t>
  </si>
  <si>
    <t>Refill taper mill for all size</t>
  </si>
  <si>
    <t>Per job</t>
  </si>
  <si>
    <t>PERSONNEL – ENGINEERS</t>
  </si>
  <si>
    <t>MKN-0461</t>
  </si>
  <si>
    <t>Completion Engineer</t>
  </si>
  <si>
    <t>MKN-0462</t>
  </si>
  <si>
    <t>Drilling Engineer</t>
  </si>
  <si>
    <t>MKN-0463</t>
  </si>
  <si>
    <t>Work over Engineers</t>
  </si>
  <si>
    <t>MKN-0464</t>
  </si>
  <si>
    <t>ESP completion Engineers</t>
  </si>
  <si>
    <t>MKN-0465</t>
  </si>
  <si>
    <t>Well site Geologist</t>
  </si>
  <si>
    <t>MKN-0466</t>
  </si>
  <si>
    <t>Open hole &amp; cased hole DST Engineers</t>
  </si>
  <si>
    <t>MKN-0467</t>
  </si>
  <si>
    <t>Petroleum Engineers</t>
  </si>
  <si>
    <t>MKN-0468</t>
  </si>
  <si>
    <t>Reservoir Engineers</t>
  </si>
  <si>
    <t>MKN-0469</t>
  </si>
  <si>
    <t>Petro physicists</t>
  </si>
  <si>
    <t>MKN-0470</t>
  </si>
  <si>
    <t>Coring engineer</t>
  </si>
  <si>
    <t>MKN-0471</t>
  </si>
  <si>
    <t>Logging Engineers</t>
  </si>
  <si>
    <t>MKN-0472</t>
  </si>
  <si>
    <t>MWD Engineers</t>
  </si>
  <si>
    <t>MKN-0473</t>
  </si>
  <si>
    <t>Company Man</t>
  </si>
  <si>
    <t>SWAB CUPS</t>
  </si>
  <si>
    <t>MKN-0474</t>
  </si>
  <si>
    <t>Size 3 ½” Swab cup each</t>
  </si>
  <si>
    <t>Each</t>
  </si>
  <si>
    <t>MKN-0475</t>
  </si>
  <si>
    <t>Size 2 3/8” -2 7/8” swab cup each</t>
  </si>
  <si>
    <t>EACH</t>
  </si>
  <si>
    <t>MKN-0476</t>
  </si>
  <si>
    <t>Down hole redress charge for all size</t>
  </si>
  <si>
    <t>Per Hour</t>
  </si>
  <si>
    <t>MKN-0477</t>
  </si>
  <si>
    <t>Breakout Machine Rental</t>
  </si>
  <si>
    <t>Per Connection</t>
  </si>
  <si>
    <t>MKN-0478</t>
  </si>
  <si>
    <t>Grinding Machine</t>
  </si>
  <si>
    <t>MKN-0479</t>
  </si>
  <si>
    <t>Pipe dope CMPD</t>
  </si>
  <si>
    <t>Per Rail</t>
  </si>
  <si>
    <t>MKN-0480</t>
  </si>
  <si>
    <t>Welding Machine</t>
  </si>
  <si>
    <t>MKN-0481</t>
  </si>
  <si>
    <t>Hydraulic jar test all size</t>
  </si>
  <si>
    <t>Per Test</t>
  </si>
  <si>
    <t>DRILLING JAR</t>
  </si>
  <si>
    <t>Redress charge</t>
  </si>
  <si>
    <t>MKN-0482</t>
  </si>
  <si>
    <t>MKN-0483</t>
  </si>
  <si>
    <t>Thru 6 1/2" OD</t>
  </si>
  <si>
    <t>MKN-0484</t>
  </si>
  <si>
    <t>MKN-0485</t>
  </si>
  <si>
    <t>Thru 9 1/2" OD</t>
  </si>
  <si>
    <t>NON MAGNETIC DRILL COLLARS</t>
  </si>
  <si>
    <t>3 Day Min</t>
  </si>
  <si>
    <t>Each Additional Day</t>
  </si>
  <si>
    <t>MKN-0486</t>
  </si>
  <si>
    <t>MKN-0487</t>
  </si>
  <si>
    <t>MKN-0488</t>
  </si>
  <si>
    <t>HOLE OPENERS</t>
  </si>
  <si>
    <t>5 Day Min</t>
  </si>
  <si>
    <t>MKN-0489</t>
  </si>
  <si>
    <t>12 1/4" OD</t>
  </si>
  <si>
    <t>MKN-0490</t>
  </si>
  <si>
    <t>17 1/2" OD</t>
  </si>
  <si>
    <t>MKN-0491</t>
  </si>
  <si>
    <t>26" OD</t>
  </si>
  <si>
    <t>MKN-0492</t>
  </si>
  <si>
    <t>36" OD</t>
  </si>
  <si>
    <t>STABILIZERS (CONVENTIONAL)</t>
  </si>
  <si>
    <t>1st Day</t>
  </si>
  <si>
    <t>MKN-0493</t>
  </si>
  <si>
    <t>Through 6" OD</t>
  </si>
  <si>
    <t>MKN-0494</t>
  </si>
  <si>
    <t>Through 8 1/2" OD</t>
  </si>
  <si>
    <t>MKN-0495</t>
  </si>
  <si>
    <t>Through 12 1/4" OD</t>
  </si>
  <si>
    <t>MKN-0496</t>
  </si>
  <si>
    <t>Through 17 1/2" OD</t>
  </si>
  <si>
    <t>MKN-0497</t>
  </si>
  <si>
    <t>Through 26" OD</t>
  </si>
  <si>
    <t>MKN-0498</t>
  </si>
  <si>
    <t>For stabilizers redress charge, as per machine shop + 20%</t>
  </si>
  <si>
    <t>NON-MAGNETIC STABILIZERS</t>
  </si>
  <si>
    <t>MKN-0499</t>
  </si>
  <si>
    <t>Through 6” OD</t>
  </si>
  <si>
    <t>MKN-0500</t>
  </si>
  <si>
    <t>Through 8 1/2” OD</t>
  </si>
  <si>
    <t>MKN-0501</t>
  </si>
  <si>
    <t>Through 12 1/4” OD</t>
  </si>
  <si>
    <t>MKN-0502</t>
  </si>
  <si>
    <t>Through 17 1/2” OD</t>
  </si>
  <si>
    <t>MKN-0503</t>
  </si>
  <si>
    <t>SUBS-ROTARY (Substitutes)</t>
  </si>
  <si>
    <t>MKN-0504</t>
  </si>
  <si>
    <t>2 3/8" Connection</t>
  </si>
  <si>
    <t>MKN-0505</t>
  </si>
  <si>
    <t>2 7/8" Connection</t>
  </si>
  <si>
    <t>MKN-0506</t>
  </si>
  <si>
    <t>3 1/2" Connection</t>
  </si>
  <si>
    <t>MKN-0507</t>
  </si>
  <si>
    <t>4 1/2" Connection</t>
  </si>
  <si>
    <t>MKN-0508</t>
  </si>
  <si>
    <t>5 1/2" Connection</t>
  </si>
  <si>
    <t>MKN-0509</t>
  </si>
  <si>
    <t>6 5/8" Connection</t>
  </si>
  <si>
    <t>MKN-0510</t>
  </si>
  <si>
    <t>7 5/8" Connection</t>
  </si>
  <si>
    <t>MKN-0511</t>
  </si>
  <si>
    <t>8 5/8" Connection</t>
  </si>
  <si>
    <t>MKN-0512</t>
  </si>
  <si>
    <t>All Drain Subs (Ported Nipples)</t>
  </si>
  <si>
    <t>Add 25% to above prices</t>
  </si>
  <si>
    <t>Redress Charge</t>
  </si>
  <si>
    <t>MKN-0513</t>
  </si>
  <si>
    <t>4 3/4" OD</t>
  </si>
  <si>
    <t>MKN-0514</t>
  </si>
  <si>
    <t>6 1/2" OD</t>
  </si>
  <si>
    <t>MKN-0515</t>
  </si>
  <si>
    <t>8" OD</t>
  </si>
  <si>
    <t>MKN-0516</t>
  </si>
  <si>
    <t>9 1/2" OD</t>
  </si>
  <si>
    <t xml:space="preserve"> ENGINEER</t>
  </si>
  <si>
    <t>Item</t>
  </si>
  <si>
    <t>UNIT</t>
  </si>
  <si>
    <t>Charge per day (USD)</t>
  </si>
  <si>
    <t>MKN-0517</t>
  </si>
  <si>
    <t>Directional Driller</t>
  </si>
  <si>
    <t>PERFORMANCE MOTORS</t>
  </si>
  <si>
    <t>Daily Rental /day/Motor (USD)</t>
  </si>
  <si>
    <t>Operating per foot (USD)</t>
  </si>
  <si>
    <t>Daily Rental /day/Motor Sleeve (USD)</t>
  </si>
  <si>
    <t>Redress charge per used Motor (USD)</t>
  </si>
  <si>
    <t>MKN-0518</t>
  </si>
  <si>
    <t>4-3/4 inch</t>
  </si>
  <si>
    <t>MKN-0519</t>
  </si>
  <si>
    <t>6-3/4 inch</t>
  </si>
  <si>
    <t>MKN-0520</t>
  </si>
  <si>
    <t>thru 6 3/4" inch</t>
  </si>
  <si>
    <t>MKN-0521</t>
  </si>
  <si>
    <t>thru 9 5/8 inch</t>
  </si>
  <si>
    <t>MKN-0522</t>
  </si>
  <si>
    <t>thru 17-1/2 inch</t>
  </si>
  <si>
    <t>CROSS OVER SUBS</t>
  </si>
  <si>
    <t>Size connection</t>
  </si>
  <si>
    <t xml:space="preserve">Operating Price </t>
  </si>
  <si>
    <t xml:space="preserve">Rental Price </t>
  </si>
  <si>
    <t>MKN-0523</t>
  </si>
  <si>
    <t>Up to 2-3/8 inch</t>
  </si>
  <si>
    <t>MKN-0524</t>
  </si>
  <si>
    <t>Up to 2-7/8 inch</t>
  </si>
  <si>
    <t>MKN-0525</t>
  </si>
  <si>
    <t>Up to 3-1/2 inch</t>
  </si>
  <si>
    <t>MKN-0526</t>
  </si>
  <si>
    <t>Up to 4-1/2 inch</t>
  </si>
  <si>
    <t>MKN-0527</t>
  </si>
  <si>
    <t>Up to 5-1/2 inch</t>
  </si>
  <si>
    <t>MKN-0528</t>
  </si>
  <si>
    <t>Up to 6-5/8 inch</t>
  </si>
  <si>
    <t>MKN-0529</t>
  </si>
  <si>
    <t>Up to 7-5/8 inch</t>
  </si>
  <si>
    <t>MKN-0530</t>
  </si>
  <si>
    <t>Up to 8-5/8 inch</t>
  </si>
  <si>
    <t>INTEGRAL BLADE STABILIZERS.</t>
  </si>
  <si>
    <t>First day Price $</t>
  </si>
  <si>
    <t>Additional day Price $</t>
  </si>
  <si>
    <t>Rental Price $</t>
  </si>
  <si>
    <t>MKN-0531</t>
  </si>
  <si>
    <t>4-1/2 or 4-3/4 inch</t>
  </si>
  <si>
    <t>MKN-0532</t>
  </si>
  <si>
    <t>6-1/2 or 6-3/4 inch</t>
  </si>
  <si>
    <t>MKN-0533</t>
  </si>
  <si>
    <t>8-1/2 inch</t>
  </si>
  <si>
    <t>MKN-0534</t>
  </si>
  <si>
    <t>9-7/8 inch</t>
  </si>
  <si>
    <t>MKN-0535</t>
  </si>
  <si>
    <t>12-1/4 inch</t>
  </si>
  <si>
    <t>MKN-0536</t>
  </si>
  <si>
    <t>15 inch</t>
  </si>
  <si>
    <t>MKN-0537</t>
  </si>
  <si>
    <t>17-1/2 inch</t>
  </si>
  <si>
    <t>CONVENTIONAL CORING ASSEMBLE</t>
  </si>
  <si>
    <t>DESCRIPTION</t>
  </si>
  <si>
    <t xml:space="preserve">PRICE </t>
  </si>
  <si>
    <t>MKN-0538</t>
  </si>
  <si>
    <t>8" 30ft Core Barrel (with handling tools &amp; Stab) rental charge</t>
  </si>
  <si>
    <t>section/day</t>
  </si>
  <si>
    <t>MKN-0539</t>
  </si>
  <si>
    <t>6 3/4" 30ft Core Barrel (with handling tools &amp; Stab) rental charge</t>
  </si>
  <si>
    <t>MKN-0540</t>
  </si>
  <si>
    <t>4 3/4" 30ft Core Barrel (with handling tools &amp; Stab) rental charge</t>
  </si>
  <si>
    <t>MKN-0541</t>
  </si>
  <si>
    <t>Restocking charge (apply if tool return unused)</t>
  </si>
  <si>
    <t>section</t>
  </si>
  <si>
    <t>MKN-0542</t>
  </si>
  <si>
    <t>Coring charge for 12 1/4" hole</t>
  </si>
  <si>
    <t>MKN-0543</t>
  </si>
  <si>
    <t>Coring charge for 8 1/2" or 8 3/8" hole</t>
  </si>
  <si>
    <t>MKN-0544</t>
  </si>
  <si>
    <t>Coring charge for 5 7/8"; 6" or 6 1/8" hole</t>
  </si>
  <si>
    <t>MKN-0545</t>
  </si>
  <si>
    <t>Conventional Coring Mobilization Charge</t>
  </si>
  <si>
    <t>each</t>
  </si>
  <si>
    <t>MKN-0546</t>
  </si>
  <si>
    <t>Job Cancellation Charges</t>
  </si>
  <si>
    <t>INNER TUBE</t>
  </si>
  <si>
    <t>MKN-0547</t>
  </si>
  <si>
    <t>Fiber Glass Inner Tube (30ft x 5 1/4")</t>
  </si>
  <si>
    <t>MKN-0548</t>
  </si>
  <si>
    <t>Fiber Glass Inner Tube (30ft x 4")</t>
  </si>
  <si>
    <t>MKN-0549</t>
  </si>
  <si>
    <t>Fiber Glass Inner Tube (30ft x 2 5/8")</t>
  </si>
  <si>
    <t>MKN-0550</t>
  </si>
  <si>
    <t>Aluminum Inner Tube (30ft x 5 1/4")</t>
  </si>
  <si>
    <t>MKN-0551</t>
  </si>
  <si>
    <t>Aluminum Inner Tube (30ft x 4")</t>
  </si>
  <si>
    <t>MKN-0552</t>
  </si>
  <si>
    <t>Aluminum Inner Tube (30ft x 2 5/8")</t>
  </si>
  <si>
    <t>MKN-0553</t>
  </si>
  <si>
    <t>Pressure Relief Valve for inner tube</t>
  </si>
  <si>
    <t>tube</t>
  </si>
  <si>
    <t>MKN-0554</t>
  </si>
  <si>
    <t>Aluminum Fluted Inner Tube (30ft x 5 1/4")</t>
  </si>
  <si>
    <t>MKN-0555</t>
  </si>
  <si>
    <t>Aluminum Fluted Inner Tube (30ft x 4")</t>
  </si>
  <si>
    <t>MKN-0556</t>
  </si>
  <si>
    <t>Aluminum Fluted Inner Tube (30ft x 2 5/8")</t>
  </si>
  <si>
    <t>CONVENTIONAL CORING PROCESS</t>
  </si>
  <si>
    <t>MKN-0557</t>
  </si>
  <si>
    <t>Core Lay Down Cradle</t>
  </si>
  <si>
    <t>day</t>
  </si>
  <si>
    <t>MKN-0558</t>
  </si>
  <si>
    <t>Coring Cutting Machine</t>
  </si>
  <si>
    <t>MKN-0559</t>
  </si>
  <si>
    <t>Wooden core box with sponge liner (1m or 3ft)</t>
  </si>
  <si>
    <t>MKN-0560</t>
  </si>
  <si>
    <t>Core Transportation</t>
  </si>
  <si>
    <t>PERSONNEL</t>
  </si>
  <si>
    <t>MKN-0561</t>
  </si>
  <si>
    <t>Coring Engineer (rig site)</t>
  </si>
  <si>
    <t>MKN-0562</t>
  </si>
  <si>
    <t>CGL Engineer (rig site)</t>
  </si>
  <si>
    <t>MKN-0563</t>
  </si>
  <si>
    <t>Preservation Engineer (rig site)</t>
  </si>
  <si>
    <t>MKN-0564</t>
  </si>
  <si>
    <t>Coring Technician (rig site)</t>
  </si>
  <si>
    <t>MKN-0565</t>
  </si>
  <si>
    <t>Special Services Coring Engineer (rig site)</t>
  </si>
  <si>
    <t>MKN-0566</t>
  </si>
  <si>
    <t>Coring Engineer (Stand by in town)</t>
  </si>
  <si>
    <t>MKN-0567</t>
  </si>
  <si>
    <t>CGL Engineer (Stand by in town)</t>
  </si>
  <si>
    <t>MKN-0568</t>
  </si>
  <si>
    <t>Preservation Engineer (Stand by in town)</t>
  </si>
  <si>
    <t>MKN-0569</t>
  </si>
  <si>
    <t>Coring Technician (Stand by in town)</t>
  </si>
  <si>
    <t>MKN-0570</t>
  </si>
  <si>
    <t>Special Services Coring Engineer (Stand by in town)</t>
  </si>
  <si>
    <t>MKN-0571</t>
  </si>
  <si>
    <t>Mobilization / Demobilization Charge for Personnel</t>
  </si>
  <si>
    <t>person</t>
  </si>
  <si>
    <t>MKN-0572</t>
  </si>
  <si>
    <t>Special Services Coring Engineer</t>
  </si>
  <si>
    <t>Note: (core head charge not included in the above prices)</t>
  </si>
  <si>
    <t>LOST IN HOLE PRICE LIST (CONVENTIONAL CORING)</t>
  </si>
  <si>
    <t>CORE BARREL SIZE</t>
  </si>
  <si>
    <t>8"</t>
  </si>
  <si>
    <t>6 3/4"</t>
  </si>
  <si>
    <t>4 3/4"</t>
  </si>
  <si>
    <t>MKN-0573</t>
  </si>
  <si>
    <t>Safety Joint Assembly</t>
  </si>
  <si>
    <t>MKN-0574</t>
  </si>
  <si>
    <t>Stabilizer</t>
  </si>
  <si>
    <t>MKN-0575</t>
  </si>
  <si>
    <t>Outer Tube</t>
  </si>
  <si>
    <t>MKN-0576</t>
  </si>
  <si>
    <t>Swivel Assembly</t>
  </si>
  <si>
    <t>MKN-0577</t>
  </si>
  <si>
    <t>Upper Half Shoe</t>
  </si>
  <si>
    <t>MKN-0578</t>
  </si>
  <si>
    <t>Lower Half Shoe</t>
  </si>
  <si>
    <t>MKN-0579</t>
  </si>
  <si>
    <t>Standard Core Catcher</t>
  </si>
  <si>
    <t>MKN-0580</t>
  </si>
  <si>
    <t>Heavy Duty Core Catcher</t>
  </si>
  <si>
    <t>CORE HEAD PRICE LIST</t>
  </si>
  <si>
    <t>CORE HEAD SIZE</t>
  </si>
  <si>
    <t>CORE HEAD TYPE</t>
  </si>
  <si>
    <t>12 1/4" x 5 1/4"</t>
  </si>
  <si>
    <t>8 1/2" &amp; 8 3/8" x 4"</t>
  </si>
  <si>
    <t>5 7/8"; 6" &amp; 6 1/8" x 2 5/8"</t>
  </si>
  <si>
    <t>MKN-0581</t>
  </si>
  <si>
    <t>Impregnated Core Heads</t>
  </si>
  <si>
    <t>MKN-0582</t>
  </si>
  <si>
    <t>Thermo Stable Diamond Core (TSP)</t>
  </si>
  <si>
    <t>MKN-0583</t>
  </si>
  <si>
    <t>PDC Core Heads</t>
  </si>
  <si>
    <t>MKN-0584</t>
  </si>
  <si>
    <t>Natural Diamond Core Heads</t>
  </si>
  <si>
    <t>Note:</t>
  </si>
  <si>
    <t>More Core Head design are available upon request.</t>
  </si>
  <si>
    <t>Damaged Core Head would be charge as per price list. Core head should core minimum of 90 ft or will be charge as per price list.</t>
  </si>
  <si>
    <t>Clarifications:-</t>
  </si>
  <si>
    <t>1. Impregnated Core Heads for :- Very Hard to extremely Hard Quartzitic Sandstone, Volcanic Rock, Schist with occasional stringers of hard dense shales, Siltsone</t>
  </si>
  <si>
    <t>2. Thermo Stable Diamond Core Heads (TSP) for :- Medium Hard to Hard Dense Siltstone, Shale, Dolomite</t>
  </si>
  <si>
    <t>3. PDC Core Heads for:- Soft to Medium Hard Formation, such as Sand, Clay, Salt, Anhydrite, Limestone, medium hard Limestone, Dolomite and Shale.</t>
  </si>
  <si>
    <t>4. Natural Diamond Core Heads for : Hard to very hard abrasive quartzitic Sandstone, Intercalated Hard Shale / Claystone / Siltstone, Schist, Volcanic Rocks</t>
  </si>
  <si>
    <t>CORE PROCESSING PRICE LIST</t>
  </si>
  <si>
    <t>GYPSUM STABILIZATION</t>
  </si>
  <si>
    <t>MKN-0585</t>
  </si>
  <si>
    <t>Gypsum Stabilization (rental)</t>
  </si>
  <si>
    <t>MKN-0586</t>
  </si>
  <si>
    <t>Gypsum Stabilization</t>
  </si>
  <si>
    <t>MKN-0587</t>
  </si>
  <si>
    <t>Resin Stabilization (rental)</t>
  </si>
  <si>
    <t>MKN-0588</t>
  </si>
  <si>
    <t>Resin Stabilization</t>
  </si>
  <si>
    <t>MKN-0589</t>
  </si>
  <si>
    <t>Foam Stabilization (rental)</t>
  </si>
  <si>
    <t>MKN-0590</t>
  </si>
  <si>
    <t>Foam Stabilization</t>
  </si>
  <si>
    <t>CORE GAMMA LOGGER</t>
  </si>
  <si>
    <t>MKN-0591</t>
  </si>
  <si>
    <t>Gamma Logger (rental) - 7 days minimum</t>
  </si>
  <si>
    <t>MKN-0592</t>
  </si>
  <si>
    <t>Gamma Ray Logging</t>
  </si>
  <si>
    <t>MKN-0593</t>
  </si>
  <si>
    <t>Core Gamma Logger (damage Beyond repair charge)</t>
  </si>
  <si>
    <t>PLUGGING AND PRESERVATION</t>
  </si>
  <si>
    <t>MKN-0594</t>
  </si>
  <si>
    <t>On site Core Sampling and Evaluation Module (rental)</t>
  </si>
  <si>
    <t>MKN-0595</t>
  </si>
  <si>
    <t>Wax Bath (rental)</t>
  </si>
  <si>
    <t>MKN-0596</t>
  </si>
  <si>
    <t>Wax Preserved Sample (30cm or 1ft)</t>
  </si>
  <si>
    <t>MKN-0597</t>
  </si>
  <si>
    <t>Plug Taker &amp; Trimmer (rental)</t>
  </si>
  <si>
    <t>MKN-0598</t>
  </si>
  <si>
    <t>Plugging (1" or 1 1/2" Diameter)</t>
  </si>
  <si>
    <t>per/sample</t>
  </si>
  <si>
    <t>MKN-0599</t>
  </si>
  <si>
    <t>Plug Taker Core Head</t>
  </si>
  <si>
    <t>MKN-0600</t>
  </si>
  <si>
    <t>Nitrogen Cooling system</t>
  </si>
  <si>
    <t>MKN-0601</t>
  </si>
  <si>
    <t>Non damaging oil for plug taker cooling</t>
  </si>
  <si>
    <t>liter</t>
  </si>
  <si>
    <t>MKN-0602</t>
  </si>
  <si>
    <t>Air tight Seal Rubber End caps &amp; clips</t>
  </si>
  <si>
    <t>set</t>
  </si>
  <si>
    <t>Unconsolidated Core Plugging Sampling</t>
  </si>
  <si>
    <t>MKN-0603</t>
  </si>
  <si>
    <t>Unconsolidated core plugging (rental charge)</t>
  </si>
  <si>
    <t>MKN-0604</t>
  </si>
  <si>
    <t>Unconsolidated Plugging (1" or 1 1/2" Diameter)</t>
  </si>
  <si>
    <t>sample</t>
  </si>
  <si>
    <t>MKN-0605</t>
  </si>
  <si>
    <t>Unconsolidated Plug Taker Core Head</t>
  </si>
  <si>
    <t>MKN-0606</t>
  </si>
  <si>
    <t>Heat Shrinkable tube (Viton)</t>
  </si>
  <si>
    <t>CORE FREEZING</t>
  </si>
  <si>
    <t>MKN-0607</t>
  </si>
  <si>
    <t>Dry Ice</t>
  </si>
  <si>
    <t>Kg</t>
  </si>
  <si>
    <t>MKN-0608</t>
  </si>
  <si>
    <t>Liquid Nitrogen</t>
  </si>
  <si>
    <t>Gal</t>
  </si>
  <si>
    <t>MKN-0609</t>
  </si>
  <si>
    <t>LN2 Tanker</t>
  </si>
  <si>
    <t>MKN-0610</t>
  </si>
  <si>
    <t>Core Freezing</t>
  </si>
  <si>
    <t>meter</t>
  </si>
  <si>
    <t>MKN-0611</t>
  </si>
  <si>
    <t>Onsite Chiller Truck</t>
  </si>
  <si>
    <t>MKN-0612</t>
  </si>
  <si>
    <t>Insulated Box</t>
  </si>
  <si>
    <t>MKN-0613</t>
  </si>
  <si>
    <t>Transportation</t>
  </si>
  <si>
    <t>REPORT &amp; ANALYSIS</t>
  </si>
  <si>
    <t>MKN-0614</t>
  </si>
  <si>
    <t>Tracer Invasion Analysis</t>
  </si>
  <si>
    <t>MKN-0615</t>
  </si>
  <si>
    <t>BHA Analysis</t>
  </si>
  <si>
    <t>report</t>
  </si>
  <si>
    <t>Footage rates apply for footage of core cut.</t>
  </si>
  <si>
    <t>Daily rates apply from the day equipment or personnel leaves MAKAMAN LIBYA COMPANY base to the date equipment or personnel return to MAKAMAN LIBYA COMPANY base.</t>
  </si>
  <si>
    <t>Tools which are damaged beyond repair are priced as lost in hole value. Standard MAKAMAN LIBYA COMPANY terms and conditions for products and services are applicable.</t>
  </si>
  <si>
    <t>CEMENTING &amp; STIMULATION ADDITIVES</t>
  </si>
  <si>
    <t>CEMENT PRODUCTS</t>
  </si>
  <si>
    <t>CLASS "G" CEMENT (94 LBS / CUFT)</t>
  </si>
  <si>
    <t>Item no</t>
  </si>
  <si>
    <t>MKN-0616</t>
  </si>
  <si>
    <t>103A, Gialo, Nafoora, Amal</t>
  </si>
  <si>
    <t>per cubic foot</t>
  </si>
  <si>
    <t>MKN-0617</t>
  </si>
  <si>
    <t>Waha, Samah, Sarir, Zelten, Tibesti,beda</t>
  </si>
  <si>
    <t>MKN-0618</t>
  </si>
  <si>
    <t>Zella</t>
  </si>
  <si>
    <t>MKN-0619</t>
  </si>
  <si>
    <t>Dahra</t>
  </si>
  <si>
    <t>MKN-0620</t>
  </si>
  <si>
    <t>Hamada</t>
  </si>
  <si>
    <t>ADDITIONAL CEMENT TYPES</t>
  </si>
  <si>
    <t>LiteWate Blend (100 LBS/SK) - (1 Sack = 1.87 CUFT)</t>
  </si>
  <si>
    <t>MKN-0621</t>
  </si>
  <si>
    <t>LightWight high CS Cement 10 - 12.5 ppg</t>
  </si>
  <si>
    <t>MKN-0622</t>
  </si>
  <si>
    <t>Heavyweight high CS Cement 17 - 22 ppg</t>
  </si>
  <si>
    <t>MKN-0623</t>
  </si>
  <si>
    <t>Microfine Cement - Squeeze Cement</t>
  </si>
  <si>
    <t>CEMENT ADDITIVES</t>
  </si>
  <si>
    <t>ACCELERATOR</t>
  </si>
  <si>
    <t>MKN-0624</t>
  </si>
  <si>
    <t>Powder Accelerator</t>
  </si>
  <si>
    <t>LBS</t>
  </si>
  <si>
    <t>MKN-0625</t>
  </si>
  <si>
    <t>Liquid Accelerator</t>
  </si>
  <si>
    <t>FLUID LOSS</t>
  </si>
  <si>
    <t>MKN-0626</t>
  </si>
  <si>
    <t>LOW TEMPERATURE FLUID LOSS - POWDER</t>
  </si>
  <si>
    <t>MKN-0627</t>
  </si>
  <si>
    <t>LOW TEMPERATURE FLUID LOSS - LIQUID</t>
  </si>
  <si>
    <t>MKN-0628</t>
  </si>
  <si>
    <t>WIDE RANGE FLUID LOSS - POWDER</t>
  </si>
  <si>
    <t>MKN-0629</t>
  </si>
  <si>
    <t>WIDE RANGE FLUID LOSS - LIQUID</t>
  </si>
  <si>
    <t>DISPERSANT</t>
  </si>
  <si>
    <t>MKN-0630</t>
  </si>
  <si>
    <t>DISPERSANT - POWDER</t>
  </si>
  <si>
    <t>MKN-0631</t>
  </si>
  <si>
    <t>DISPERSANT - LIQUID</t>
  </si>
  <si>
    <t>ADDITIVES PRICE LIST</t>
  </si>
  <si>
    <t>RETARDERS</t>
  </si>
  <si>
    <t>MKN-0632</t>
  </si>
  <si>
    <t>LOW TEMP RETARDER - POWDER</t>
  </si>
  <si>
    <t>MKN-0633</t>
  </si>
  <si>
    <t>LOW TEMP RETARDER - LIQUID</t>
  </si>
  <si>
    <t>MKN-0634</t>
  </si>
  <si>
    <t>MODERATE TEMP RETARDER - POWDER</t>
  </si>
  <si>
    <t>MKN-0635</t>
  </si>
  <si>
    <t>MODERATE TEMP RETARDER - LIQUID</t>
  </si>
  <si>
    <t>MKN-0636</t>
  </si>
  <si>
    <t>HIGH TEMP RETARDER - POWDER</t>
  </si>
  <si>
    <t>MKN-0637</t>
  </si>
  <si>
    <t>HIGH TEMP RETARDER - LIQUID</t>
  </si>
  <si>
    <t>ANTIFOAM</t>
  </si>
  <si>
    <t>MKN-0638</t>
  </si>
  <si>
    <t>ANTIFOAM - LIQUID</t>
  </si>
  <si>
    <t>MKN-0639</t>
  </si>
  <si>
    <t>DEFOAMER - LIQUID</t>
  </si>
  <si>
    <t>MKN-0640</t>
  </si>
  <si>
    <t>DEFOAMER - POWDER</t>
  </si>
  <si>
    <t>MKN-0641</t>
  </si>
  <si>
    <t>ANTIFOAM - POWDER</t>
  </si>
  <si>
    <t>SPECIAL ADDITIVES</t>
  </si>
  <si>
    <t>MKN-0642</t>
  </si>
  <si>
    <t>THIXOTROPIC AID - LIQUID</t>
  </si>
  <si>
    <t>MKN-0643</t>
  </si>
  <si>
    <t>THIXOTROPIC - LIQUID</t>
  </si>
  <si>
    <t>MKN-0644</t>
  </si>
  <si>
    <t>GAS BLOCK ADDITIVES</t>
  </si>
  <si>
    <t>MKN-0645</t>
  </si>
  <si>
    <t>HIGH TEMP GAS BLOCK ADDITIVES</t>
  </si>
  <si>
    <t>MKN-0646</t>
  </si>
  <si>
    <t>SLURRY BOND ADDITIVES</t>
  </si>
  <si>
    <t>OTHER MATERIALS</t>
  </si>
  <si>
    <t>MKN-0647</t>
  </si>
  <si>
    <t>FIBER - CEMENT</t>
  </si>
  <si>
    <t>MKN-0648</t>
  </si>
  <si>
    <t>SPACER - POWDER</t>
  </si>
  <si>
    <t>MKN-0649</t>
  </si>
  <si>
    <t>SPACER CONCENTRATE - LIQUID</t>
  </si>
  <si>
    <t>MKN-0650</t>
  </si>
  <si>
    <t>SILICA FLOUR</t>
  </si>
  <si>
    <t>MKN-0651</t>
  </si>
  <si>
    <t>CHEMICAL WASH CONCENTRATE - LIQUID</t>
  </si>
  <si>
    <t>MKN-0652</t>
  </si>
  <si>
    <t>WEIGHTING AGENT</t>
  </si>
  <si>
    <t>MKN-0653</t>
  </si>
  <si>
    <t>HEMATITE WEIGHTING AGENT</t>
  </si>
  <si>
    <t>MKN-0654</t>
  </si>
  <si>
    <t>SODIUM CHLORIDE</t>
  </si>
  <si>
    <t>HYDROCHLORIC ACID</t>
  </si>
  <si>
    <t>MKN-0655</t>
  </si>
  <si>
    <t>28% HCL</t>
  </si>
  <si>
    <t>USG</t>
  </si>
  <si>
    <t>MKN-0656</t>
  </si>
  <si>
    <t>15% HCL</t>
  </si>
  <si>
    <t>MKN-0657</t>
  </si>
  <si>
    <t>10% HCL</t>
  </si>
  <si>
    <t>MKN-0658</t>
  </si>
  <si>
    <t>7.5% HCL</t>
  </si>
  <si>
    <t>MKN-0659</t>
  </si>
  <si>
    <t>5% HCL</t>
  </si>
  <si>
    <t>MUD ACID</t>
  </si>
  <si>
    <t>MKN-0660</t>
  </si>
  <si>
    <t>12-3 MUD ACID</t>
  </si>
  <si>
    <t>MKN-0661</t>
  </si>
  <si>
    <t>6-15 MUD ACID</t>
  </si>
  <si>
    <t>MKN-0662</t>
  </si>
  <si>
    <t>12-6 MUD ACID</t>
  </si>
  <si>
    <t>SPECIAL ACID</t>
  </si>
  <si>
    <t>MKN-0663</t>
  </si>
  <si>
    <t>ACETIC ACID</t>
  </si>
  <si>
    <t>MKN-0664</t>
  </si>
  <si>
    <t>FORMIC ACID</t>
  </si>
  <si>
    <t>MKN-0665</t>
  </si>
  <si>
    <t>ALCOHOLIC ACID</t>
  </si>
  <si>
    <t>MKN-0666</t>
  </si>
  <si>
    <t>OIL MISCIBLE ACID</t>
  </si>
  <si>
    <t>GELLANT BREAKERS</t>
  </si>
  <si>
    <t>MKN-0667</t>
  </si>
  <si>
    <t>OXIDIZING BREAKER</t>
  </si>
  <si>
    <t>MKN-0668</t>
  </si>
  <si>
    <t>ENZYME BREAKER</t>
  </si>
  <si>
    <t>MKN-0669</t>
  </si>
  <si>
    <t>ANME BREAKER CATYLIST</t>
  </si>
  <si>
    <t>MKN-0670</t>
  </si>
  <si>
    <t>GEL BREAKING</t>
  </si>
  <si>
    <t>BRIDGING AGENTS</t>
  </si>
  <si>
    <t>MKN-0671</t>
  </si>
  <si>
    <t>LOW TEMPERATURE PLUG</t>
  </si>
  <si>
    <t>PROPRIETORY CHEMICALS</t>
  </si>
  <si>
    <t>MKN-0672</t>
  </si>
  <si>
    <t>AMMONIUM CHLORIDE</t>
  </si>
  <si>
    <t>MKN-0673</t>
  </si>
  <si>
    <t>POTASSIUM CHLORIDE</t>
  </si>
  <si>
    <t>MKN-0674</t>
  </si>
  <si>
    <t>MKN-0675</t>
  </si>
  <si>
    <t>AMMONIUM BIFLUORIDE</t>
  </si>
  <si>
    <t>MKN-0676</t>
  </si>
  <si>
    <t>CALCIUM CHLORIDE</t>
  </si>
  <si>
    <t>MKN-0677</t>
  </si>
  <si>
    <t>AMMONIUM PROSULPHATE</t>
  </si>
  <si>
    <t>MKN-0678</t>
  </si>
  <si>
    <t>SODA ASH</t>
  </si>
  <si>
    <t>MKN-0679</t>
  </si>
  <si>
    <t>CAUSTIC SODA</t>
  </si>
  <si>
    <t>FOAMING AGENTS AND STABILIZERS</t>
  </si>
  <si>
    <t>MKN-0680</t>
  </si>
  <si>
    <t>FOAMING AGENT</t>
  </si>
  <si>
    <t>MKN-0681</t>
  </si>
  <si>
    <t>FOAMER</t>
  </si>
  <si>
    <t>MUTUAL SOLVENT</t>
  </si>
  <si>
    <t>MKN-0682</t>
  </si>
  <si>
    <t>EGMBE MUTUAL SOLVENT</t>
  </si>
  <si>
    <t>MKN-0683</t>
  </si>
  <si>
    <t>ISOPROPYL ALCOHOL SOLVENT</t>
  </si>
  <si>
    <t>IRON SEQUESTERING AGENT</t>
  </si>
  <si>
    <t>MKN-0684</t>
  </si>
  <si>
    <t>CITRIC ACID</t>
  </si>
  <si>
    <t>MKN-0685</t>
  </si>
  <si>
    <t>ACID MIXTURE</t>
  </si>
  <si>
    <t>MKN-0686</t>
  </si>
  <si>
    <t>IRON REDUCING AGENT</t>
  </si>
  <si>
    <t>MKN-0687</t>
  </si>
  <si>
    <t>GELLING AGENTS</t>
  </si>
  <si>
    <t>MKN-0688</t>
  </si>
  <si>
    <t>HYDROXYPROPYL GUAR</t>
  </si>
  <si>
    <t>MKN-0689</t>
  </si>
  <si>
    <t>HYDROXYCELLOUSE</t>
  </si>
  <si>
    <t>MKN-0690</t>
  </si>
  <si>
    <t>XANTHIN GEL SALVESTO</t>
  </si>
  <si>
    <t>MKN-0691</t>
  </si>
  <si>
    <t>HYDROXYPROPYL GUAR WITH BUFFERS</t>
  </si>
  <si>
    <t>MKN-0692</t>
  </si>
  <si>
    <t>POLYCRYALMIDE GELLING AGENT</t>
  </si>
  <si>
    <t>MKN-0693</t>
  </si>
  <si>
    <t>CROSS-LINKER FOR OIL GELLANT</t>
  </si>
  <si>
    <t>MKN-0694</t>
  </si>
  <si>
    <t>PHOSPHATE ESTER GELLING AGENT</t>
  </si>
  <si>
    <t>INHIBITORS</t>
  </si>
  <si>
    <t>MKN-0695</t>
  </si>
  <si>
    <t>CORROSION INHIBITOR MT</t>
  </si>
  <si>
    <t>MKN-0696</t>
  </si>
  <si>
    <t>CORROSION INHIBITOR HT</t>
  </si>
  <si>
    <t>INHIBITOR INTENSIFIER</t>
  </si>
  <si>
    <t>MKN-0697</t>
  </si>
  <si>
    <t>MKN-0698</t>
  </si>
  <si>
    <t>SURFACTANT</t>
  </si>
  <si>
    <t>MKN-0699</t>
  </si>
  <si>
    <t>FLUID LOSS ADDITIVES</t>
  </si>
  <si>
    <t>MKN-0700</t>
  </si>
  <si>
    <t>OIL SOLUBLE RESIN LIQUID</t>
  </si>
  <si>
    <t>MKN-0701</t>
  </si>
  <si>
    <t>OIL SOLUBLE RESIN/NATURAL GUM MIXTURE</t>
  </si>
  <si>
    <t>MKN-0702</t>
  </si>
  <si>
    <t>PARTICULATE FLUID LOSS</t>
  </si>
  <si>
    <t>FRICTION REDUCERS</t>
  </si>
  <si>
    <t>MKN-0703</t>
  </si>
  <si>
    <t>FRICTION REDUCER</t>
  </si>
  <si>
    <t>MKN-0704</t>
  </si>
  <si>
    <t>POLYCRYAMIDE COPOLYMER</t>
  </si>
  <si>
    <t>MKN-0705</t>
  </si>
  <si>
    <t>POLYCRYAMIDE FRICTION REDUCER FOR ACID</t>
  </si>
  <si>
    <t>DIVERTING AGENTS</t>
  </si>
  <si>
    <t>MKN-0706</t>
  </si>
  <si>
    <t>POWDER DIVERTING AGENT</t>
  </si>
  <si>
    <t>MKN-0707</t>
  </si>
  <si>
    <t>LIQUID DIVERTING AGENT</t>
  </si>
  <si>
    <t>CLAY STABILIZING AGENT</t>
  </si>
  <si>
    <t>MKN-0708</t>
  </si>
  <si>
    <t>CLAY STABILIZER</t>
  </si>
  <si>
    <t>MKN-0709</t>
  </si>
  <si>
    <t>POLYMRT CLAY CONTROL</t>
  </si>
  <si>
    <t>MKN-0710</t>
  </si>
  <si>
    <t>SOLVENTS</t>
  </si>
  <si>
    <t>MKN-0711</t>
  </si>
  <si>
    <t>PARAFFIN SOLVENT PS1</t>
  </si>
  <si>
    <t>MKN-0712</t>
  </si>
  <si>
    <t>ASPHALTENE SOLVENT</t>
  </si>
  <si>
    <t>DEMULSFIER</t>
  </si>
  <si>
    <t>MKN-0713</t>
  </si>
  <si>
    <t>NON EMULSIFIER</t>
  </si>
  <si>
    <t>MKN-0714</t>
  </si>
  <si>
    <t>ANTI SLUDGE</t>
  </si>
  <si>
    <t>POWER TONG SERVICES</t>
  </si>
  <si>
    <t>EQUIPMENT RENTAL (TONGS &amp; POWER UNIT)</t>
  </si>
  <si>
    <t>MKN-0715</t>
  </si>
  <si>
    <t>Tubing (2-3/8" to 4-1/2") W/TRI/GRIP Backup</t>
  </si>
  <si>
    <t>MKN-0716</t>
  </si>
  <si>
    <t>Casing (5" to 13-3/8")</t>
  </si>
  <si>
    <t>MKN-0717</t>
  </si>
  <si>
    <t>Casing (16" to 20")</t>
  </si>
  <si>
    <t>MKN-0718</t>
  </si>
  <si>
    <t>Toque Control Computer &amp; Analyzer</t>
  </si>
  <si>
    <t>MKN-0719</t>
  </si>
  <si>
    <t>Pickup / Lay Down Machine</t>
  </si>
  <si>
    <t>MKN-0720</t>
  </si>
  <si>
    <t>Stabbing Guides (2-3/8" to 13-3/8")</t>
  </si>
  <si>
    <t>MKN-0721</t>
  </si>
  <si>
    <t>Hand Slips (2-3/8" to 13-3/8")</t>
  </si>
  <si>
    <t>MKN-0722</t>
  </si>
  <si>
    <t>Inflatable Thread Protectors (7" to 13-3/8")</t>
  </si>
  <si>
    <t>MKN-0723</t>
  </si>
  <si>
    <t>API Thread Compound 5 GL</t>
  </si>
  <si>
    <t>*</t>
  </si>
  <si>
    <t>FOOTAGE CHARGES</t>
  </si>
  <si>
    <t>MKN-0724</t>
  </si>
  <si>
    <t>Tubing / Singles (2-3/8" to 4-1/2")</t>
  </si>
  <si>
    <t>MKN-0725</t>
  </si>
  <si>
    <t>Tubing / Triples</t>
  </si>
  <si>
    <t>MKN-0726</t>
  </si>
  <si>
    <t>MKN-0727</t>
  </si>
  <si>
    <t>PERSONNEL CHARGES</t>
  </si>
  <si>
    <t>MKN-0728</t>
  </si>
  <si>
    <t>Computer Operator</t>
  </si>
  <si>
    <t>MKN-0729</t>
  </si>
  <si>
    <t>Tong Operator</t>
  </si>
  <si>
    <t>MKN-0730</t>
  </si>
  <si>
    <t>Tong Operator Assistance</t>
  </si>
  <si>
    <t>MKN-0731</t>
  </si>
  <si>
    <t>Stabber</t>
  </si>
  <si>
    <t>STAND-BY CHARGES</t>
  </si>
  <si>
    <t>MKN-0732</t>
  </si>
  <si>
    <t>Equipment</t>
  </si>
  <si>
    <t>MKN-0733</t>
  </si>
  <si>
    <t>Personnel</t>
  </si>
  <si>
    <t>OTHER CHARGES</t>
  </si>
  <si>
    <t>MKN-0734</t>
  </si>
  <si>
    <t>Inflatable thread protectors damaged beyond repair</t>
  </si>
  <si>
    <t>MKN-0735</t>
  </si>
  <si>
    <t>When called to location &amp; no job is run for circumstances beyond Makaman Libya Company's control. Minimum charge plus transportation</t>
  </si>
  <si>
    <t>REDRESS KITS</t>
  </si>
  <si>
    <t>Unit Measure / PRICE</t>
  </si>
  <si>
    <t>5 1/2"</t>
  </si>
  <si>
    <t>MKN-0736</t>
  </si>
  <si>
    <t>Redress Kit for Mechanical Packer</t>
  </si>
  <si>
    <t>MKN-0737</t>
  </si>
  <si>
    <t>Redress Kit for Hydraulic Packer</t>
  </si>
  <si>
    <t>DOWNHOLE CASING EQUIPMENT &amp; ACCESSORIES</t>
  </si>
  <si>
    <t>GUIDE SHOE</t>
  </si>
  <si>
    <t>MKN-0738</t>
  </si>
  <si>
    <t>7", 8-rd</t>
  </si>
  <si>
    <t>MKN-0739</t>
  </si>
  <si>
    <t>7", BTC</t>
  </si>
  <si>
    <t>MKN-0740</t>
  </si>
  <si>
    <t>9 5/8", 8-rd</t>
  </si>
  <si>
    <t>MKN-0741</t>
  </si>
  <si>
    <t>13 3/8", 8-rd</t>
  </si>
  <si>
    <t>MKN-0742</t>
  </si>
  <si>
    <t>13 3/8", Buttress K-55 63-73 PPF</t>
  </si>
  <si>
    <t>MKN-0743</t>
  </si>
  <si>
    <t>18 5/8" Buttress K-55 87-90 PPF</t>
  </si>
  <si>
    <t>MKN-0744</t>
  </si>
  <si>
    <t>20", 8-rd</t>
  </si>
  <si>
    <t>MKN-0745</t>
  </si>
  <si>
    <t>20", Buttress K-55 90-106 PPF</t>
  </si>
  <si>
    <t>FLOAT SHOE</t>
  </si>
  <si>
    <t>MKN-0746</t>
  </si>
  <si>
    <t>5", N80</t>
  </si>
  <si>
    <t>MKN-0747</t>
  </si>
  <si>
    <t>7", 8-rd LTC N-80 20-35 PPF</t>
  </si>
  <si>
    <t>MKN-0748</t>
  </si>
  <si>
    <t>7", BTC L-80 20-32 PPF</t>
  </si>
  <si>
    <t>MKN-0749</t>
  </si>
  <si>
    <t>9 5/8", 8-rd LTC N-80 32.5-53.5 PPF</t>
  </si>
  <si>
    <t>MKN-0750</t>
  </si>
  <si>
    <t>9 5/8", BTC L-80 32.5-53.5 PPF</t>
  </si>
  <si>
    <t>MKN-0751</t>
  </si>
  <si>
    <t>13 3/8", 8-rd STC K-55 48-72 PPF</t>
  </si>
  <si>
    <t>MKN-0752</t>
  </si>
  <si>
    <t>13 3/8", BTC K-55 48-72 PPF</t>
  </si>
  <si>
    <t>MKN-0753</t>
  </si>
  <si>
    <t>13 3/8", BTC L-80 48-72 PPF</t>
  </si>
  <si>
    <t>MKN-0754</t>
  </si>
  <si>
    <t>20", 8-rd 94 PPF</t>
  </si>
  <si>
    <t>MKN-0755</t>
  </si>
  <si>
    <t>20", BTC 94 PPF</t>
  </si>
  <si>
    <t>STAB - IN FLOAT SHOE</t>
  </si>
  <si>
    <t>MKN-0756</t>
  </si>
  <si>
    <t>18 5/8", 8-rd STC K-55 87.5-139 PPF</t>
  </si>
  <si>
    <t>MKN-0757</t>
  </si>
  <si>
    <t>18 5/8", BTC K-55 85.5-139 PPF</t>
  </si>
  <si>
    <t>MKN-0758</t>
  </si>
  <si>
    <t>20", 8-rd STC K-55 94-133 PPF</t>
  </si>
  <si>
    <t>MKN-0759</t>
  </si>
  <si>
    <t>20", BTC K-55 94-133 PPF</t>
  </si>
  <si>
    <t>FLOAT COLLAR</t>
  </si>
  <si>
    <t>MKN-0760</t>
  </si>
  <si>
    <t>7", 8-rd LTC N-80 20-32 PPF</t>
  </si>
  <si>
    <t>MKN-0761</t>
  </si>
  <si>
    <t>MKN-0762</t>
  </si>
  <si>
    <t>9 5/8", LTC N-80 32.5-53.5 PPF</t>
  </si>
  <si>
    <t>MKN-0763</t>
  </si>
  <si>
    <t>MKN-0764</t>
  </si>
  <si>
    <t>13 3/8", 8-RD STC K-55 48-72 PPF</t>
  </si>
  <si>
    <t>MKN-0765</t>
  </si>
  <si>
    <t>MKN-0766</t>
  </si>
  <si>
    <t>MKN-0767</t>
  </si>
  <si>
    <t>MKN-0768</t>
  </si>
  <si>
    <t>20", BTC</t>
  </si>
  <si>
    <t>STAB-IN FLOAT COLLAR</t>
  </si>
  <si>
    <t>MKN-0769</t>
  </si>
  <si>
    <t>CEMENTING PLUGS (NON-ROTATING BOTTOM)</t>
  </si>
  <si>
    <t>MKN-0770</t>
  </si>
  <si>
    <t>7", 23-38 PPF</t>
  </si>
  <si>
    <t>MKN-0771</t>
  </si>
  <si>
    <t>9 5/8", 36-53.5 PPF</t>
  </si>
  <si>
    <t>MKN-0772</t>
  </si>
  <si>
    <t>13 3/8", 54.5-72 PPF</t>
  </si>
  <si>
    <t>MKN-0773</t>
  </si>
  <si>
    <t>Centralizer Std Bow</t>
  </si>
  <si>
    <t>MKN-0774</t>
  </si>
  <si>
    <t>20" Csg Stabilizers for 24"-26"hole</t>
  </si>
  <si>
    <t>MKN-0775</t>
  </si>
  <si>
    <t>Welded centralizer for 20" Csg x 5" Dp</t>
  </si>
  <si>
    <t>MKN-0776</t>
  </si>
  <si>
    <t>18 5/8" Csg for 24" hole</t>
  </si>
  <si>
    <t>MKN-0777</t>
  </si>
  <si>
    <t>Welded centralizer for 18 5/8" Csg x-5" Dp</t>
  </si>
  <si>
    <t>MKN-0778</t>
  </si>
  <si>
    <t>13 3/8" Csg for 17 1/2" hole</t>
  </si>
  <si>
    <t>MKN-0779</t>
  </si>
  <si>
    <t>10 3/4" Csg for 12 1/4" hole</t>
  </si>
  <si>
    <t>MKN-0780</t>
  </si>
  <si>
    <t>9 5/8" Csg for 11 3/4"-12 1/4"</t>
  </si>
  <si>
    <t>MKN-0781</t>
  </si>
  <si>
    <t>7" Csg for 8 3/8"-8 1/2" hole</t>
  </si>
  <si>
    <t>MKN-0782</t>
  </si>
  <si>
    <t>5 1/2" Csg for 8 1/2" hole</t>
  </si>
  <si>
    <t>MKN-0783</t>
  </si>
  <si>
    <t>4 1/2" Csg for 6 1/8" hole</t>
  </si>
  <si>
    <t>NON-WELDED CENTRALIZERS - POSITIVE</t>
  </si>
  <si>
    <t>MKN-0784</t>
  </si>
  <si>
    <t>13 3/8" OD Csg with 18 5/8" OD (for use inside 20" Csg)</t>
  </si>
  <si>
    <t>MKN-0785</t>
  </si>
  <si>
    <t>13 3/8" OD Csg with 17" OD (for use inside 18 5/8" Csg)</t>
  </si>
  <si>
    <t>MKN-0786</t>
  </si>
  <si>
    <t>9 5/8" OD Csg with 12 1/8" OD (for use inside 13 3/8"Csg)</t>
  </si>
  <si>
    <t>MKN-0787</t>
  </si>
  <si>
    <t>7" OD Csg with 8 1/2" OD (for use inside 9 5/8" Csg)</t>
  </si>
  <si>
    <t>STOP COLLARS W/ LOCKING NAILS</t>
  </si>
  <si>
    <t>MKN-0788</t>
  </si>
  <si>
    <t>20" Csg size, hinged</t>
  </si>
  <si>
    <t>MKN-0789</t>
  </si>
  <si>
    <t>18 5/8" Csg size, hinged</t>
  </si>
  <si>
    <t>MKN-0790</t>
  </si>
  <si>
    <t>13 3/8" Csg size</t>
  </si>
  <si>
    <t>MKN-0791</t>
  </si>
  <si>
    <t>10 3/4" Csg size</t>
  </si>
  <si>
    <t>MKN-0792</t>
  </si>
  <si>
    <t>9 5/8" Csg size</t>
  </si>
  <si>
    <t>MKN-0793</t>
  </si>
  <si>
    <t>7" Csg size</t>
  </si>
  <si>
    <t>MKN-0794</t>
  </si>
  <si>
    <t>5 1/2" Csg size</t>
  </si>
  <si>
    <t>MKN-0795</t>
  </si>
  <si>
    <t>4 1/2" Csg size</t>
  </si>
  <si>
    <t>SOLID CEMENT BASKET</t>
  </si>
  <si>
    <t>MKN-0796</t>
  </si>
  <si>
    <t>20" Csg size</t>
  </si>
  <si>
    <t>MKN-0797</t>
  </si>
  <si>
    <t>MKN-0798</t>
  </si>
  <si>
    <t>MKN-0799</t>
  </si>
  <si>
    <t>THREAD COMPOUNDS</t>
  </si>
  <si>
    <t>MKN-0800</t>
  </si>
  <si>
    <t>API Modified Thread Compound Baker, 2gal -25 (Ib/pail)</t>
  </si>
  <si>
    <t>MKN-0801</t>
  </si>
  <si>
    <t>API Modified Thread Compound Baker, 3.5gal -50 (Ib/pail)</t>
  </si>
  <si>
    <t>MKN-0802</t>
  </si>
  <si>
    <t>Thread lock Compound (Tight lock)</t>
  </si>
  <si>
    <t>CASING SCRAPER</t>
  </si>
  <si>
    <t>MKN-0803</t>
  </si>
  <si>
    <t>For 5" Casing per Month</t>
  </si>
  <si>
    <t>MKN-0804</t>
  </si>
  <si>
    <t>For 7" Casing per Month</t>
  </si>
  <si>
    <t>MKN-0805</t>
  </si>
  <si>
    <t>For 9 5/8" Casing per Month</t>
  </si>
  <si>
    <t>MKN-0806</t>
  </si>
  <si>
    <t>For 13 3/8" Casing per Month</t>
  </si>
  <si>
    <t>LINER HANGER</t>
  </si>
  <si>
    <t>MKN-0807</t>
  </si>
  <si>
    <t>Complete 5"x 7" Liner hanger with float equipment and liner packer all connection Sales Mechanical Liner</t>
  </si>
  <si>
    <t>MKN-0808</t>
  </si>
  <si>
    <t>Complete 7"x 9 5/8" Liner hanger with float equipment and liner packer all connection Sales Mechanical Liner</t>
  </si>
  <si>
    <t>MKN-0809</t>
  </si>
  <si>
    <t>Complete 5"x 7" Liner hanger with float equipment and liner packer all connection Sales Hydraulic Liner</t>
  </si>
  <si>
    <t>MKN-0810</t>
  </si>
  <si>
    <t>Complete 7"x 9 5/8" Liner hanger with float equipment and liner packer all connection Sales Hydraulic Liner</t>
  </si>
  <si>
    <t>MKN-0811</t>
  </si>
  <si>
    <t>LUM SUM Charge 5 Days for Running Tool</t>
  </si>
  <si>
    <t>MKN-0812</t>
  </si>
  <si>
    <t>Liner Engineer per day</t>
  </si>
  <si>
    <t>MKN-0813</t>
  </si>
  <si>
    <t>Assistant Operator Per day</t>
  </si>
  <si>
    <t>MKN-0814</t>
  </si>
  <si>
    <t>Make UP liner per Job</t>
  </si>
  <si>
    <t>MKN-0815</t>
  </si>
  <si>
    <t>Extra Days for Running Tool after 5 days per day</t>
  </si>
  <si>
    <t>GYRO SERVICES</t>
  </si>
  <si>
    <t>DMS NORTH SEEKING GYRO MULTISHOT</t>
  </si>
  <si>
    <t>MKN-0816</t>
  </si>
  <si>
    <t>Instrument charge / stand by day</t>
  </si>
  <si>
    <t>MKN-0817</t>
  </si>
  <si>
    <t>Instrument charge / operating day day</t>
  </si>
  <si>
    <t>MKN-0818</t>
  </si>
  <si>
    <t>Minimum charge/day</t>
  </si>
  <si>
    <t>DMS NORTH SEEKING GYRO SINGLES HOT</t>
  </si>
  <si>
    <t>MKN-0819</t>
  </si>
  <si>
    <t>MKN-0820</t>
  </si>
  <si>
    <t>Instrument charge / operating day</t>
  </si>
  <si>
    <t>MKN-0821</t>
  </si>
  <si>
    <t>Minimum charge / day</t>
  </si>
  <si>
    <t>DMS ELECTRONIC MAGNETIC GYRO MULTISHOT</t>
  </si>
  <si>
    <t>MKN-0822</t>
  </si>
  <si>
    <t>MKN-0823</t>
  </si>
  <si>
    <t>MKN-0824</t>
  </si>
  <si>
    <t>MKN-0825</t>
  </si>
  <si>
    <t>Gyro survey engineer / day</t>
  </si>
  <si>
    <t>MKN-0826</t>
  </si>
  <si>
    <t>EMS survey engineer / day</t>
  </si>
  <si>
    <t>MKN-0827</t>
  </si>
  <si>
    <t>Wireline operator / day</t>
  </si>
  <si>
    <t>MKN-0828</t>
  </si>
  <si>
    <t>Wireline helper / day</t>
  </si>
  <si>
    <t>MKN-0829</t>
  </si>
  <si>
    <t>Transpiration charge for tools and personal / trip</t>
  </si>
  <si>
    <t>HIGH ACCURACY NORTH SEEKING GYRO SYSTEM</t>
  </si>
  <si>
    <t>DMS ELECTRONICS ST IN HOLE AND REPLACEMENT CHARGES</t>
  </si>
  <si>
    <t>MKN-0830</t>
  </si>
  <si>
    <t>OMS gyro (sensor and electronics)</t>
  </si>
  <si>
    <t>MKN-0831</t>
  </si>
  <si>
    <t>Surface interface box</t>
  </si>
  <si>
    <t>MKN-0832</t>
  </si>
  <si>
    <t>Computer laptop</t>
  </si>
  <si>
    <t>MKN-0833</t>
  </si>
  <si>
    <t>Printer</t>
  </si>
  <si>
    <t>MKN-0834</t>
  </si>
  <si>
    <t>Down hole running gear</t>
  </si>
  <si>
    <t>-</t>
  </si>
  <si>
    <t>MKN-0835</t>
  </si>
  <si>
    <t>Thermal-shield 1.75" od</t>
  </si>
  <si>
    <t>MKN-0836</t>
  </si>
  <si>
    <t>Centralizer (conducting)</t>
  </si>
  <si>
    <t>MKN-0837</t>
  </si>
  <si>
    <t>Centralizer (non-conducting)</t>
  </si>
  <si>
    <t>MKN-0838</t>
  </si>
  <si>
    <t>Cable head assembly (htc-3)</t>
  </si>
  <si>
    <t>MKN-0839</t>
  </si>
  <si>
    <t>Wireline crossover</t>
  </si>
  <si>
    <t>WELL-HEAD CONSTRUCTION SERVICES</t>
  </si>
  <si>
    <t>MKN-0840</t>
  </si>
  <si>
    <t>Cellar Cleaning, Well Head gratings and surface painting</t>
  </si>
  <si>
    <t>MKN-0841</t>
  </si>
  <si>
    <t>Sand berm with Gate and Well sign height 2m wide 3m Price by linear meter</t>
  </si>
  <si>
    <t>MKN-0842</t>
  </si>
  <si>
    <t>Aluminum Scaffolding maximum 5 m length</t>
  </si>
  <si>
    <t>MKN-0843</t>
  </si>
  <si>
    <t>Well Pad 8m by 8m depth 50 cm</t>
  </si>
  <si>
    <t>MKN-0844</t>
  </si>
  <si>
    <t>Fill and remove sand from well site if more than 20 cm and max 60cm.</t>
  </si>
  <si>
    <t>MKN-0845</t>
  </si>
  <si>
    <t>Remove old sand berm and level the place.</t>
  </si>
  <si>
    <t>MKN-0846</t>
  </si>
  <si>
    <t>Wellhead dig-out team of 4 people</t>
  </si>
  <si>
    <t>MKN-0847</t>
  </si>
  <si>
    <t>4x4 Car with Driver</t>
  </si>
  <si>
    <t>MKN-0848</t>
  </si>
  <si>
    <t>Dig-out Engineer with gas monitor devices</t>
  </si>
  <si>
    <t>MKN-0849</t>
  </si>
  <si>
    <t>Accommodation and Food per one person (if not provided by client)</t>
  </si>
  <si>
    <t>MKN-0850</t>
  </si>
  <si>
    <t>Wellhead sign</t>
  </si>
  <si>
    <t>MKN-0851</t>
  </si>
  <si>
    <t>Sand berm metal gate 6m x 1.5m</t>
  </si>
  <si>
    <t>MKN-0852</t>
  </si>
  <si>
    <t>1.8m height Barbed Wire Fence installation</t>
  </si>
  <si>
    <t>MKN-0853</t>
  </si>
  <si>
    <t>Welding and Fabrication of Steel-Pipe Fence around well-site</t>
  </si>
  <si>
    <t>MKN-0854</t>
  </si>
  <si>
    <t>Reservoir/Waste Management pit, 35m x 35m x 1.8m, liquid proof, utilizing S5-Berm Polymer or enforced Synthetic polyethylene plastic</t>
  </si>
  <si>
    <t>MKN-0855</t>
  </si>
  <si>
    <t>Cellar Reinforced-Steel and Concrete Cover (Safety Box)</t>
  </si>
  <si>
    <t>LOGGING SERVICES</t>
  </si>
  <si>
    <t>MKN-0856</t>
  </si>
  <si>
    <t>Multi Barrier Corrosion Measurements for up to 4 barriers. (Minimum 3 wells).</t>
  </si>
  <si>
    <t>MKN-0857</t>
  </si>
  <si>
    <t>Noise-Log for leak detection (Minimum 3 wells).</t>
  </si>
  <si>
    <t>MKN-0858</t>
  </si>
  <si>
    <t>Mechanical Cutter for Pipe and Completion From 2.5" to 4.75" ID Current Max Thickness 0.75"</t>
  </si>
  <si>
    <t>WELL-HEAD MAINTENANCE &amp; REMEDIAL SERVICES</t>
  </si>
  <si>
    <t>MKN-0859</t>
  </si>
  <si>
    <t>Operation coordinator Commuting from CONTRACTOR base to COMPANY offices 
at Client as directed daily. (Equal Time Rotation). EXPAT</t>
  </si>
  <si>
    <t>MKN-0860</t>
  </si>
  <si>
    <t>Operation coordinator Commuting from CONTRACTOR base to COMPANY offices 
at Client as directed daily. (Equal Time Rotation). NATIONAL</t>
  </si>
  <si>
    <t>MKN-0861</t>
  </si>
  <si>
    <t>Standard Wellhead Maintenance Crew Operating Cost - Mixed crew i.e. national and expat. Crew consist of 3 to 4 Personnel.</t>
  </si>
  <si>
    <t>MKN-0862</t>
  </si>
  <si>
    <t>Standard Wellhead Maintenance Package and Crew Operating Cost - Equipment Only</t>
  </si>
  <si>
    <t>MKN-0863</t>
  </si>
  <si>
    <t>Monthly Standard Wellhead Maintenance Package and Crew Operating Cost - Equipment Only</t>
  </si>
  <si>
    <t>MKN-0864</t>
  </si>
  <si>
    <t>Standard Wellhead Maintenance Package and Crew Operating Cost - 
Mixed crew i.e. national and expat personnel-inclusive of consumables. Crew consist of 3 to 4 Personnel.</t>
  </si>
  <si>
    <t>MKN-0865</t>
  </si>
  <si>
    <t>Monthly Standard Wellhead Maintenance Package and Crew Operating Cost - 
Mixed crew i.e., national and expat personnel-inclusive of consumables. Crew consist of 3 to 4 Personnel</t>
  </si>
  <si>
    <t>MKN-0866</t>
  </si>
  <si>
    <t>Stand by Rate for Standard Wellhead Maintenance Package and Crew - Waiting on client decision</t>
  </si>
  <si>
    <t>MKN-0867</t>
  </si>
  <si>
    <t>Standard Wellhead Maintenance Package and Crew Operating Cost - 
Mixed crew i.e national and expat personnel-excluding consumables. Crew consist of 3 to 4 personnel.</t>
  </si>
  <si>
    <t>MKN-0868</t>
  </si>
  <si>
    <t>Monthly Standard Wellhead Maintenance Package and Crew Operating Cost - 
Mixed crew i.e. national and expat personnel-excluding consumables. Crew consist of 3 to 4 Personnel</t>
  </si>
  <si>
    <t>MKN-0869</t>
  </si>
  <si>
    <t>Call Off BPV/TWC/V/R Services Equipment Package and Crew Operating Cost.</t>
  </si>
  <si>
    <t>MKN-0870</t>
  </si>
  <si>
    <t>Hot Tapping Operating Cost.</t>
  </si>
  <si>
    <t>MKN-0871</t>
  </si>
  <si>
    <t>Gate Valve Drilling and Milling Operating Cost.</t>
  </si>
  <si>
    <t>MKN-0872</t>
  </si>
  <si>
    <t>Workshop Services and Personnel Package Operating Cost.</t>
  </si>
  <si>
    <t>MKN-0873</t>
  </si>
  <si>
    <t>MKN-0874</t>
  </si>
  <si>
    <t>Inventory Management Service in COMPANY facility Operating Cost.</t>
  </si>
  <si>
    <t>MKN-0875</t>
  </si>
  <si>
    <t>Monthly Inventory Management Service in COMPANY facility Operating Cost.</t>
  </si>
  <si>
    <t>PERSONNEL – WELL-HEAD SERVICES</t>
  </si>
  <si>
    <t>MKN-0876</t>
  </si>
  <si>
    <t>INSULTION ENGINEER</t>
  </si>
  <si>
    <t>MKN-0877</t>
  </si>
  <si>
    <t>SIKA TECH</t>
  </si>
  <si>
    <t>CASING EXIT WHIP-STOCK</t>
  </si>
  <si>
    <t>MKN-0878</t>
  </si>
  <si>
    <t>Whip-Stock Engineer Per Day</t>
  </si>
  <si>
    <t>MKN-0879</t>
  </si>
  <si>
    <t>Full set Whip Stock with Mechanical Anchor (2 Strips)</t>
  </si>
  <si>
    <t>MKN-0880</t>
  </si>
  <si>
    <t>Full set Whip-Stock with Mechanical Anchor (1 Strip)</t>
  </si>
  <si>
    <t>MKN-0881</t>
  </si>
  <si>
    <t>Full set Whip-Stock with Hydraulic System (2 Strips)</t>
  </si>
  <si>
    <t>MKN-0882</t>
  </si>
  <si>
    <t>Full set Whip-Stock with Hydraulic System (1 Strip)</t>
  </si>
  <si>
    <t>Prepared for Sirte Oil Company · All prices in Libyan Dinar (LYD), excluding VAT unless stated</t>
  </si>
  <si>
    <t>Fishing Services — Supervisor &amp; Transport</t>
  </si>
  <si>
    <t>Price (LYD)</t>
  </si>
  <si>
    <t>First Day (LYD)</t>
  </si>
  <si>
    <t>Add. Day (LYD)</t>
  </si>
  <si>
    <t>Reverse Circulating Jet — Tungsten Carbide Dressed Head</t>
  </si>
  <si>
    <t>Baskets — Junk (Poor Boy, Drag Tooth or Friction Type)</t>
  </si>
  <si>
    <t>Triple Connection or Canfield — Washpipe Pin</t>
  </si>
  <si>
    <t>Safety or Control Bushing</t>
  </si>
  <si>
    <t>Clamp — Safety, Drill Collar or Wireline (Min. 4 Days)</t>
  </si>
  <si>
    <t>Cutter — Inside Casing, Mechanical</t>
  </si>
  <si>
    <t>Cutter — Outside, Casing / Drill / Tubing</t>
  </si>
  <si>
    <t>Cutter — Inside Casing, Hydraulic Pressure (Conventional Carbide)</t>
  </si>
  <si>
    <t>Drilling Jars — Fishing, Hydraulic or Mechanical Jar Intensifier (First 8 Hrs / Add. Hr)</t>
  </si>
  <si>
    <t>Rotary Safety — Drill Pipe and Tubing</t>
  </si>
  <si>
    <t>"J" Type Safety, Shear Pin Type or Unlatching</t>
  </si>
  <si>
    <t>Fishing Magnets</t>
  </si>
  <si>
    <t>Mills — Dressed w/ Tungsten Carbide Inserts (Pilot)</t>
  </si>
  <si>
    <t>Mills — Cement, Junk or Bladed Type</t>
  </si>
  <si>
    <t>Mills — Cement / Concave / Flat Bottom / Hollow / Round Nose / Diamond Point / Fish Tail</t>
  </si>
  <si>
    <t>Mills — Packer, Pilot, Tapered or Watermelon</t>
  </si>
  <si>
    <t>Overshots — Series 150, Rotary Releasing and Packoff</t>
  </si>
  <si>
    <t>Overshots — Series 70 Shortcatch</t>
  </si>
  <si>
    <t>Guides — Oversize, Donut or Extra</t>
  </si>
  <si>
    <t>Guides — Wall Hook</t>
  </si>
  <si>
    <t>Washover Spears / Related</t>
  </si>
  <si>
    <t>Bull / Bull Nose</t>
  </si>
  <si>
    <t>Lift (Used with Washpipe)</t>
  </si>
  <si>
    <t>Reamers — 3 &amp; 4 Blade (Conventional Fishing, Hard Metal Dressed)</t>
  </si>
  <si>
    <t>Saw</t>
  </si>
  <si>
    <t>Casing Scraper</t>
  </si>
  <si>
    <t>Shoes — Rotary or Washpipe (Crushed Tungsten Carbide)</t>
  </si>
  <si>
    <t>Rope Center, Multi-Prong or Latch Jack</t>
  </si>
  <si>
    <t>Rotary Releasing and "J"-Type — Full Circle</t>
  </si>
  <si>
    <t>Spear Pack-Off Assembly</t>
  </si>
  <si>
    <t>Subs (Rotary and Bit)</t>
  </si>
  <si>
    <t>Die Collars &amp; Tapered (up to 30" Long)</t>
  </si>
  <si>
    <t>Redress Charges — Fishing Jars &amp; Bumper Subs</t>
  </si>
  <si>
    <t>Redress Charges — Impression Blocks &amp; Junk Baskets</t>
  </si>
  <si>
    <t>Skirted Mills &amp; Refill Charges</t>
  </si>
  <si>
    <t>Cable Spears, Overshot Redress &amp; Inspection</t>
  </si>
  <si>
    <t>Bailers, Clamps, Elevators &amp; Safety Joints</t>
  </si>
  <si>
    <t>Magnets &amp; Drappels</t>
  </si>
  <si>
    <t>Flat Bottom Mills</t>
  </si>
  <si>
    <t>Jar Intensifier, Releasing Spears &amp; Taper Mills</t>
  </si>
  <si>
    <t>Per Day (LYD)</t>
  </si>
  <si>
    <t>Each Add. Day (LYD)</t>
  </si>
  <si>
    <t>B.  PACKERS, BRIDGE PLUGS &amp; SETTING TOOLS</t>
  </si>
  <si>
    <t>Retrievable Bridge Plug (Run with Another Makaman Packer)</t>
  </si>
  <si>
    <t>Mechanical Setting Tools &amp; Accessories</t>
  </si>
  <si>
    <t>Drillable Cement Retainers &amp; Bridge Plug Packer — Sales (per Casing OD)</t>
  </si>
  <si>
    <t>C.  ESP PACKERS &amp; DRILLING TOOLS</t>
  </si>
  <si>
    <t>Hydrov II ESP Packer &amp; Accessory Seal Items</t>
  </si>
  <si>
    <t>Hydrov II ESP Packer Cable Penetrator</t>
  </si>
  <si>
    <t>Hydrov II ESP Packer — Spare Parts</t>
  </si>
  <si>
    <t>Open Hole Drilling Tools (per Day)</t>
  </si>
  <si>
    <t>D.  FILTRATION SERVICES</t>
  </si>
  <si>
    <t>Filtration Unit — Personnel, Equipment &amp; Consumables</t>
  </si>
  <si>
    <t>Equipment Rental — Tongs &amp; Power Unit</t>
  </si>
  <si>
    <t>Footage Charges</t>
  </si>
  <si>
    <t>RIH / Foot (LYD)</t>
  </si>
  <si>
    <t>POOH / Foot (LYD)</t>
  </si>
  <si>
    <t>Personnel Charges</t>
  </si>
  <si>
    <t>F.  CEMENTING &amp; STIMULATION CHEMICALS</t>
  </si>
  <si>
    <t>Class "G" Cement (94 lbs/cuft)</t>
  </si>
  <si>
    <t>Additional Cement Types — LiteWate Blend</t>
  </si>
  <si>
    <t>Cement Additives — Accelerator</t>
  </si>
  <si>
    <t>Cement Additives — Fluid Loss</t>
  </si>
  <si>
    <t>Cement Additives — Dispersant</t>
  </si>
  <si>
    <t>Inhibitors</t>
  </si>
  <si>
    <t>Inhibitor Intensifier</t>
  </si>
  <si>
    <t>Surfactant</t>
  </si>
  <si>
    <t>Fluid Loss Additives</t>
  </si>
  <si>
    <t>Solvents</t>
  </si>
  <si>
    <t>Demulsifier</t>
  </si>
  <si>
    <t>G.  CONSULTANCY PERSONNEL</t>
  </si>
  <si>
    <t>Consultancy Personnel Rental</t>
  </si>
  <si>
    <t>H.  GENERAL TERMS &amp; CONDITIONS</t>
  </si>
  <si>
    <t>Terms &amp; Conditions</t>
  </si>
  <si>
    <t>Revenue Code</t>
  </si>
  <si>
    <t>Service Ticket (Original)</t>
  </si>
  <si>
    <t>Customer:</t>
  </si>
  <si>
    <t>HAROUGE</t>
  </si>
  <si>
    <t>Ticket NO:</t>
  </si>
  <si>
    <t>Field Name:</t>
  </si>
  <si>
    <t>GHANI</t>
  </si>
  <si>
    <t>Well No:</t>
  </si>
  <si>
    <t>VVV08-11</t>
  </si>
  <si>
    <t>M. Gomoha , Abdsalam</t>
  </si>
  <si>
    <t>Rig Name:</t>
  </si>
  <si>
    <t>ADC#27</t>
  </si>
  <si>
    <t>Start Job:</t>
  </si>
  <si>
    <t>Mileage (Km):</t>
  </si>
  <si>
    <t>End Job:</t>
  </si>
  <si>
    <t>Item no.</t>
  </si>
  <si>
    <t>Item Description</t>
  </si>
  <si>
    <t>Qty</t>
  </si>
  <si>
    <t>MKN-1801</t>
  </si>
  <si>
    <t>Pick-up with tools traveling to wells, per KM.</t>
  </si>
  <si>
    <t>MKN-1804</t>
  </si>
  <si>
    <t>Supervisor or Engineer, per day or fraction</t>
  </si>
  <si>
    <t>Day</t>
  </si>
  <si>
    <t>MKN-1828</t>
  </si>
  <si>
    <t>Retrievable Bridg Plug Size thru 7'': First  Day</t>
  </si>
  <si>
    <t>MKN-1829</t>
  </si>
  <si>
    <t>Retrievable Bridg Plug Size thru 7'': After First  Day</t>
  </si>
  <si>
    <t>MKN-1808</t>
  </si>
  <si>
    <t xml:space="preserve">Packer Size thru 7'': First Day </t>
  </si>
  <si>
    <t>MKN-1809</t>
  </si>
  <si>
    <t xml:space="preserve">Packer Size thru 7'': After First Day </t>
  </si>
  <si>
    <t>MKN-1963</t>
  </si>
  <si>
    <t>Discount 60%</t>
  </si>
  <si>
    <t>Customer or his agent</t>
  </si>
  <si>
    <t>MAKAMAN LIBYA</t>
  </si>
  <si>
    <t>Representative Signature</t>
  </si>
  <si>
    <t>Job Log (Original)</t>
  </si>
  <si>
    <t>Ticket No:</t>
  </si>
  <si>
    <t>Field:</t>
  </si>
  <si>
    <t>Job Type:</t>
  </si>
  <si>
    <t>Customer Rep.</t>
  </si>
  <si>
    <t>Workover Office</t>
  </si>
  <si>
    <t>Job Supervisor:</t>
  </si>
  <si>
    <t>Start Job</t>
  </si>
  <si>
    <t>End Job</t>
  </si>
  <si>
    <t>Date</t>
  </si>
  <si>
    <t>Time</t>
  </si>
  <si>
    <t>Pressure</t>
  </si>
  <si>
    <t xml:space="preserve">Total </t>
  </si>
  <si>
    <t>Details of the Job</t>
  </si>
  <si>
    <t>M/Up 7''( RBP &amp; PKR) &amp;  RIH</t>
  </si>
  <si>
    <t>Set 7'' RBP@5250ft,Set 7'' PKR @5200ft, P/T 500psi BTW..Good</t>
  </si>
  <si>
    <t>Set 7'' PKR@(5015)ft , Injectivity Test</t>
  </si>
  <si>
    <t xml:space="preserve"> POOH with 7" PKR &amp; Overshot.</t>
  </si>
  <si>
    <t>Cement Job Operation.</t>
  </si>
  <si>
    <t>RIH 7'' PKR ,</t>
  </si>
  <si>
    <t>Set 7'' PKR @ 5008ft, P/T Good  Test</t>
  </si>
  <si>
    <t>Unset 7'' PKT &amp; POOH .</t>
  </si>
  <si>
    <t>7'' PKR On  Surface</t>
  </si>
  <si>
    <t>RIH 7" Overshot</t>
  </si>
  <si>
    <t>Unset 7" RBP &amp; POOH</t>
  </si>
  <si>
    <t xml:space="preserve">RBP on surface </t>
  </si>
  <si>
    <t>MAKAMAN Libya</t>
  </si>
  <si>
    <t>MAKAMAN LIBYA COMPANY For Sirte Oil Company</t>
  </si>
  <si>
    <t>MAKAMAN LIBYA COMPANY For Zueitina Oil Company</t>
  </si>
  <si>
    <t>MAKAMAN LIBYA COMPANY For Harouge Oil Operations</t>
  </si>
  <si>
    <t>MAKAMAN LIBYA COMPANY For AGOCO</t>
  </si>
  <si>
    <t>MAKAMAN LIBYA COMPANY For Waha</t>
  </si>
  <si>
    <t>Base Location:</t>
  </si>
  <si>
    <t>Unit Cost</t>
  </si>
  <si>
    <t>Total Cost</t>
  </si>
  <si>
    <t xml:space="preserve"> Total =</t>
  </si>
  <si>
    <t>Operational Base Coordinates: Awjilah (+29.107970, +21.376782)</t>
  </si>
  <si>
    <r>
      <rPr>
        <sz val="11"/>
        <color indexed="8"/>
        <rFont val="Aptos"/>
        <family val="2"/>
      </rPr>
      <t>DESERT/MARINE</t>
    </r>
    <r>
      <rPr>
        <sz val="11"/>
        <rFont val="Aptos"/>
        <family val="2"/>
      </rPr>
      <t xml:space="preserve"> Surchargeadd to all invoices</t>
    </r>
  </si>
  <si>
    <t>MKN Supervisor:</t>
  </si>
  <si>
    <t>km (Round Trip)</t>
  </si>
  <si>
    <t>Service Ticket (Copy)</t>
  </si>
  <si>
    <t>Arrived To Location</t>
  </si>
  <si>
    <t>Job Log (Copy)</t>
  </si>
  <si>
    <t xml:space="preserve"> 7'' Combination For CSG Test &amp; Cement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</si>
</sst>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dd\ mmm\ yyyy"/>
    <numFmt numFmtId="165" formatCode="&quot;$&quot;#,##0.00"/>
    <numFmt numFmtId="166" formatCode="[$-409]d\-mmm\-yyyy;@"/>
    <numFmt numFmtId="167" formatCode="&quot;$&quot;#,##0.000"/>
    <numFmt numFmtId="168" formatCode="_-[$$-409]* #,##0.00_ ;_-[$$-409]* \-#,##0.00\ ;_-[$$-409]* &quot;-&quot;??_ ;_-@_ "/>
  </numFmts>
  <fonts count="61" x14ac:knownFonts="1">
    <font>
      <sz val="11"/>
      <color theme="1"/>
      <name val="Calibri"/>
      <family val="2"/>
      <scheme val="minor"/>
    </font>
    <font>
      <sz val="11"/>
      <color theme="1"/>
      <name val="Calibri"/>
      <family val="2"/>
      <scheme val="minor"/>
    </font>
    <font>
      <b/>
      <sz val="11"/>
      <color rgb="FF3F3F3F"/>
      <name val="Calibri"/>
      <family val="2"/>
      <scheme val="minor"/>
    </font>
    <font>
      <u/>
      <sz val="11"/>
      <color theme="10"/>
      <name val="Calibri"/>
      <family val="2"/>
      <scheme val="minor"/>
    </font>
    <font>
      <sz val="9"/>
      <color rgb="FF262626"/>
      <name val="Calibri"/>
      <family val="2"/>
      <scheme val="minor"/>
    </font>
    <font>
      <sz val="11"/>
      <color rgb="FF595959"/>
      <name val="Calibri"/>
      <family val="2"/>
      <scheme val="minor"/>
    </font>
    <font>
      <i/>
      <sz val="9"/>
      <color rgb="FF808080"/>
      <name val="Calibri"/>
      <family val="2"/>
      <scheme val="minor"/>
    </font>
    <font>
      <b/>
      <sz val="9"/>
      <color rgb="FF262626"/>
      <name val="Calibri"/>
      <family val="2"/>
      <scheme val="minor"/>
    </font>
    <font>
      <b/>
      <sz val="12"/>
      <color rgb="FF000000"/>
      <name val="Calibri"/>
      <family val="2"/>
      <scheme val="minor"/>
    </font>
    <font>
      <sz val="8"/>
      <color rgb="FF808080"/>
      <name val="Calibri"/>
      <family val="2"/>
      <scheme val="minor"/>
    </font>
    <font>
      <b/>
      <sz val="10"/>
      <color rgb="FF262626"/>
      <name val="Calibri"/>
      <family val="2"/>
      <scheme val="minor"/>
    </font>
    <font>
      <b/>
      <sz val="8.5"/>
      <color rgb="FF262626"/>
      <name val="Calibri"/>
      <family val="2"/>
      <scheme val="minor"/>
    </font>
    <font>
      <i/>
      <sz val="8.5"/>
      <color rgb="FF595959"/>
      <name val="Calibri"/>
      <family val="2"/>
      <scheme val="minor"/>
    </font>
    <font>
      <b/>
      <sz val="16"/>
      <color rgb="FF262626"/>
      <name val="Calibri"/>
      <scheme val="minor"/>
    </font>
    <font>
      <sz val="11"/>
      <color rgb="FF595959"/>
      <name val="Calibri"/>
      <scheme val="minor"/>
    </font>
    <font>
      <i/>
      <sz val="9"/>
      <color rgb="FF808080"/>
      <name val="Calibri"/>
      <scheme val="minor"/>
    </font>
    <font>
      <b/>
      <sz val="9"/>
      <color rgb="FF262626"/>
      <name val="Calibri"/>
      <scheme val="minor"/>
    </font>
    <font>
      <sz val="9"/>
      <color rgb="FF262626"/>
      <name val="Calibri"/>
      <scheme val="minor"/>
    </font>
    <font>
      <b/>
      <sz val="12"/>
      <color rgb="FF262626"/>
      <name val="Calibri"/>
      <scheme val="minor"/>
    </font>
    <font>
      <u/>
      <sz val="8"/>
      <color rgb="FF808080"/>
      <name val="Calibri"/>
      <family val="2"/>
      <scheme val="minor"/>
    </font>
    <font>
      <b/>
      <sz val="10"/>
      <color rgb="FF262626"/>
      <name val="Calibri"/>
      <scheme val="minor"/>
    </font>
    <font>
      <b/>
      <sz val="8.5"/>
      <color rgb="FF262626"/>
      <name val="Calibri"/>
      <scheme val="minor"/>
    </font>
    <font>
      <i/>
      <sz val="8.5"/>
      <color rgb="FF595959"/>
      <name val="Calibri"/>
      <scheme val="minor"/>
    </font>
    <font>
      <sz val="11"/>
      <color rgb="FF262626"/>
      <name val="Calibri"/>
      <scheme val="minor"/>
    </font>
    <font>
      <i/>
      <sz val="9"/>
      <color rgb="FF262626"/>
      <name val="Calibri"/>
      <scheme val="minor"/>
    </font>
    <font>
      <b/>
      <sz val="11"/>
      <color rgb="FF262626"/>
      <name val="Calibri"/>
      <scheme val="minor"/>
    </font>
    <font>
      <sz val="8"/>
      <color rgb="FF808080"/>
      <name val="Calibri"/>
      <scheme val="minor"/>
    </font>
    <font>
      <sz val="10"/>
      <color rgb="FF262626"/>
      <name val="Calibri"/>
      <family val="2"/>
      <scheme val="minor"/>
    </font>
    <font>
      <b/>
      <sz val="10"/>
      <color rgb="FF000000"/>
      <name val="Calibri"/>
      <family val="2"/>
      <scheme val="minor"/>
    </font>
    <font>
      <b/>
      <sz val="8.5"/>
      <color rgb="FF000000"/>
      <name val="Calibri"/>
      <family val="2"/>
      <scheme val="minor"/>
    </font>
    <font>
      <sz val="8.5"/>
      <color rgb="FF262626"/>
      <name val="Calibri"/>
      <family val="2"/>
      <scheme val="minor"/>
    </font>
    <font>
      <i/>
      <sz val="9"/>
      <color rgb="FF595959"/>
      <name val="Calibri"/>
      <family val="2"/>
      <scheme val="minor"/>
    </font>
    <font>
      <b/>
      <sz val="13"/>
      <color rgb="FFFFFFFF"/>
      <name val="Calibri"/>
      <family val="2"/>
    </font>
    <font>
      <b/>
      <sz val="11"/>
      <color rgb="FF1F3864"/>
      <name val="Calibri"/>
      <family val="2"/>
    </font>
    <font>
      <sz val="10"/>
      <color rgb="FF000000"/>
      <name val="Calibri"/>
      <family val="2"/>
    </font>
    <font>
      <sz val="10"/>
      <color theme="1"/>
      <name val="Calibri"/>
      <family val="2"/>
      <scheme val="minor"/>
    </font>
    <font>
      <b/>
      <sz val="10"/>
      <color theme="1"/>
      <name val="Calibri"/>
      <family val="2"/>
      <scheme val="minor"/>
    </font>
    <font>
      <b/>
      <u/>
      <sz val="13"/>
      <color rgb="FFFFFFFF"/>
      <name val="Calibri"/>
      <family val="2"/>
    </font>
    <font>
      <b/>
      <sz val="14"/>
      <color rgb="FFFFFFFF"/>
      <name val="Calibri"/>
      <family val="2"/>
    </font>
    <font>
      <sz val="10"/>
      <name val="Calibri"/>
      <family val="2"/>
      <scheme val="minor"/>
    </font>
    <font>
      <b/>
      <sz val="10"/>
      <color rgb="FF000000"/>
      <name val="Calibri"/>
      <family val="2"/>
    </font>
    <font>
      <sz val="10"/>
      <name val="Calibri"/>
      <family val="2"/>
    </font>
    <font>
      <sz val="10"/>
      <color theme="1"/>
      <name val="Arial"/>
      <family val="2"/>
    </font>
    <font>
      <sz val="10"/>
      <color theme="0"/>
      <name val="Arial"/>
      <family val="2"/>
    </font>
    <font>
      <sz val="10"/>
      <name val="Arial"/>
      <family val="2"/>
    </font>
    <font>
      <sz val="10"/>
      <color theme="1"/>
      <name val="Calibri Light"/>
      <family val="1"/>
      <scheme val="major"/>
    </font>
    <font>
      <b/>
      <sz val="16"/>
      <color indexed="8"/>
      <name val="Aptos"/>
      <family val="2"/>
    </font>
    <font>
      <sz val="10"/>
      <color theme="1"/>
      <name val="Aptos"/>
      <family val="2"/>
    </font>
    <font>
      <b/>
      <sz val="10"/>
      <color theme="1"/>
      <name val="Aptos"/>
      <family val="2"/>
    </font>
    <font>
      <sz val="11"/>
      <color theme="1"/>
      <name val="Aptos"/>
      <family val="2"/>
    </font>
    <font>
      <b/>
      <sz val="14"/>
      <color theme="1"/>
      <name val="Aptos"/>
      <family val="2"/>
    </font>
    <font>
      <b/>
      <sz val="11"/>
      <color theme="1"/>
      <name val="Aptos"/>
      <family val="2"/>
    </font>
    <font>
      <b/>
      <sz val="12"/>
      <color theme="1"/>
      <name val="Aptos"/>
      <family val="2"/>
    </font>
    <font>
      <sz val="11"/>
      <name val="Aptos"/>
      <family val="2"/>
    </font>
    <font>
      <sz val="11"/>
      <color indexed="8"/>
      <name val="Aptos"/>
      <family val="2"/>
    </font>
    <font>
      <b/>
      <sz val="36"/>
      <color theme="1"/>
      <name val="Aptos"/>
      <family val="2"/>
    </font>
    <font>
      <sz val="9"/>
      <color theme="1"/>
      <name val="Aptos"/>
      <family val="2"/>
    </font>
    <font>
      <sz val="10"/>
      <name val="Aptos"/>
      <family val="2"/>
    </font>
    <font>
      <b/>
      <sz val="10"/>
      <name val="Aptos"/>
      <family val="2"/>
    </font>
    <font>
      <b/>
      <sz val="36"/>
      <name val="Aptos"/>
      <family val="2"/>
    </font>
    <font>
      <b/>
      <sz val="11"/>
      <name val="Aptos"/>
      <family val="2"/>
    </font>
  </fonts>
  <fills count="16">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1F3864"/>
      </patternFill>
    </fill>
    <fill>
      <patternFill patternType="solid">
        <fgColor rgb="FFD9E2F3"/>
      </patternFill>
    </fill>
    <fill>
      <patternFill patternType="solid">
        <fgColor rgb="FFFFFFFF"/>
      </patternFill>
    </fill>
    <fill>
      <patternFill patternType="solid">
        <fgColor rgb="FFF2F5FB"/>
      </patternFill>
    </fill>
    <fill>
      <patternFill patternType="solid">
        <fgColor theme="9" tint="0.59999389629810485"/>
        <bgColor indexed="64"/>
      </patternFill>
    </fill>
    <fill>
      <patternFill patternType="solid">
        <fgColor theme="0"/>
        <bgColor indexed="64"/>
      </patternFill>
    </fill>
    <fill>
      <patternFill patternType="solid">
        <fgColor theme="0" tint="-0.14996795556505021"/>
        <bgColor indexed="64"/>
      </patternFill>
    </fill>
    <fill>
      <patternFill patternType="solid">
        <fgColor indexed="9"/>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rgb="FFF8CBAD"/>
        <bgColor indexed="64"/>
      </patternFill>
    </fill>
    <fill>
      <patternFill patternType="solid">
        <fgColor rgb="FFFCE4D6"/>
        <bgColor indexed="64"/>
      </patternFill>
    </fill>
  </fills>
  <borders count="58">
    <border>
      <left/>
      <right/>
      <top/>
      <bottom/>
      <diagonal/>
    </border>
    <border>
      <left style="thin">
        <color rgb="FF3F3F3F"/>
      </left>
      <right style="thin">
        <color rgb="FF3F3F3F"/>
      </right>
      <top style="thin">
        <color rgb="FF3F3F3F"/>
      </top>
      <bottom style="thin">
        <color rgb="FF3F3F3F"/>
      </bottom>
      <diagonal/>
    </border>
    <border>
      <left/>
      <right/>
      <top/>
      <bottom style="thin">
        <color rgb="FFBFBFBF"/>
      </bottom>
      <diagonal/>
    </border>
    <border>
      <left/>
      <right/>
      <top/>
      <bottom style="thick">
        <color rgb="FF000000"/>
      </bottom>
      <diagonal/>
    </border>
    <border>
      <left/>
      <right/>
      <top style="thin">
        <color rgb="FF000000"/>
      </top>
      <bottom style="thin">
        <color rgb="FFE6E6E6"/>
      </bottom>
      <diagonal/>
    </border>
    <border>
      <left/>
      <right/>
      <top style="thin">
        <color rgb="FFE6E6E6"/>
      </top>
      <bottom style="thin">
        <color rgb="FFE6E6E6"/>
      </bottom>
      <diagonal/>
    </border>
    <border>
      <left/>
      <right/>
      <top style="thin">
        <color rgb="FF000000"/>
      </top>
      <bottom/>
      <diagonal/>
    </border>
    <border>
      <left/>
      <right/>
      <top style="thin">
        <color rgb="FFE6E6E6"/>
      </top>
      <bottom/>
      <diagonal/>
    </border>
    <border>
      <left/>
      <right/>
      <top style="thick">
        <color rgb="FF262626"/>
      </top>
      <bottom style="thin">
        <color rgb="FFE6E6E6"/>
      </bottom>
      <diagonal/>
    </border>
    <border>
      <left/>
      <right/>
      <top style="thin">
        <color rgb="FF262626"/>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theme="1"/>
      </top>
      <bottom style="thin">
        <color theme="0"/>
      </bottom>
      <diagonal/>
    </border>
    <border>
      <left/>
      <right/>
      <top style="thin">
        <color theme="0"/>
      </top>
      <bottom/>
      <diagonal/>
    </border>
    <border>
      <left style="thin">
        <color indexed="64"/>
      </left>
      <right style="thin">
        <color indexed="64"/>
      </right>
      <top style="thin">
        <color theme="0"/>
      </top>
      <bottom style="thin">
        <color theme="1"/>
      </bottom>
      <diagonal/>
    </border>
    <border>
      <left style="thin">
        <color theme="0"/>
      </left>
      <right style="thin">
        <color theme="0"/>
      </right>
      <top style="thin">
        <color indexed="64"/>
      </top>
      <bottom/>
      <diagonal/>
    </border>
    <border>
      <left style="thin">
        <color indexed="64"/>
      </left>
      <right style="thin">
        <color indexed="64"/>
      </right>
      <top/>
      <bottom style="thin">
        <color theme="0"/>
      </bottom>
      <diagonal/>
    </border>
    <border>
      <left/>
      <right/>
      <top/>
      <bottom style="thin">
        <color theme="0"/>
      </bottom>
      <diagonal/>
    </border>
    <border>
      <left/>
      <right style="thin">
        <color indexed="64"/>
      </right>
      <top/>
      <bottom style="thin">
        <color theme="0"/>
      </bottom>
      <diagonal/>
    </border>
    <border>
      <left style="thin">
        <color indexed="64"/>
      </left>
      <right style="thin">
        <color indexed="64"/>
      </right>
      <top style="thin">
        <color theme="0"/>
      </top>
      <bottom style="thin">
        <color theme="0"/>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theme="0"/>
      </left>
      <right style="thin">
        <color theme="0"/>
      </right>
      <top/>
      <bottom style="thin">
        <color indexed="64"/>
      </bottom>
      <diagonal/>
    </border>
    <border>
      <left/>
      <right style="thin">
        <color theme="1"/>
      </right>
      <top/>
      <bottom style="thin">
        <color theme="1"/>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medium">
        <color indexed="64"/>
      </left>
      <right style="thin">
        <color theme="0"/>
      </right>
      <top/>
      <bottom style="thin">
        <color theme="0"/>
      </bottom>
      <diagonal/>
    </border>
    <border>
      <left style="thin">
        <color theme="0"/>
      </left>
      <right style="thin">
        <color theme="0"/>
      </right>
      <top/>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medium">
        <color indexed="64"/>
      </right>
      <top style="thin">
        <color theme="0"/>
      </top>
      <bottom style="thin">
        <color theme="0"/>
      </bottom>
      <diagonal/>
    </border>
    <border>
      <left style="medium">
        <color indexed="64"/>
      </left>
      <right style="thin">
        <color theme="0"/>
      </right>
      <top/>
      <bottom/>
      <diagonal/>
    </border>
    <border>
      <left style="thin">
        <color theme="0"/>
      </left>
      <right style="thin">
        <color theme="0"/>
      </right>
      <top style="thin">
        <color theme="0"/>
      </top>
      <bottom style="thin">
        <color theme="0"/>
      </bottom>
      <diagonal/>
    </border>
    <border>
      <left style="medium">
        <color indexed="64"/>
      </left>
      <right/>
      <top/>
      <bottom/>
      <diagonal/>
    </border>
    <border>
      <left style="thin">
        <color theme="0"/>
      </left>
      <right style="medium">
        <color indexed="64"/>
      </right>
      <top/>
      <bottom style="thin">
        <color theme="0"/>
      </bottom>
      <diagonal/>
    </border>
    <border>
      <left style="medium">
        <color indexed="64"/>
      </left>
      <right style="thin">
        <color theme="0"/>
      </right>
      <top style="thin">
        <color theme="0"/>
      </top>
      <bottom/>
      <diagonal/>
    </border>
    <border>
      <left style="medium">
        <color indexed="64"/>
      </left>
      <right/>
      <top style="thin">
        <color theme="0"/>
      </top>
      <bottom style="medium">
        <color indexed="64"/>
      </bottom>
      <diagonal/>
    </border>
    <border>
      <left/>
      <right style="thin">
        <color theme="0"/>
      </right>
      <top style="thin">
        <color theme="0"/>
      </top>
      <bottom style="medium">
        <color indexed="64"/>
      </bottom>
      <diagonal/>
    </border>
    <border>
      <left/>
      <right style="medium">
        <color indexed="64"/>
      </right>
      <top/>
      <bottom style="medium">
        <color indexed="64"/>
      </bottom>
      <diagonal/>
    </border>
    <border>
      <left/>
      <right/>
      <top style="thin">
        <color theme="0"/>
      </top>
      <bottom style="thin">
        <color indexed="64"/>
      </bottom>
      <diagonal/>
    </border>
    <border>
      <left/>
      <right/>
      <top/>
      <bottom style="thick">
        <color rgb="FF262626"/>
      </bottom>
      <diagonal/>
    </border>
    <border>
      <left/>
      <right/>
      <top style="thin">
        <color rgb="FF262626"/>
      </top>
      <bottom style="thin">
        <color rgb="FFE6E6E6"/>
      </bottom>
      <diagonal/>
    </border>
  </borders>
  <cellStyleXfs count="6">
    <xf numFmtId="0" fontId="0" fillId="0" borderId="0"/>
    <xf numFmtId="0" fontId="3" fillId="0" borderId="0" applyNumberFormat="0" applyFill="0" applyBorder="0" applyAlignment="0" applyProtection="0"/>
    <xf numFmtId="44" fontId="1" fillId="0" borderId="0"/>
    <xf numFmtId="0" fontId="42" fillId="0" borderId="0"/>
    <xf numFmtId="0" fontId="2" fillId="2" borderId="1" applyNumberFormat="0" applyAlignment="0" applyProtection="0"/>
    <xf numFmtId="0" fontId="44" fillId="0" borderId="0"/>
  </cellStyleXfs>
  <cellXfs count="538">
    <xf numFmtId="0" fontId="0" fillId="0" borderId="0" xfId="0"/>
    <xf numFmtId="0" fontId="4" fillId="0" borderId="0" xfId="0" applyFont="1" applyAlignment="1">
      <alignment wrapText="1"/>
    </xf>
    <xf numFmtId="0" fontId="4" fillId="0" borderId="0" xfId="0" applyFont="1" applyAlignment="1">
      <alignment horizontal="left"/>
    </xf>
    <xf numFmtId="0" fontId="5" fillId="0" borderId="0" xfId="0" applyFont="1"/>
    <xf numFmtId="0" fontId="6" fillId="0" borderId="0" xfId="0" applyFont="1"/>
    <xf numFmtId="0" fontId="4" fillId="0" borderId="0" xfId="0" applyFont="1"/>
    <xf numFmtId="0" fontId="7" fillId="0" borderId="2" xfId="0" applyFont="1" applyBorder="1" applyAlignment="1">
      <alignment wrapText="1"/>
    </xf>
    <xf numFmtId="0" fontId="4" fillId="0" borderId="2" xfId="0" applyFont="1" applyBorder="1" applyAlignment="1">
      <alignment horizontal="left"/>
    </xf>
    <xf numFmtId="0" fontId="7" fillId="0" borderId="2" xfId="0" applyFont="1" applyBorder="1" applyAlignment="1">
      <alignment horizontal="left"/>
    </xf>
    <xf numFmtId="4" fontId="4" fillId="0" borderId="0" xfId="0" applyNumberFormat="1" applyFont="1" applyAlignment="1">
      <alignment horizontal="right"/>
    </xf>
    <xf numFmtId="0" fontId="8" fillId="0" borderId="3" xfId="0" applyFont="1" applyBorder="1"/>
    <xf numFmtId="0" fontId="8" fillId="0" borderId="3" xfId="0" applyFont="1" applyBorder="1" applyAlignment="1">
      <alignment wrapText="1"/>
    </xf>
    <xf numFmtId="4" fontId="8" fillId="0" borderId="3" xfId="0" applyNumberFormat="1" applyFont="1" applyBorder="1" applyAlignment="1">
      <alignment horizontal="right" wrapText="1"/>
    </xf>
    <xf numFmtId="4" fontId="8" fillId="0" borderId="3" xfId="0" applyNumberFormat="1" applyFont="1" applyBorder="1" applyAlignment="1">
      <alignment horizontal="right"/>
    </xf>
    <xf numFmtId="4" fontId="9" fillId="0" borderId="3" xfId="1" applyNumberFormat="1" applyFont="1" applyBorder="1" applyAlignment="1">
      <alignment horizontal="right"/>
    </xf>
    <xf numFmtId="4" fontId="4" fillId="0" borderId="0" xfId="0" applyNumberFormat="1" applyFont="1" applyAlignment="1">
      <alignment horizontal="right" wrapText="1"/>
    </xf>
    <xf numFmtId="0" fontId="10" fillId="2" borderId="0" xfId="0" applyFont="1" applyFill="1" applyAlignment="1">
      <alignment vertical="center"/>
    </xf>
    <xf numFmtId="0" fontId="10" fillId="2" borderId="0" xfId="0" applyFont="1" applyFill="1" applyAlignment="1">
      <alignment vertical="center" wrapText="1"/>
    </xf>
    <xf numFmtId="4" fontId="10" fillId="2" borderId="0" xfId="0" applyNumberFormat="1" applyFont="1" applyFill="1" applyAlignment="1">
      <alignment horizontal="right" vertical="center" wrapText="1"/>
    </xf>
    <xf numFmtId="4" fontId="10" fillId="2" borderId="0" xfId="0" applyNumberFormat="1" applyFont="1" applyFill="1" applyAlignment="1">
      <alignment horizontal="right" vertical="center"/>
    </xf>
    <xf numFmtId="0" fontId="11" fillId="0" borderId="0" xfId="0" applyFont="1" applyAlignment="1">
      <alignment wrapText="1"/>
    </xf>
    <xf numFmtId="4" fontId="11" fillId="0" borderId="0" xfId="0" applyNumberFormat="1" applyFont="1" applyAlignment="1">
      <alignment horizontal="right" wrapText="1"/>
    </xf>
    <xf numFmtId="0" fontId="4" fillId="0" borderId="4" xfId="0" applyFont="1" applyBorder="1" applyAlignment="1">
      <alignment vertical="top"/>
    </xf>
    <xf numFmtId="0" fontId="4" fillId="0" borderId="4" xfId="0" applyFont="1" applyBorder="1" applyAlignment="1">
      <alignment vertical="top" wrapText="1"/>
    </xf>
    <xf numFmtId="4" fontId="4" fillId="0" borderId="4" xfId="0" applyNumberFormat="1" applyFont="1" applyBorder="1" applyAlignment="1">
      <alignment horizontal="right" vertical="top" wrapText="1"/>
    </xf>
    <xf numFmtId="4" fontId="4" fillId="0" borderId="4" xfId="0" applyNumberFormat="1" applyFont="1" applyBorder="1" applyAlignment="1">
      <alignment horizontal="right" vertical="top"/>
    </xf>
    <xf numFmtId="0" fontId="4" fillId="0" borderId="5" xfId="0" applyFont="1" applyBorder="1" applyAlignment="1">
      <alignment vertical="top"/>
    </xf>
    <xf numFmtId="0" fontId="4" fillId="0" borderId="5" xfId="0" applyFont="1" applyBorder="1" applyAlignment="1">
      <alignment vertical="top" wrapText="1"/>
    </xf>
    <xf numFmtId="4" fontId="4" fillId="0" borderId="5" xfId="0" applyNumberFormat="1" applyFont="1" applyBorder="1" applyAlignment="1">
      <alignment horizontal="right" vertical="top" wrapText="1"/>
    </xf>
    <xf numFmtId="4" fontId="4" fillId="0" borderId="5" xfId="0" applyNumberFormat="1" applyFont="1" applyBorder="1" applyAlignment="1">
      <alignment horizontal="right" vertical="top"/>
    </xf>
    <xf numFmtId="0" fontId="14" fillId="0" borderId="0" xfId="0" applyFont="1"/>
    <xf numFmtId="0" fontId="15" fillId="0" borderId="0" xfId="0" applyFont="1"/>
    <xf numFmtId="0" fontId="16" fillId="0" borderId="0" xfId="0" applyFont="1"/>
    <xf numFmtId="0" fontId="17" fillId="0" borderId="2" xfId="0" applyFont="1" applyBorder="1"/>
    <xf numFmtId="0" fontId="17" fillId="0" borderId="0" xfId="0" applyFont="1"/>
    <xf numFmtId="0" fontId="18" fillId="0" borderId="3" xfId="0" applyFont="1" applyBorder="1"/>
    <xf numFmtId="0" fontId="18" fillId="0" borderId="3" xfId="0" applyFont="1" applyBorder="1" applyAlignment="1">
      <alignment wrapText="1"/>
    </xf>
    <xf numFmtId="4" fontId="18" fillId="0" borderId="3" xfId="0" applyNumberFormat="1" applyFont="1" applyBorder="1" applyAlignment="1">
      <alignment horizontal="right"/>
    </xf>
    <xf numFmtId="4" fontId="19" fillId="0" borderId="3" xfId="1" applyNumberFormat="1" applyFont="1" applyBorder="1" applyAlignment="1">
      <alignment horizontal="right"/>
    </xf>
    <xf numFmtId="0" fontId="17" fillId="0" borderId="0" xfId="0" applyFont="1" applyAlignment="1">
      <alignment vertical="center"/>
    </xf>
    <xf numFmtId="0" fontId="17" fillId="0" borderId="0" xfId="0" applyFont="1" applyAlignment="1">
      <alignment vertical="center" wrapText="1"/>
    </xf>
    <xf numFmtId="4" fontId="17" fillId="0" borderId="0" xfId="0" applyNumberFormat="1" applyFont="1" applyAlignment="1">
      <alignment horizontal="right" vertical="center"/>
    </xf>
    <xf numFmtId="0" fontId="20" fillId="2" borderId="0" xfId="0" applyFont="1" applyFill="1" applyAlignment="1">
      <alignment vertical="center"/>
    </xf>
    <xf numFmtId="0" fontId="20" fillId="2" borderId="0" xfId="0" applyFont="1" applyFill="1" applyAlignment="1">
      <alignment vertical="center" wrapText="1"/>
    </xf>
    <xf numFmtId="4" fontId="20" fillId="2" borderId="0" xfId="0" applyNumberFormat="1" applyFont="1" applyFill="1" applyAlignment="1">
      <alignment horizontal="right" vertical="center"/>
    </xf>
    <xf numFmtId="0" fontId="21" fillId="0" borderId="0" xfId="0" applyFont="1" applyAlignment="1">
      <alignment wrapText="1"/>
    </xf>
    <xf numFmtId="4" fontId="21" fillId="0" borderId="0" xfId="0" applyNumberFormat="1" applyFont="1" applyAlignment="1">
      <alignment horizontal="right" wrapText="1"/>
    </xf>
    <xf numFmtId="0" fontId="17" fillId="0" borderId="6" xfId="0" applyFont="1" applyBorder="1" applyAlignment="1">
      <alignment vertical="center"/>
    </xf>
    <xf numFmtId="0" fontId="17" fillId="0" borderId="6" xfId="0" applyFont="1" applyBorder="1" applyAlignment="1">
      <alignment vertical="center" wrapText="1"/>
    </xf>
    <xf numFmtId="4" fontId="17" fillId="0" borderId="6" xfId="0" applyNumberFormat="1" applyFont="1" applyBorder="1" applyAlignment="1">
      <alignment horizontal="right" vertical="center"/>
    </xf>
    <xf numFmtId="0" fontId="17" fillId="0" borderId="7" xfId="0" applyFont="1" applyBorder="1" applyAlignment="1">
      <alignment vertical="center"/>
    </xf>
    <xf numFmtId="0" fontId="17" fillId="0" borderId="7" xfId="0" applyFont="1" applyBorder="1" applyAlignment="1">
      <alignment vertical="center" wrapText="1"/>
    </xf>
    <xf numFmtId="4" fontId="17" fillId="0" borderId="7" xfId="0" applyNumberFormat="1" applyFont="1" applyBorder="1" applyAlignment="1">
      <alignment horizontal="right" vertical="center"/>
    </xf>
    <xf numFmtId="0" fontId="17" fillId="0" borderId="5" xfId="0" applyFont="1" applyBorder="1" applyAlignment="1">
      <alignment vertical="center"/>
    </xf>
    <xf numFmtId="0" fontId="17" fillId="0" borderId="5" xfId="0" applyFont="1" applyBorder="1" applyAlignment="1">
      <alignment vertical="center" wrapText="1"/>
    </xf>
    <xf numFmtId="4" fontId="17" fillId="0" borderId="5" xfId="0" applyNumberFormat="1" applyFont="1" applyBorder="1" applyAlignment="1">
      <alignment horizontal="right" vertical="center"/>
    </xf>
    <xf numFmtId="0" fontId="13"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2" xfId="0" applyFont="1" applyBorder="1" applyAlignment="1">
      <alignment vertical="center"/>
    </xf>
    <xf numFmtId="0" fontId="17" fillId="0" borderId="0" xfId="0" applyFont="1" applyAlignment="1">
      <alignment horizontal="right" vertical="center"/>
    </xf>
    <xf numFmtId="164" fontId="16" fillId="0" borderId="2" xfId="0" applyNumberFormat="1" applyFont="1" applyBorder="1" applyAlignment="1">
      <alignment horizontal="left" vertical="center"/>
    </xf>
    <xf numFmtId="0" fontId="18" fillId="0" borderId="0" xfId="0" applyFont="1"/>
    <xf numFmtId="0" fontId="25" fillId="0" borderId="0" xfId="0" applyFont="1" applyAlignment="1">
      <alignment wrapText="1"/>
    </xf>
    <xf numFmtId="0" fontId="25" fillId="0" borderId="0" xfId="0" applyFont="1"/>
    <xf numFmtId="4" fontId="25" fillId="0" borderId="0" xfId="0" applyNumberFormat="1" applyFont="1" applyAlignment="1">
      <alignment horizontal="right"/>
    </xf>
    <xf numFmtId="0" fontId="26" fillId="0" borderId="0" xfId="1" applyFont="1" applyAlignment="1">
      <alignment horizontal="right"/>
    </xf>
    <xf numFmtId="0" fontId="23" fillId="0" borderId="8" xfId="0" applyFont="1" applyBorder="1" applyAlignment="1">
      <alignment vertical="center"/>
    </xf>
    <xf numFmtId="0" fontId="23" fillId="0" borderId="8" xfId="0" applyFont="1" applyBorder="1" applyAlignment="1">
      <alignment vertical="center" wrapText="1"/>
    </xf>
    <xf numFmtId="4" fontId="23" fillId="0" borderId="8" xfId="0" applyNumberFormat="1" applyFont="1" applyBorder="1" applyAlignment="1">
      <alignment horizontal="right" vertical="center"/>
    </xf>
    <xf numFmtId="0" fontId="25" fillId="2" borderId="0" xfId="0" applyFont="1" applyFill="1" applyAlignment="1">
      <alignment vertical="center" wrapText="1"/>
    </xf>
    <xf numFmtId="0" fontId="25" fillId="2" borderId="0" xfId="0" applyFont="1" applyFill="1" applyAlignment="1">
      <alignment vertical="center"/>
    </xf>
    <xf numFmtId="4" fontId="25" fillId="2" borderId="0" xfId="0" applyNumberFormat="1" applyFont="1" applyFill="1" applyAlignment="1">
      <alignment horizontal="right" vertical="center"/>
    </xf>
    <xf numFmtId="0" fontId="21" fillId="0" borderId="0" xfId="0" applyFont="1" applyAlignment="1">
      <alignment vertical="center"/>
    </xf>
    <xf numFmtId="0" fontId="21" fillId="0" borderId="0" xfId="0" applyFont="1" applyAlignment="1">
      <alignment vertical="center" wrapText="1"/>
    </xf>
    <xf numFmtId="4" fontId="21" fillId="0" borderId="0" xfId="0" applyNumberFormat="1" applyFont="1" applyAlignment="1">
      <alignment horizontal="right" vertical="center"/>
    </xf>
    <xf numFmtId="0" fontId="23" fillId="0" borderId="9" xfId="0" applyFont="1" applyBorder="1" applyAlignment="1">
      <alignment vertical="center"/>
    </xf>
    <xf numFmtId="0" fontId="23" fillId="0" borderId="9" xfId="0" applyFont="1" applyBorder="1" applyAlignment="1">
      <alignment vertical="center" wrapText="1"/>
    </xf>
    <xf numFmtId="4" fontId="23" fillId="0" borderId="9" xfId="0" applyNumberFormat="1" applyFont="1" applyBorder="1" applyAlignment="1">
      <alignment horizontal="right" vertical="center"/>
    </xf>
    <xf numFmtId="0" fontId="23" fillId="0" borderId="7" xfId="0" applyFont="1" applyBorder="1" applyAlignment="1">
      <alignment vertical="center"/>
    </xf>
    <xf numFmtId="0" fontId="23" fillId="0" borderId="7" xfId="0" applyFont="1" applyBorder="1" applyAlignment="1">
      <alignment vertical="center" wrapText="1"/>
    </xf>
    <xf numFmtId="4" fontId="23" fillId="0" borderId="7" xfId="0" applyNumberFormat="1" applyFont="1" applyBorder="1" applyAlignment="1">
      <alignment horizontal="right" vertical="center"/>
    </xf>
    <xf numFmtId="0" fontId="23" fillId="0" borderId="5" xfId="0" applyFont="1" applyBorder="1" applyAlignment="1">
      <alignment vertical="center"/>
    </xf>
    <xf numFmtId="0" fontId="23" fillId="0" borderId="5" xfId="0" applyFont="1" applyBorder="1" applyAlignment="1">
      <alignment vertical="center" wrapText="1"/>
    </xf>
    <xf numFmtId="4" fontId="23" fillId="0" borderId="5" xfId="0" applyNumberFormat="1" applyFont="1" applyBorder="1" applyAlignment="1">
      <alignment horizontal="right" vertical="center"/>
    </xf>
    <xf numFmtId="4" fontId="25" fillId="0" borderId="0" xfId="0" applyNumberFormat="1" applyFont="1" applyAlignment="1">
      <alignment horizontal="right" vertical="center"/>
    </xf>
    <xf numFmtId="0" fontId="20" fillId="0" borderId="5" xfId="0" applyFont="1" applyBorder="1" applyAlignment="1">
      <alignment vertical="center"/>
    </xf>
    <xf numFmtId="0" fontId="21" fillId="2" borderId="0" xfId="0" applyFont="1" applyFill="1" applyAlignment="1">
      <alignment vertical="center"/>
    </xf>
    <xf numFmtId="0" fontId="21" fillId="2" borderId="0" xfId="0" applyFont="1" applyFill="1" applyAlignment="1">
      <alignment vertical="center" wrapText="1"/>
    </xf>
    <xf numFmtId="4" fontId="21" fillId="2" borderId="0" xfId="0" applyNumberFormat="1" applyFont="1" applyFill="1" applyAlignment="1">
      <alignment horizontal="right" vertical="center"/>
    </xf>
    <xf numFmtId="0" fontId="25" fillId="0" borderId="0" xfId="0" applyFont="1" applyAlignment="1">
      <alignment vertical="center"/>
    </xf>
    <xf numFmtId="0" fontId="25" fillId="0" borderId="0" xfId="0" applyFont="1" applyAlignment="1">
      <alignment vertical="center" wrapText="1"/>
    </xf>
    <xf numFmtId="0" fontId="20" fillId="0" borderId="7" xfId="0" applyFont="1" applyBorder="1" applyAlignment="1">
      <alignment vertical="center"/>
    </xf>
    <xf numFmtId="0" fontId="21" fillId="0" borderId="5" xfId="0" applyFont="1" applyBorder="1" applyAlignment="1">
      <alignment vertical="center"/>
    </xf>
    <xf numFmtId="0" fontId="21" fillId="0" borderId="5" xfId="0" applyFont="1" applyBorder="1" applyAlignment="1">
      <alignment vertical="center" wrapText="1"/>
    </xf>
    <xf numFmtId="4" fontId="21" fillId="0" borderId="5" xfId="0" applyNumberFormat="1" applyFont="1" applyBorder="1" applyAlignment="1">
      <alignment horizontal="right" vertical="center"/>
    </xf>
    <xf numFmtId="0" fontId="20" fillId="0" borderId="9" xfId="0" applyFont="1" applyBorder="1" applyAlignment="1">
      <alignment vertical="center"/>
    </xf>
    <xf numFmtId="0" fontId="21" fillId="0" borderId="7" xfId="0" applyFont="1" applyBorder="1" applyAlignment="1">
      <alignment vertical="center"/>
    </xf>
    <xf numFmtId="0" fontId="21" fillId="0" borderId="7" xfId="0" applyFont="1" applyBorder="1" applyAlignment="1">
      <alignment vertical="center" wrapText="1"/>
    </xf>
    <xf numFmtId="4" fontId="21" fillId="0" borderId="7" xfId="0" applyNumberFormat="1" applyFont="1" applyBorder="1" applyAlignment="1">
      <alignment horizontal="right" vertical="center"/>
    </xf>
    <xf numFmtId="0" fontId="23" fillId="0" borderId="0" xfId="0" applyFont="1" applyAlignment="1">
      <alignment vertical="center" wrapText="1"/>
    </xf>
    <xf numFmtId="4" fontId="23" fillId="0" borderId="0" xfId="0" applyNumberFormat="1" applyFont="1" applyAlignment="1">
      <alignment horizontal="right" vertical="center"/>
    </xf>
    <xf numFmtId="0" fontId="27" fillId="0" borderId="0" xfId="0" applyFont="1" applyAlignment="1">
      <alignment vertical="top" wrapText="1"/>
    </xf>
    <xf numFmtId="4" fontId="27" fillId="0" borderId="0" xfId="0" applyNumberFormat="1" applyFont="1" applyAlignment="1">
      <alignment horizontal="right" vertical="top"/>
    </xf>
    <xf numFmtId="0" fontId="5" fillId="0" borderId="0" xfId="0" applyFont="1" applyAlignment="1">
      <alignment vertical="top"/>
    </xf>
    <xf numFmtId="0" fontId="6" fillId="0" borderId="0" xfId="0" applyFont="1" applyAlignment="1">
      <alignment vertical="top"/>
    </xf>
    <xf numFmtId="0" fontId="10" fillId="0" borderId="0" xfId="0" applyFont="1" applyAlignment="1">
      <alignment vertical="top"/>
    </xf>
    <xf numFmtId="0" fontId="10" fillId="0" borderId="2" xfId="0" applyFont="1" applyBorder="1" applyAlignment="1">
      <alignment vertical="top" wrapText="1"/>
    </xf>
    <xf numFmtId="4" fontId="10" fillId="0" borderId="0" xfId="0" applyNumberFormat="1" applyFont="1" applyAlignment="1">
      <alignment horizontal="right" vertical="top"/>
    </xf>
    <xf numFmtId="164" fontId="10" fillId="0" borderId="2" xfId="0" applyNumberFormat="1" applyFont="1" applyBorder="1" applyAlignment="1">
      <alignment horizontal="left" vertical="top"/>
    </xf>
    <xf numFmtId="4" fontId="10" fillId="0" borderId="2" xfId="0" applyNumberFormat="1" applyFont="1" applyBorder="1" applyAlignment="1">
      <alignment horizontal="right" vertical="top"/>
    </xf>
    <xf numFmtId="0" fontId="27"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4" fontId="4" fillId="0" borderId="0" xfId="0" applyNumberFormat="1" applyFont="1" applyAlignment="1">
      <alignment horizontal="right" vertical="top"/>
    </xf>
    <xf numFmtId="0" fontId="28" fillId="2" borderId="0" xfId="0" applyFont="1" applyFill="1" applyAlignment="1">
      <alignment vertical="center"/>
    </xf>
    <xf numFmtId="0" fontId="28" fillId="2" borderId="0" xfId="0" applyFont="1" applyFill="1" applyAlignment="1">
      <alignment vertical="center" wrapText="1"/>
    </xf>
    <xf numFmtId="4" fontId="28" fillId="2" borderId="0" xfId="0" applyNumberFormat="1" applyFont="1" applyFill="1" applyAlignment="1">
      <alignment horizontal="right" vertical="center"/>
    </xf>
    <xf numFmtId="0" fontId="29" fillId="0" borderId="0" xfId="0" applyFont="1" applyAlignment="1">
      <alignment wrapText="1"/>
    </xf>
    <xf numFmtId="4" fontId="29" fillId="0" borderId="0" xfId="0" applyNumberFormat="1" applyFont="1" applyAlignment="1">
      <alignment horizontal="right" wrapText="1"/>
    </xf>
    <xf numFmtId="4" fontId="30" fillId="0" borderId="0" xfId="0" applyNumberFormat="1" applyFont="1" applyAlignment="1">
      <alignment horizontal="right" vertical="top"/>
    </xf>
    <xf numFmtId="4" fontId="4" fillId="3" borderId="5" xfId="0" applyNumberFormat="1" applyFont="1" applyFill="1" applyBorder="1" applyAlignment="1">
      <alignment horizontal="right" vertical="top"/>
    </xf>
    <xf numFmtId="0" fontId="31" fillId="0" borderId="0" xfId="0" applyFont="1" applyAlignment="1">
      <alignment vertical="top" wrapText="1"/>
    </xf>
    <xf numFmtId="4" fontId="31" fillId="0" borderId="0" xfId="0" applyNumberFormat="1" applyFont="1" applyAlignment="1">
      <alignment horizontal="right" vertical="top" wrapText="1"/>
    </xf>
    <xf numFmtId="0" fontId="32" fillId="4" borderId="10" xfId="0" applyFont="1" applyFill="1" applyBorder="1" applyAlignment="1">
      <alignment horizontal="left" vertical="center"/>
    </xf>
    <xf numFmtId="44" fontId="32" fillId="4" borderId="10" xfId="0" applyNumberFormat="1" applyFont="1" applyFill="1" applyBorder="1" applyAlignment="1">
      <alignment horizontal="left" vertical="center"/>
    </xf>
    <xf numFmtId="0" fontId="33" fillId="5" borderId="12" xfId="0" applyFont="1" applyFill="1" applyBorder="1" applyAlignment="1">
      <alignment horizontal="center" vertical="center"/>
    </xf>
    <xf numFmtId="44" fontId="33" fillId="5" borderId="12" xfId="0" applyNumberFormat="1" applyFont="1" applyFill="1" applyBorder="1" applyAlignment="1">
      <alignment horizontal="left" vertical="center"/>
    </xf>
    <xf numFmtId="0" fontId="34" fillId="6" borderId="10" xfId="0" applyFont="1" applyFill="1" applyBorder="1" applyAlignment="1">
      <alignment horizontal="left" vertical="center"/>
    </xf>
    <xf numFmtId="44" fontId="34" fillId="6" borderId="10" xfId="0" applyNumberFormat="1" applyFont="1" applyFill="1" applyBorder="1" applyAlignment="1">
      <alignment horizontal="left" vertical="center"/>
    </xf>
    <xf numFmtId="0" fontId="34" fillId="7" borderId="10" xfId="0" applyFont="1" applyFill="1" applyBorder="1" applyAlignment="1">
      <alignment horizontal="left" vertical="center"/>
    </xf>
    <xf numFmtId="44" fontId="34" fillId="7" borderId="10" xfId="0" applyNumberFormat="1" applyFont="1" applyFill="1" applyBorder="1" applyAlignment="1">
      <alignment horizontal="left" vertical="center"/>
    </xf>
    <xf numFmtId="0" fontId="34" fillId="7" borderId="10" xfId="0" applyFont="1" applyFill="1" applyBorder="1" applyAlignment="1">
      <alignment horizontal="left" vertical="center" wrapText="1"/>
    </xf>
    <xf numFmtId="44" fontId="34" fillId="7" borderId="13" xfId="0" applyNumberFormat="1" applyFont="1" applyFill="1" applyBorder="1" applyAlignment="1">
      <alignment horizontal="left" vertical="center"/>
    </xf>
    <xf numFmtId="44" fontId="34" fillId="7" borderId="14" xfId="0" applyNumberFormat="1" applyFont="1" applyFill="1" applyBorder="1" applyAlignment="1">
      <alignment horizontal="left" vertical="center"/>
    </xf>
    <xf numFmtId="0" fontId="34" fillId="6" borderId="10" xfId="0" applyFont="1" applyFill="1" applyBorder="1" applyAlignment="1">
      <alignment horizontal="left" vertical="center" wrapText="1"/>
    </xf>
    <xf numFmtId="0" fontId="34" fillId="6" borderId="0" xfId="0" applyFont="1" applyFill="1" applyAlignment="1">
      <alignment horizontal="left" vertical="center"/>
    </xf>
    <xf numFmtId="0" fontId="32" fillId="4" borderId="15" xfId="0" applyFont="1" applyFill="1" applyBorder="1" applyAlignment="1">
      <alignment horizontal="left" vertical="center"/>
    </xf>
    <xf numFmtId="0" fontId="32" fillId="4" borderId="11" xfId="0" applyFont="1" applyFill="1" applyBorder="1" applyAlignment="1">
      <alignment vertical="center"/>
    </xf>
    <xf numFmtId="0" fontId="0" fillId="0" borderId="19" xfId="0" applyBorder="1"/>
    <xf numFmtId="0" fontId="0" fillId="0" borderId="20" xfId="0" applyBorder="1"/>
    <xf numFmtId="44" fontId="35" fillId="0" borderId="21" xfId="0" applyNumberFormat="1" applyFont="1" applyBorder="1" applyAlignment="1">
      <alignment horizontal="left" vertical="center"/>
    </xf>
    <xf numFmtId="0" fontId="33" fillId="5" borderId="10" xfId="0" applyFont="1" applyFill="1" applyBorder="1" applyAlignment="1">
      <alignment horizontal="center" vertical="center"/>
    </xf>
    <xf numFmtId="44" fontId="33" fillId="5" borderId="10" xfId="0" applyNumberFormat="1" applyFont="1" applyFill="1" applyBorder="1" applyAlignment="1">
      <alignment horizontal="left" vertical="center"/>
    </xf>
    <xf numFmtId="0" fontId="34" fillId="7" borderId="22" xfId="0" applyFont="1" applyFill="1" applyBorder="1" applyAlignment="1">
      <alignment horizontal="left" vertical="center"/>
    </xf>
    <xf numFmtId="44" fontId="34" fillId="7" borderId="22" xfId="0" applyNumberFormat="1" applyFont="1" applyFill="1" applyBorder="1" applyAlignment="1">
      <alignment horizontal="left" vertical="center"/>
    </xf>
    <xf numFmtId="0" fontId="34" fillId="6" borderId="23" xfId="0" applyFont="1" applyFill="1" applyBorder="1" applyAlignment="1">
      <alignment horizontal="left" vertical="center"/>
    </xf>
    <xf numFmtId="44" fontId="34" fillId="6" borderId="23" xfId="0" applyNumberFormat="1" applyFont="1" applyFill="1" applyBorder="1" applyAlignment="1">
      <alignment horizontal="left" vertical="center"/>
    </xf>
    <xf numFmtId="0" fontId="34" fillId="7" borderId="24" xfId="0" applyFont="1" applyFill="1" applyBorder="1" applyAlignment="1">
      <alignment horizontal="left" vertical="center"/>
    </xf>
    <xf numFmtId="0" fontId="34" fillId="7" borderId="23" xfId="0" applyFont="1" applyFill="1" applyBorder="1" applyAlignment="1">
      <alignment horizontal="left" vertical="center"/>
    </xf>
    <xf numFmtId="44" fontId="34" fillId="7" borderId="24" xfId="0" applyNumberFormat="1" applyFont="1" applyFill="1" applyBorder="1" applyAlignment="1">
      <alignment horizontal="left" vertical="center"/>
    </xf>
    <xf numFmtId="0" fontId="34" fillId="6" borderId="25" xfId="0" applyFont="1" applyFill="1" applyBorder="1" applyAlignment="1">
      <alignment horizontal="left" vertical="center"/>
    </xf>
    <xf numFmtId="0" fontId="34" fillId="6" borderId="26" xfId="0" applyFont="1" applyFill="1" applyBorder="1" applyAlignment="1">
      <alignment horizontal="left" vertical="center"/>
    </xf>
    <xf numFmtId="0" fontId="34" fillId="6" borderId="27" xfId="0" applyFont="1" applyFill="1" applyBorder="1" applyAlignment="1">
      <alignment horizontal="left" vertical="center"/>
    </xf>
    <xf numFmtId="0" fontId="32" fillId="4" borderId="11" xfId="0" applyFont="1" applyFill="1" applyBorder="1"/>
    <xf numFmtId="0" fontId="33" fillId="5" borderId="13" xfId="0" applyFont="1" applyFill="1" applyBorder="1" applyAlignment="1">
      <alignment horizontal="center" vertical="center"/>
    </xf>
    <xf numFmtId="44" fontId="33" fillId="5" borderId="13" xfId="0" applyNumberFormat="1" applyFont="1" applyFill="1" applyBorder="1" applyAlignment="1">
      <alignment horizontal="center" vertical="center"/>
    </xf>
    <xf numFmtId="0" fontId="34" fillId="6" borderId="12" xfId="0" applyFont="1" applyFill="1" applyBorder="1" applyAlignment="1">
      <alignment horizontal="left" vertical="center" wrapText="1"/>
    </xf>
    <xf numFmtId="44" fontId="34" fillId="6" borderId="12" xfId="0" applyNumberFormat="1" applyFont="1" applyFill="1" applyBorder="1" applyAlignment="1">
      <alignment horizontal="left" vertical="center"/>
    </xf>
    <xf numFmtId="44" fontId="34" fillId="7" borderId="10" xfId="0" applyNumberFormat="1" applyFont="1" applyFill="1" applyBorder="1" applyAlignment="1">
      <alignment horizontal="left" vertical="center" wrapText="1"/>
    </xf>
    <xf numFmtId="44" fontId="34" fillId="6" borderId="10" xfId="0" applyNumberFormat="1" applyFont="1" applyFill="1" applyBorder="1" applyAlignment="1">
      <alignment horizontal="left" vertical="center" wrapText="1"/>
    </xf>
    <xf numFmtId="0" fontId="34" fillId="7" borderId="12" xfId="0" applyFont="1" applyFill="1" applyBorder="1" applyAlignment="1">
      <alignment horizontal="left" vertical="center" wrapText="1"/>
    </xf>
    <xf numFmtId="0" fontId="34" fillId="7" borderId="19" xfId="0" applyFont="1" applyFill="1" applyBorder="1" applyAlignment="1">
      <alignment horizontal="left" vertical="center" wrapText="1"/>
    </xf>
    <xf numFmtId="44" fontId="34" fillId="7" borderId="22" xfId="0" applyNumberFormat="1" applyFont="1" applyFill="1" applyBorder="1" applyAlignment="1">
      <alignment horizontal="left" vertical="center" wrapText="1"/>
    </xf>
    <xf numFmtId="0" fontId="34" fillId="6" borderId="15" xfId="0" applyFont="1" applyFill="1" applyBorder="1" applyAlignment="1">
      <alignment horizontal="left" vertical="center" wrapText="1"/>
    </xf>
    <xf numFmtId="44" fontId="34" fillId="6" borderId="23" xfId="0" applyNumberFormat="1" applyFont="1" applyFill="1" applyBorder="1" applyAlignment="1">
      <alignment horizontal="left" vertical="center" wrapText="1"/>
    </xf>
    <xf numFmtId="0" fontId="34" fillId="7" borderId="15" xfId="0" applyFont="1" applyFill="1" applyBorder="1" applyAlignment="1">
      <alignment horizontal="left" vertical="center" wrapText="1"/>
    </xf>
    <xf numFmtId="44" fontId="34" fillId="7" borderId="23" xfId="0" applyNumberFormat="1" applyFont="1" applyFill="1" applyBorder="1" applyAlignment="1">
      <alignment horizontal="left" vertical="center" wrapText="1"/>
    </xf>
    <xf numFmtId="0" fontId="35" fillId="0" borderId="28" xfId="0" applyFont="1" applyBorder="1" applyAlignment="1">
      <alignment horizontal="left" vertical="center"/>
    </xf>
    <xf numFmtId="44" fontId="35" fillId="0" borderId="0" xfId="0" applyNumberFormat="1" applyFont="1" applyAlignment="1">
      <alignment horizontal="left" vertical="center"/>
    </xf>
    <xf numFmtId="0" fontId="35" fillId="0" borderId="35" xfId="0" applyFont="1" applyBorder="1" applyAlignment="1">
      <alignment horizontal="left" vertical="center"/>
    </xf>
    <xf numFmtId="0" fontId="33" fillId="5" borderId="12" xfId="0" applyFont="1" applyFill="1" applyBorder="1" applyAlignment="1">
      <alignment horizontal="left" vertical="center"/>
    </xf>
    <xf numFmtId="0" fontId="33" fillId="5" borderId="19" xfId="0" applyFont="1" applyFill="1" applyBorder="1" applyAlignment="1">
      <alignment horizontal="center" vertical="center"/>
    </xf>
    <xf numFmtId="44" fontId="33" fillId="5" borderId="22" xfId="0" applyNumberFormat="1" applyFont="1" applyFill="1" applyBorder="1" applyAlignment="1">
      <alignment horizontal="left" vertical="center"/>
    </xf>
    <xf numFmtId="44" fontId="33" fillId="5" borderId="12" xfId="0" applyNumberFormat="1" applyFont="1" applyFill="1" applyBorder="1" applyAlignment="1">
      <alignment horizontal="center" vertical="center"/>
    </xf>
    <xf numFmtId="0" fontId="32" fillId="4" borderId="16" xfId="0" applyFont="1" applyFill="1" applyBorder="1"/>
    <xf numFmtId="0" fontId="33" fillId="5" borderId="12" xfId="0" applyFont="1" applyFill="1" applyBorder="1" applyAlignment="1">
      <alignment horizontal="center" vertical="center" wrapText="1"/>
    </xf>
    <xf numFmtId="44" fontId="33" fillId="5" borderId="12" xfId="0" applyNumberFormat="1" applyFont="1" applyFill="1" applyBorder="1" applyAlignment="1">
      <alignment horizontal="center" vertical="center" wrapText="1"/>
    </xf>
    <xf numFmtId="44" fontId="33" fillId="5" borderId="36" xfId="0" applyNumberFormat="1" applyFont="1" applyFill="1" applyBorder="1" applyAlignment="1">
      <alignment horizontal="center" vertical="center" wrapText="1"/>
    </xf>
    <xf numFmtId="0" fontId="34" fillId="6" borderId="22" xfId="0" applyFont="1" applyFill="1" applyBorder="1" applyAlignment="1">
      <alignment horizontal="left" vertical="center" wrapText="1"/>
    </xf>
    <xf numFmtId="4" fontId="34" fillId="6" borderId="22" xfId="0" applyNumberFormat="1" applyFont="1" applyFill="1" applyBorder="1" applyAlignment="1">
      <alignment horizontal="left" vertical="center" wrapText="1"/>
    </xf>
    <xf numFmtId="44" fontId="34" fillId="6" borderId="22" xfId="0" applyNumberFormat="1" applyFont="1" applyFill="1" applyBorder="1" applyAlignment="1">
      <alignment horizontal="left" vertical="center" wrapText="1"/>
    </xf>
    <xf numFmtId="0" fontId="34" fillId="7" borderId="23" xfId="0" applyFont="1" applyFill="1" applyBorder="1" applyAlignment="1">
      <alignment horizontal="left" vertical="center" wrapText="1"/>
    </xf>
    <xf numFmtId="4" fontId="34" fillId="7" borderId="23" xfId="0" applyNumberFormat="1" applyFont="1" applyFill="1" applyBorder="1" applyAlignment="1">
      <alignment horizontal="left" vertical="center" wrapText="1"/>
    </xf>
    <xf numFmtId="0" fontId="34" fillId="6" borderId="23" xfId="0" applyFont="1" applyFill="1" applyBorder="1" applyAlignment="1">
      <alignment horizontal="left" vertical="center" wrapText="1"/>
    </xf>
    <xf numFmtId="4" fontId="34" fillId="6" borderId="23" xfId="0" applyNumberFormat="1" applyFont="1" applyFill="1" applyBorder="1" applyAlignment="1">
      <alignment horizontal="left" vertical="center" wrapText="1"/>
    </xf>
    <xf numFmtId="0" fontId="32" fillId="4" borderId="16" xfId="0" applyFont="1" applyFill="1" applyBorder="1" applyAlignment="1">
      <alignment vertical="center"/>
    </xf>
    <xf numFmtId="44" fontId="32" fillId="4" borderId="11" xfId="0" applyNumberFormat="1" applyFont="1" applyFill="1" applyBorder="1" applyAlignment="1">
      <alignment vertical="center"/>
    </xf>
    <xf numFmtId="0" fontId="33" fillId="5" borderId="12" xfId="0" applyFont="1" applyFill="1" applyBorder="1" applyAlignment="1">
      <alignment horizontal="left" vertical="center" wrapText="1"/>
    </xf>
    <xf numFmtId="0" fontId="32" fillId="4" borderId="16" xfId="0" applyFont="1" applyFill="1" applyBorder="1" applyAlignment="1">
      <alignment horizontal="left" vertical="center"/>
    </xf>
    <xf numFmtId="44" fontId="32" fillId="4" borderId="11" xfId="0" applyNumberFormat="1" applyFont="1" applyFill="1" applyBorder="1" applyAlignment="1">
      <alignment horizontal="left" vertical="center"/>
    </xf>
    <xf numFmtId="0" fontId="32" fillId="4" borderId="19" xfId="0" applyFont="1" applyFill="1" applyBorder="1"/>
    <xf numFmtId="0" fontId="32" fillId="4" borderId="11" xfId="0" applyFont="1" applyFill="1" applyBorder="1" applyAlignment="1">
      <alignment horizontal="left" vertical="center"/>
    </xf>
    <xf numFmtId="44" fontId="32" fillId="4" borderId="21" xfId="0" applyNumberFormat="1" applyFont="1" applyFill="1" applyBorder="1" applyAlignment="1">
      <alignment horizontal="left" vertical="center"/>
    </xf>
    <xf numFmtId="0" fontId="32" fillId="4" borderId="15" xfId="0" applyFont="1" applyFill="1" applyBorder="1"/>
    <xf numFmtId="0" fontId="32" fillId="4" borderId="15" xfId="0" applyFont="1" applyFill="1" applyBorder="1" applyAlignment="1">
      <alignment vertical="center"/>
    </xf>
    <xf numFmtId="0" fontId="32" fillId="4" borderId="13" xfId="0" applyFont="1" applyFill="1" applyBorder="1" applyAlignment="1">
      <alignment horizontal="left" vertical="center"/>
    </xf>
    <xf numFmtId="0" fontId="35" fillId="0" borderId="38" xfId="0" applyFont="1" applyBorder="1" applyAlignment="1">
      <alignment horizontal="left" vertical="center"/>
    </xf>
    <xf numFmtId="0" fontId="32" fillId="4" borderId="12" xfId="0" applyFont="1" applyFill="1" applyBorder="1" applyAlignment="1">
      <alignment vertical="center"/>
    </xf>
    <xf numFmtId="0" fontId="33" fillId="5" borderId="12" xfId="0" applyFont="1" applyFill="1" applyBorder="1" applyAlignment="1">
      <alignment vertical="center"/>
    </xf>
    <xf numFmtId="44" fontId="33" fillId="5" borderId="12" xfId="0" applyNumberFormat="1" applyFont="1" applyFill="1" applyBorder="1" applyAlignment="1">
      <alignment vertical="center"/>
    </xf>
    <xf numFmtId="0" fontId="34" fillId="6" borderId="10" xfId="0" applyFont="1" applyFill="1" applyBorder="1" applyAlignment="1">
      <alignment vertical="center"/>
    </xf>
    <xf numFmtId="44" fontId="34" fillId="6" borderId="10" xfId="0" applyNumberFormat="1" applyFont="1" applyFill="1" applyBorder="1" applyAlignment="1">
      <alignment vertical="center"/>
    </xf>
    <xf numFmtId="0" fontId="34" fillId="7" borderId="10" xfId="0" applyFont="1" applyFill="1" applyBorder="1" applyAlignment="1">
      <alignment vertical="center"/>
    </xf>
    <xf numFmtId="44" fontId="34" fillId="7" borderId="10" xfId="0" applyNumberFormat="1" applyFont="1" applyFill="1" applyBorder="1" applyAlignment="1">
      <alignment vertical="center"/>
    </xf>
    <xf numFmtId="44" fontId="35" fillId="0" borderId="0" xfId="0" applyNumberFormat="1" applyFont="1" applyAlignment="1">
      <alignment vertical="center"/>
    </xf>
    <xf numFmtId="0" fontId="32" fillId="4" borderId="10" xfId="0" applyFont="1" applyFill="1" applyBorder="1" applyAlignment="1">
      <alignment vertical="center"/>
    </xf>
    <xf numFmtId="44" fontId="32" fillId="4" borderId="10" xfId="0" applyNumberFormat="1" applyFont="1" applyFill="1" applyBorder="1" applyAlignment="1">
      <alignment vertical="center"/>
    </xf>
    <xf numFmtId="44" fontId="32" fillId="4" borderId="21" xfId="0" applyNumberFormat="1" applyFont="1" applyFill="1" applyBorder="1" applyAlignment="1">
      <alignment vertical="center"/>
    </xf>
    <xf numFmtId="0" fontId="33" fillId="5" borderId="10" xfId="0" applyFont="1" applyFill="1" applyBorder="1" applyAlignment="1">
      <alignment horizontal="left" vertical="center"/>
    </xf>
    <xf numFmtId="44" fontId="32" fillId="4" borderId="37" xfId="0" applyNumberFormat="1" applyFont="1" applyFill="1" applyBorder="1" applyAlignment="1">
      <alignment horizontal="left" vertical="center"/>
    </xf>
    <xf numFmtId="0" fontId="36" fillId="0" borderId="0" xfId="0" applyFont="1" applyAlignment="1">
      <alignment horizontal="left" vertical="center"/>
    </xf>
    <xf numFmtId="0" fontId="32" fillId="4" borderId="19" xfId="0" applyFont="1" applyFill="1" applyBorder="1" applyAlignment="1">
      <alignment horizontal="left" vertical="center"/>
    </xf>
    <xf numFmtId="0" fontId="34" fillId="0" borderId="41" xfId="0" applyFont="1" applyBorder="1" applyAlignment="1">
      <alignment horizontal="left" vertical="center"/>
    </xf>
    <xf numFmtId="0" fontId="34" fillId="0" borderId="42" xfId="0" applyFont="1" applyBorder="1" applyAlignment="1">
      <alignment horizontal="center" vertical="center"/>
    </xf>
    <xf numFmtId="44" fontId="34" fillId="0" borderId="43" xfId="0" applyNumberFormat="1" applyFont="1" applyBorder="1" applyAlignment="1">
      <alignment horizontal="right" vertical="center"/>
    </xf>
    <xf numFmtId="0" fontId="34" fillId="0" borderId="44" xfId="0" applyFont="1" applyBorder="1" applyAlignment="1">
      <alignment horizontal="left" vertical="center"/>
    </xf>
    <xf numFmtId="0" fontId="34" fillId="0" borderId="45" xfId="0" applyFont="1" applyBorder="1" applyAlignment="1">
      <alignment horizontal="center" vertical="center"/>
    </xf>
    <xf numFmtId="44" fontId="34" fillId="0" borderId="46" xfId="0" applyNumberFormat="1" applyFont="1" applyBorder="1" applyAlignment="1">
      <alignment horizontal="right" vertical="center"/>
    </xf>
    <xf numFmtId="0" fontId="34" fillId="0" borderId="47" xfId="0" applyFont="1" applyBorder="1" applyAlignment="1">
      <alignment horizontal="left" vertical="center"/>
    </xf>
    <xf numFmtId="0" fontId="34" fillId="0" borderId="48" xfId="0" applyFont="1" applyBorder="1" applyAlignment="1">
      <alignment horizontal="center" vertical="center"/>
    </xf>
    <xf numFmtId="0" fontId="34" fillId="0" borderId="49" xfId="0" applyFont="1" applyBorder="1" applyAlignment="1">
      <alignment horizontal="left" vertical="center"/>
    </xf>
    <xf numFmtId="44" fontId="34" fillId="0" borderId="50" xfId="0" applyNumberFormat="1" applyFont="1" applyBorder="1" applyAlignment="1">
      <alignment horizontal="right" vertical="center"/>
    </xf>
    <xf numFmtId="0" fontId="34" fillId="0" borderId="51" xfId="0" applyFont="1" applyBorder="1" applyAlignment="1">
      <alignment horizontal="left" vertical="center"/>
    </xf>
    <xf numFmtId="0" fontId="34" fillId="0" borderId="52" xfId="0" applyFont="1" applyBorder="1" applyAlignment="1">
      <alignment horizontal="left" vertical="center"/>
    </xf>
    <xf numFmtId="0" fontId="34" fillId="0" borderId="53" xfId="0" applyFont="1" applyBorder="1" applyAlignment="1">
      <alignment horizontal="center" vertical="center"/>
    </xf>
    <xf numFmtId="44" fontId="34" fillId="0" borderId="54" xfId="0" applyNumberFormat="1" applyFont="1" applyBorder="1" applyAlignment="1">
      <alignment horizontal="center" vertical="center"/>
    </xf>
    <xf numFmtId="0" fontId="34" fillId="6" borderId="12" xfId="0" applyFont="1" applyFill="1" applyBorder="1" applyAlignment="1">
      <alignment horizontal="left" vertical="center"/>
    </xf>
    <xf numFmtId="0" fontId="34" fillId="6" borderId="13" xfId="0" applyFont="1" applyFill="1" applyBorder="1" applyAlignment="1">
      <alignment horizontal="left" vertical="center"/>
    </xf>
    <xf numFmtId="44" fontId="34" fillId="6" borderId="13" xfId="0" applyNumberFormat="1" applyFont="1" applyFill="1" applyBorder="1" applyAlignment="1">
      <alignment horizontal="left" vertical="center"/>
    </xf>
    <xf numFmtId="0" fontId="34" fillId="6" borderId="39" xfId="0" applyFont="1" applyFill="1" applyBorder="1" applyAlignment="1">
      <alignment horizontal="left" vertical="center"/>
    </xf>
    <xf numFmtId="0" fontId="34" fillId="7" borderId="17" xfId="0" applyFont="1" applyFill="1" applyBorder="1" applyAlignment="1">
      <alignment horizontal="left" vertical="center"/>
    </xf>
    <xf numFmtId="0" fontId="34" fillId="7" borderId="26" xfId="0" applyFont="1" applyFill="1" applyBorder="1" applyAlignment="1">
      <alignment horizontal="left" vertical="center"/>
    </xf>
    <xf numFmtId="44" fontId="34" fillId="7" borderId="17" xfId="0" applyNumberFormat="1" applyFont="1" applyFill="1" applyBorder="1" applyAlignment="1">
      <alignment vertical="center"/>
    </xf>
    <xf numFmtId="0" fontId="34" fillId="7" borderId="12" xfId="0" applyFont="1" applyFill="1" applyBorder="1" applyAlignment="1">
      <alignment horizontal="left" vertical="center"/>
    </xf>
    <xf numFmtId="0" fontId="34" fillId="7" borderId="55" xfId="0" applyFont="1" applyFill="1" applyBorder="1" applyAlignment="1">
      <alignment horizontal="left" vertical="center"/>
    </xf>
    <xf numFmtId="44" fontId="34" fillId="7" borderId="12" xfId="0" applyNumberFormat="1" applyFont="1" applyFill="1" applyBorder="1" applyAlignment="1">
      <alignment vertical="center"/>
    </xf>
    <xf numFmtId="165" fontId="35" fillId="0" borderId="0" xfId="0" applyNumberFormat="1" applyFont="1" applyAlignment="1">
      <alignment horizontal="left" vertical="center"/>
    </xf>
    <xf numFmtId="0" fontId="34" fillId="7" borderId="0" xfId="0" applyFont="1" applyFill="1" applyAlignment="1">
      <alignment horizontal="left" vertical="center"/>
    </xf>
    <xf numFmtId="44" fontId="34" fillId="7" borderId="0" xfId="0" applyNumberFormat="1" applyFont="1" applyFill="1" applyAlignment="1">
      <alignment horizontal="left" vertical="center"/>
    </xf>
    <xf numFmtId="44" fontId="34" fillId="6" borderId="0" xfId="0" applyNumberFormat="1" applyFont="1" applyFill="1" applyAlignment="1">
      <alignment horizontal="left" vertical="center"/>
    </xf>
    <xf numFmtId="0" fontId="33" fillId="5" borderId="10" xfId="0" applyFont="1" applyFill="1" applyBorder="1" applyAlignment="1">
      <alignment vertical="center"/>
    </xf>
    <xf numFmtId="0" fontId="33" fillId="5" borderId="11" xfId="0" applyFont="1" applyFill="1" applyBorder="1" applyAlignment="1">
      <alignment horizontal="center" vertical="center"/>
    </xf>
    <xf numFmtId="44" fontId="33" fillId="5" borderId="10" xfId="0" applyNumberFormat="1" applyFont="1" applyFill="1" applyBorder="1" applyAlignment="1">
      <alignment horizontal="center" vertical="center"/>
    </xf>
    <xf numFmtId="0" fontId="33" fillId="5" borderId="13" xfId="0" applyFont="1" applyFill="1" applyBorder="1" applyAlignment="1">
      <alignment horizontal="left" vertical="center"/>
    </xf>
    <xf numFmtId="44" fontId="34" fillId="6" borderId="10" xfId="0" applyNumberFormat="1" applyFont="1" applyFill="1" applyBorder="1" applyAlignment="1">
      <alignment horizontal="center" vertical="center"/>
    </xf>
    <xf numFmtId="44" fontId="34" fillId="7" borderId="10" xfId="0" applyNumberFormat="1" applyFont="1" applyFill="1" applyBorder="1" applyAlignment="1">
      <alignment horizontal="center" vertical="center"/>
    </xf>
    <xf numFmtId="0" fontId="32" fillId="4" borderId="12" xfId="0" applyFont="1" applyFill="1" applyBorder="1" applyAlignment="1">
      <alignment horizontal="left" vertical="center"/>
    </xf>
    <xf numFmtId="0" fontId="32" fillId="4" borderId="10" xfId="0" applyFont="1" applyFill="1" applyBorder="1" applyAlignment="1">
      <alignment horizontal="center" vertical="center"/>
    </xf>
    <xf numFmtId="44" fontId="32" fillId="4" borderId="10" xfId="0" applyNumberFormat="1" applyFont="1" applyFill="1" applyBorder="1" applyAlignment="1">
      <alignment horizontal="center" vertical="center"/>
    </xf>
    <xf numFmtId="44" fontId="35" fillId="0" borderId="0" xfId="0" applyNumberFormat="1" applyFont="1" applyAlignment="1">
      <alignment horizontal="center" vertical="center"/>
    </xf>
    <xf numFmtId="44" fontId="36" fillId="0" borderId="0" xfId="0" applyNumberFormat="1" applyFont="1" applyAlignment="1">
      <alignment horizontal="center" vertical="center"/>
    </xf>
    <xf numFmtId="0" fontId="34" fillId="6" borderId="10" xfId="0" applyFont="1" applyFill="1" applyBorder="1" applyAlignment="1">
      <alignment horizontal="center" vertical="center"/>
    </xf>
    <xf numFmtId="0" fontId="34" fillId="7" borderId="10" xfId="0" applyFont="1" applyFill="1" applyBorder="1" applyAlignment="1">
      <alignment horizontal="center" vertical="center"/>
    </xf>
    <xf numFmtId="0" fontId="32" fillId="4" borderId="0" xfId="0" applyFont="1" applyFill="1"/>
    <xf numFmtId="0" fontId="32" fillId="4" borderId="13" xfId="0" applyFont="1" applyFill="1" applyBorder="1" applyAlignment="1">
      <alignment vertical="center"/>
    </xf>
    <xf numFmtId="44" fontId="32" fillId="4" borderId="13" xfId="0" applyNumberFormat="1" applyFont="1" applyFill="1" applyBorder="1" applyAlignment="1">
      <alignment vertical="center"/>
    </xf>
    <xf numFmtId="44" fontId="32" fillId="4" borderId="12" xfId="0" applyNumberFormat="1" applyFont="1" applyFill="1" applyBorder="1" applyAlignment="1">
      <alignment vertical="center"/>
    </xf>
    <xf numFmtId="4" fontId="33" fillId="5" borderId="10" xfId="0" applyNumberFormat="1" applyFont="1" applyFill="1" applyBorder="1" applyAlignment="1">
      <alignment horizontal="center" vertical="center"/>
    </xf>
    <xf numFmtId="0" fontId="34" fillId="0" borderId="10" xfId="0" applyFont="1" applyBorder="1" applyAlignment="1">
      <alignment horizontal="center" vertical="center"/>
    </xf>
    <xf numFmtId="44" fontId="34" fillId="0" borderId="10" xfId="0" applyNumberFormat="1" applyFont="1" applyBorder="1" applyAlignment="1">
      <alignment horizontal="center" vertical="center"/>
    </xf>
    <xf numFmtId="0" fontId="34" fillId="6" borderId="15" xfId="0" applyFont="1" applyFill="1" applyBorder="1" applyAlignment="1">
      <alignment horizontal="left" vertical="center"/>
    </xf>
    <xf numFmtId="44" fontId="34" fillId="6" borderId="16" xfId="0" applyNumberFormat="1" applyFont="1" applyFill="1" applyBorder="1" applyAlignment="1">
      <alignment horizontal="left" vertical="center"/>
    </xf>
    <xf numFmtId="44" fontId="34" fillId="6" borderId="11" xfId="0" applyNumberFormat="1" applyFont="1" applyFill="1" applyBorder="1" applyAlignment="1">
      <alignment horizontal="left" vertical="center"/>
    </xf>
    <xf numFmtId="0" fontId="34" fillId="7" borderId="13" xfId="0" applyFont="1" applyFill="1" applyBorder="1" applyAlignment="1">
      <alignment horizontal="left" vertical="center"/>
    </xf>
    <xf numFmtId="44" fontId="32" fillId="4" borderId="13" xfId="0" applyNumberFormat="1" applyFont="1" applyFill="1" applyBorder="1" applyAlignment="1">
      <alignment horizontal="left" vertical="center"/>
    </xf>
    <xf numFmtId="44" fontId="32" fillId="4" borderId="12" xfId="0" applyNumberFormat="1" applyFont="1" applyFill="1" applyBorder="1" applyAlignment="1">
      <alignment horizontal="left" vertical="center"/>
    </xf>
    <xf numFmtId="44" fontId="35" fillId="0" borderId="0" xfId="0" applyNumberFormat="1" applyFont="1"/>
    <xf numFmtId="0" fontId="34" fillId="6" borderId="10" xfId="0" applyFont="1" applyFill="1" applyBorder="1"/>
    <xf numFmtId="44" fontId="34" fillId="6" borderId="10" xfId="0" applyNumberFormat="1" applyFont="1" applyFill="1" applyBorder="1"/>
    <xf numFmtId="0" fontId="34" fillId="7" borderId="10" xfId="0" applyFont="1" applyFill="1" applyBorder="1"/>
    <xf numFmtId="44" fontId="34" fillId="7" borderId="10" xfId="0" applyNumberFormat="1" applyFont="1" applyFill="1" applyBorder="1"/>
    <xf numFmtId="0" fontId="32" fillId="4" borderId="10" xfId="0" applyFont="1" applyFill="1" applyBorder="1"/>
    <xf numFmtId="44" fontId="32" fillId="4" borderId="0" xfId="0" applyNumberFormat="1" applyFont="1" applyFill="1"/>
    <xf numFmtId="44" fontId="33" fillId="5" borderId="10" xfId="0" applyNumberFormat="1" applyFont="1" applyFill="1" applyBorder="1" applyAlignment="1">
      <alignment vertical="center"/>
    </xf>
    <xf numFmtId="44" fontId="32" fillId="4" borderId="10" xfId="0" applyNumberFormat="1" applyFont="1" applyFill="1" applyBorder="1"/>
    <xf numFmtId="44" fontId="33" fillId="5" borderId="15" xfId="0" applyNumberFormat="1" applyFont="1" applyFill="1" applyBorder="1" applyAlignment="1">
      <alignment horizontal="left" vertical="center"/>
    </xf>
    <xf numFmtId="44" fontId="33" fillId="5" borderId="11" xfId="0" applyNumberFormat="1" applyFont="1" applyFill="1" applyBorder="1" applyAlignment="1">
      <alignment horizontal="left" vertical="center"/>
    </xf>
    <xf numFmtId="0" fontId="33" fillId="5" borderId="15" xfId="0" applyFont="1" applyFill="1" applyBorder="1" applyAlignment="1">
      <alignment horizontal="left" vertical="center"/>
    </xf>
    <xf numFmtId="0" fontId="33" fillId="5" borderId="40" xfId="0" applyFont="1" applyFill="1" applyBorder="1" applyAlignment="1">
      <alignment horizontal="left" vertical="center"/>
    </xf>
    <xf numFmtId="44" fontId="33" fillId="5" borderId="13" xfId="0" applyNumberFormat="1" applyFont="1" applyFill="1" applyBorder="1" applyAlignment="1">
      <alignment horizontal="left" vertical="center"/>
    </xf>
    <xf numFmtId="0" fontId="34" fillId="7" borderId="40" xfId="0" applyFont="1" applyFill="1" applyBorder="1" applyAlignment="1">
      <alignment horizontal="left" vertical="center"/>
    </xf>
    <xf numFmtId="44" fontId="34" fillId="7" borderId="39" xfId="0" applyNumberFormat="1" applyFont="1" applyFill="1" applyBorder="1" applyAlignment="1">
      <alignment horizontal="left" vertical="center"/>
    </xf>
    <xf numFmtId="44" fontId="34" fillId="7" borderId="37" xfId="0" applyNumberFormat="1" applyFont="1" applyFill="1" applyBorder="1" applyAlignment="1">
      <alignment horizontal="left" vertical="center"/>
    </xf>
    <xf numFmtId="0" fontId="34" fillId="7" borderId="19" xfId="0" applyFont="1" applyFill="1" applyBorder="1" applyAlignment="1">
      <alignment horizontal="left" vertical="center"/>
    </xf>
    <xf numFmtId="44" fontId="34" fillId="7" borderId="20" xfId="0" applyNumberFormat="1" applyFont="1" applyFill="1" applyBorder="1" applyAlignment="1">
      <alignment horizontal="left" vertical="center"/>
    </xf>
    <xf numFmtId="0" fontId="33" fillId="5" borderId="10" xfId="0" applyFont="1" applyFill="1" applyBorder="1"/>
    <xf numFmtId="44" fontId="34" fillId="6" borderId="10" xfId="2" applyFont="1" applyFill="1" applyBorder="1"/>
    <xf numFmtId="44" fontId="34" fillId="7" borderId="10" xfId="2" applyFont="1" applyFill="1" applyBorder="1"/>
    <xf numFmtId="0" fontId="32" fillId="4" borderId="39" xfId="0" applyFont="1" applyFill="1" applyBorder="1"/>
    <xf numFmtId="0" fontId="32" fillId="4" borderId="37" xfId="0" applyFont="1" applyFill="1" applyBorder="1"/>
    <xf numFmtId="0" fontId="33" fillId="5" borderId="15" xfId="0" applyFont="1" applyFill="1" applyBorder="1"/>
    <xf numFmtId="0" fontId="34" fillId="6" borderId="10" xfId="0" applyFont="1" applyFill="1" applyBorder="1" applyAlignment="1">
      <alignment vertical="center" wrapText="1"/>
    </xf>
    <xf numFmtId="0" fontId="32" fillId="4" borderId="0" xfId="0" applyFont="1" applyFill="1" applyAlignment="1">
      <alignment horizontal="left" vertical="center"/>
    </xf>
    <xf numFmtId="44" fontId="32" fillId="4" borderId="16" xfId="0" applyNumberFormat="1" applyFont="1" applyFill="1" applyBorder="1" applyAlignment="1">
      <alignment vertical="center"/>
    </xf>
    <xf numFmtId="44" fontId="35" fillId="0" borderId="0" xfId="0" applyNumberFormat="1" applyFont="1" applyAlignment="1">
      <alignment vertical="center" wrapText="1"/>
    </xf>
    <xf numFmtId="44" fontId="33" fillId="5" borderId="10" xfId="0" applyNumberFormat="1" applyFont="1" applyFill="1" applyBorder="1" applyAlignment="1">
      <alignment vertical="center" wrapText="1"/>
    </xf>
    <xf numFmtId="44" fontId="34" fillId="6" borderId="10" xfId="0" applyNumberFormat="1" applyFont="1" applyFill="1" applyBorder="1" applyAlignment="1">
      <alignment vertical="center" wrapText="1"/>
    </xf>
    <xf numFmtId="44" fontId="34" fillId="7" borderId="10" xfId="0" applyNumberFormat="1" applyFont="1" applyFill="1" applyBorder="1" applyAlignment="1">
      <alignment vertical="center" wrapText="1"/>
    </xf>
    <xf numFmtId="44" fontId="32" fillId="4" borderId="16" xfId="0" applyNumberFormat="1" applyFont="1" applyFill="1" applyBorder="1" applyAlignment="1">
      <alignment vertical="center" wrapText="1"/>
    </xf>
    <xf numFmtId="44" fontId="35" fillId="0" borderId="11" xfId="0" applyNumberFormat="1" applyFont="1" applyBorder="1" applyAlignment="1">
      <alignment vertical="center"/>
    </xf>
    <xf numFmtId="44" fontId="39" fillId="0" borderId="0" xfId="0" applyNumberFormat="1" applyFont="1" applyAlignment="1">
      <alignment vertical="center"/>
    </xf>
    <xf numFmtId="0" fontId="34" fillId="0" borderId="0" xfId="0" applyFont="1"/>
    <xf numFmtId="0" fontId="40" fillId="8" borderId="10" xfId="0" applyFont="1" applyFill="1" applyBorder="1" applyAlignment="1">
      <alignment horizontal="center" vertical="center"/>
    </xf>
    <xf numFmtId="44" fontId="34" fillId="0" borderId="0" xfId="0" applyNumberFormat="1" applyFont="1" applyAlignment="1">
      <alignment vertical="center"/>
    </xf>
    <xf numFmtId="0" fontId="34" fillId="0" borderId="0" xfId="0" applyFont="1" applyAlignment="1">
      <alignment horizontal="center" vertical="center"/>
    </xf>
    <xf numFmtId="0" fontId="32" fillId="4" borderId="0" xfId="0" applyFont="1" applyFill="1" applyAlignment="1">
      <alignment vertical="center"/>
    </xf>
    <xf numFmtId="44" fontId="32" fillId="4" borderId="0" xfId="0" applyNumberFormat="1" applyFont="1" applyFill="1" applyAlignment="1">
      <alignment vertical="center"/>
    </xf>
    <xf numFmtId="0" fontId="34" fillId="0" borderId="40" xfId="0" applyFont="1" applyBorder="1" applyAlignment="1">
      <alignment vertical="center"/>
    </xf>
    <xf numFmtId="0" fontId="34" fillId="0" borderId="39" xfId="0" applyFont="1" applyBorder="1"/>
    <xf numFmtId="44" fontId="34" fillId="0" borderId="37" xfId="0" applyNumberFormat="1" applyFont="1" applyBorder="1" applyAlignment="1">
      <alignment vertical="center"/>
    </xf>
    <xf numFmtId="0" fontId="34" fillId="0" borderId="38" xfId="0" applyFont="1" applyBorder="1" applyAlignment="1">
      <alignment vertical="center"/>
    </xf>
    <xf numFmtId="44" fontId="34" fillId="0" borderId="18" xfId="0" applyNumberFormat="1" applyFont="1" applyBorder="1" applyAlignment="1">
      <alignment vertical="center"/>
    </xf>
    <xf numFmtId="0" fontId="0" fillId="0" borderId="38" xfId="0" applyBorder="1"/>
    <xf numFmtId="44" fontId="35" fillId="0" borderId="18" xfId="0" applyNumberFormat="1" applyFont="1" applyBorder="1" applyAlignment="1">
      <alignment vertical="center"/>
    </xf>
    <xf numFmtId="0" fontId="40" fillId="0" borderId="38" xfId="0" applyFont="1" applyBorder="1" applyAlignment="1">
      <alignment vertical="center"/>
    </xf>
    <xf numFmtId="0" fontId="34" fillId="0" borderId="19" xfId="0" applyFont="1" applyBorder="1" applyAlignment="1">
      <alignment vertical="center"/>
    </xf>
    <xf numFmtId="0" fontId="34" fillId="0" borderId="20" xfId="0" applyFont="1" applyBorder="1"/>
    <xf numFmtId="44" fontId="34" fillId="0" borderId="21" xfId="0" applyNumberFormat="1" applyFont="1" applyBorder="1" applyAlignment="1">
      <alignment vertical="center"/>
    </xf>
    <xf numFmtId="44" fontId="32" fillId="4" borderId="0" xfId="0" applyNumberFormat="1" applyFont="1" applyFill="1" applyAlignment="1">
      <alignment horizontal="left" vertical="center"/>
    </xf>
    <xf numFmtId="0" fontId="36" fillId="0" borderId="0" xfId="0" applyFont="1" applyAlignment="1">
      <alignment horizontal="center" vertical="center"/>
    </xf>
    <xf numFmtId="44" fontId="34" fillId="6" borderId="10" xfId="2" applyFont="1" applyFill="1" applyBorder="1" applyAlignment="1">
      <alignment vertical="center"/>
    </xf>
    <xf numFmtId="44" fontId="34" fillId="7" borderId="10" xfId="2" applyFont="1" applyFill="1" applyBorder="1" applyAlignment="1">
      <alignment vertical="center"/>
    </xf>
    <xf numFmtId="0" fontId="41" fillId="0" borderId="0" xfId="0" applyFont="1"/>
    <xf numFmtId="0" fontId="16" fillId="0" borderId="2" xfId="0" applyFont="1" applyBorder="1"/>
    <xf numFmtId="0" fontId="17" fillId="0" borderId="0" xfId="0" applyFont="1" applyAlignment="1">
      <alignment horizontal="left"/>
    </xf>
    <xf numFmtId="4" fontId="17" fillId="0" borderId="0" xfId="0" applyNumberFormat="1" applyFont="1" applyAlignment="1">
      <alignment horizontal="right"/>
    </xf>
    <xf numFmtId="4" fontId="9" fillId="0" borderId="0" xfId="1" applyNumberFormat="1" applyFont="1" applyAlignment="1">
      <alignment horizontal="right" vertical="center"/>
    </xf>
    <xf numFmtId="0" fontId="21" fillId="0" borderId="0" xfId="0" applyFont="1" applyAlignment="1">
      <alignment horizontal="left" wrapText="1"/>
    </xf>
    <xf numFmtId="0" fontId="17" fillId="0" borderId="9" xfId="0" applyFont="1" applyBorder="1" applyAlignment="1">
      <alignment vertical="top"/>
    </xf>
    <xf numFmtId="0" fontId="17" fillId="0" borderId="9" xfId="0" applyFont="1" applyBorder="1" applyAlignment="1">
      <alignment vertical="top" wrapText="1"/>
    </xf>
    <xf numFmtId="0" fontId="17" fillId="0" borderId="9" xfId="0" applyFont="1" applyBorder="1" applyAlignment="1">
      <alignment horizontal="left" vertical="top"/>
    </xf>
    <xf numFmtId="4" fontId="17" fillId="0" borderId="9" xfId="0" applyNumberFormat="1" applyFont="1" applyBorder="1" applyAlignment="1">
      <alignment horizontal="right" vertical="top"/>
    </xf>
    <xf numFmtId="0" fontId="17" fillId="0" borderId="7" xfId="0" applyFont="1" applyBorder="1" applyAlignment="1">
      <alignment vertical="top"/>
    </xf>
    <xf numFmtId="0" fontId="17" fillId="0" borderId="7" xfId="0" applyFont="1" applyBorder="1" applyAlignment="1">
      <alignment vertical="top" wrapText="1"/>
    </xf>
    <xf numFmtId="0" fontId="17" fillId="0" borderId="7" xfId="0" applyFont="1" applyBorder="1" applyAlignment="1">
      <alignment horizontal="left" vertical="top"/>
    </xf>
    <xf numFmtId="4" fontId="17" fillId="0" borderId="7" xfId="0" applyNumberFormat="1" applyFont="1" applyBorder="1" applyAlignment="1">
      <alignment horizontal="right" vertical="top"/>
    </xf>
    <xf numFmtId="0" fontId="17" fillId="0" borderId="5" xfId="0" applyFont="1" applyBorder="1" applyAlignment="1">
      <alignment vertical="top"/>
    </xf>
    <xf numFmtId="0" fontId="17" fillId="0" borderId="5" xfId="0" applyFont="1" applyBorder="1" applyAlignment="1">
      <alignment vertical="top" wrapText="1"/>
    </xf>
    <xf numFmtId="0" fontId="17" fillId="0" borderId="5" xfId="0" applyFont="1" applyBorder="1" applyAlignment="1">
      <alignment horizontal="left" vertical="top"/>
    </xf>
    <xf numFmtId="4" fontId="17" fillId="0" borderId="5" xfId="0" applyNumberFormat="1" applyFont="1" applyBorder="1" applyAlignment="1">
      <alignment horizontal="right" vertical="top"/>
    </xf>
    <xf numFmtId="0" fontId="17" fillId="0" borderId="57" xfId="0" applyFont="1" applyBorder="1" applyAlignment="1">
      <alignment vertical="top"/>
    </xf>
    <xf numFmtId="0" fontId="17" fillId="0" borderId="57" xfId="0" applyFont="1" applyBorder="1" applyAlignment="1">
      <alignment vertical="top" wrapText="1"/>
    </xf>
    <xf numFmtId="0" fontId="17" fillId="0" borderId="57" xfId="0" applyFont="1" applyBorder="1" applyAlignment="1">
      <alignment horizontal="left" vertical="top"/>
    </xf>
    <xf numFmtId="4" fontId="17" fillId="0" borderId="57" xfId="0" applyNumberFormat="1" applyFont="1" applyBorder="1" applyAlignment="1">
      <alignment horizontal="right" vertical="top"/>
    </xf>
    <xf numFmtId="0" fontId="42" fillId="0" borderId="0" xfId="3"/>
    <xf numFmtId="8" fontId="43" fillId="0" borderId="0" xfId="3" applyNumberFormat="1" applyFont="1"/>
    <xf numFmtId="167" fontId="42" fillId="0" borderId="0" xfId="3" applyNumberFormat="1"/>
    <xf numFmtId="0" fontId="45" fillId="0" borderId="0" xfId="3" applyFont="1"/>
    <xf numFmtId="0" fontId="42" fillId="0" borderId="0" xfId="3" applyAlignment="1">
      <alignment horizontal="center"/>
    </xf>
    <xf numFmtId="0" fontId="44" fillId="0" borderId="0" xfId="5"/>
    <xf numFmtId="0" fontId="47" fillId="0" borderId="0" xfId="3" applyFont="1"/>
    <xf numFmtId="0" fontId="49" fillId="0" borderId="10" xfId="3" applyFont="1" applyBorder="1" applyAlignment="1">
      <alignment vertical="center"/>
    </xf>
    <xf numFmtId="4" fontId="49" fillId="9" borderId="10" xfId="4" applyNumberFormat="1" applyFont="1" applyFill="1" applyBorder="1" applyAlignment="1">
      <alignment horizontal="center" vertical="center"/>
    </xf>
    <xf numFmtId="4" fontId="49" fillId="9" borderId="10" xfId="3" applyNumberFormat="1" applyFont="1" applyFill="1" applyBorder="1" applyAlignment="1">
      <alignment horizontal="center" vertical="center"/>
    </xf>
    <xf numFmtId="0" fontId="49" fillId="0" borderId="10" xfId="3" applyFont="1" applyBorder="1" applyAlignment="1">
      <alignment vertical="center" wrapText="1"/>
    </xf>
    <xf numFmtId="4" fontId="49" fillId="9" borderId="10" xfId="4" applyNumberFormat="1" applyFont="1" applyFill="1" applyBorder="1" applyAlignment="1">
      <alignment horizontal="right" vertical="center"/>
    </xf>
    <xf numFmtId="4" fontId="49" fillId="9" borderId="10" xfId="3" applyNumberFormat="1" applyFont="1" applyFill="1" applyBorder="1" applyAlignment="1">
      <alignment horizontal="right" vertical="center"/>
    </xf>
    <xf numFmtId="168" fontId="50" fillId="10" borderId="10" xfId="3" applyNumberFormat="1" applyFont="1" applyFill="1" applyBorder="1" applyAlignment="1">
      <alignment horizontal="center" vertical="center"/>
    </xf>
    <xf numFmtId="0" fontId="47" fillId="11" borderId="38" xfId="3" applyFont="1" applyFill="1" applyBorder="1"/>
    <xf numFmtId="0" fontId="47" fillId="0" borderId="38" xfId="3" applyFont="1" applyBorder="1"/>
    <xf numFmtId="0" fontId="49" fillId="0" borderId="10" xfId="3" applyFont="1" applyBorder="1" applyAlignment="1">
      <alignment horizontal="center" vertical="center"/>
    </xf>
    <xf numFmtId="0" fontId="53" fillId="0" borderId="10" xfId="3" applyFont="1" applyBorder="1" applyAlignment="1">
      <alignment horizontal="center" vertical="center"/>
    </xf>
    <xf numFmtId="0" fontId="49" fillId="9" borderId="10" xfId="3" applyFont="1" applyFill="1" applyBorder="1" applyAlignment="1">
      <alignment horizontal="center" vertical="center"/>
    </xf>
    <xf numFmtId="9" fontId="49" fillId="9" borderId="10" xfId="3" applyNumberFormat="1" applyFont="1" applyFill="1" applyBorder="1" applyAlignment="1">
      <alignment horizontal="center" vertical="center"/>
    </xf>
    <xf numFmtId="0" fontId="51" fillId="0" borderId="10" xfId="3" applyFont="1" applyBorder="1" applyAlignment="1">
      <alignment vertical="center"/>
    </xf>
    <xf numFmtId="0" fontId="56" fillId="0" borderId="10" xfId="3" applyFont="1" applyBorder="1" applyAlignment="1">
      <alignment horizontal="center" vertical="center"/>
    </xf>
    <xf numFmtId="0" fontId="57" fillId="0" borderId="0" xfId="5" applyFont="1"/>
    <xf numFmtId="166" fontId="58" fillId="0" borderId="0" xfId="5" applyNumberFormat="1" applyFont="1" applyAlignment="1">
      <alignment horizontal="left"/>
    </xf>
    <xf numFmtId="0" fontId="57" fillId="10" borderId="10" xfId="5" applyFont="1" applyFill="1" applyBorder="1"/>
    <xf numFmtId="0" fontId="57" fillId="0" borderId="38" xfId="5" applyFont="1" applyBorder="1"/>
    <xf numFmtId="0" fontId="57" fillId="0" borderId="18" xfId="5" applyFont="1" applyBorder="1"/>
    <xf numFmtId="0" fontId="47" fillId="0" borderId="0" xfId="3" applyFont="1" applyAlignment="1">
      <alignment horizontal="center"/>
    </xf>
    <xf numFmtId="0" fontId="47" fillId="0" borderId="18" xfId="3" applyFont="1" applyBorder="1"/>
    <xf numFmtId="0" fontId="57" fillId="12" borderId="10" xfId="5" applyFont="1" applyFill="1" applyBorder="1" applyAlignment="1">
      <alignment horizontal="center" vertical="center"/>
    </xf>
    <xf numFmtId="0" fontId="57" fillId="12" borderId="10" xfId="5" applyFont="1" applyFill="1" applyBorder="1"/>
    <xf numFmtId="0" fontId="42" fillId="12" borderId="0" xfId="3" applyFill="1"/>
    <xf numFmtId="0" fontId="47" fillId="12" borderId="10" xfId="3" applyFont="1" applyFill="1" applyBorder="1" applyAlignment="1">
      <alignment horizontal="left"/>
    </xf>
    <xf numFmtId="0" fontId="52" fillId="12" borderId="10" xfId="3" applyFont="1" applyFill="1" applyBorder="1" applyAlignment="1">
      <alignment horizontal="center" vertical="center"/>
    </xf>
    <xf numFmtId="0" fontId="48" fillId="13" borderId="10" xfId="3" applyFont="1" applyFill="1" applyBorder="1" applyAlignment="1">
      <alignment horizontal="center"/>
    </xf>
    <xf numFmtId="0" fontId="49" fillId="13" borderId="10" xfId="3" applyFont="1" applyFill="1" applyBorder="1" applyAlignment="1">
      <alignment horizontal="center" vertical="center"/>
    </xf>
    <xf numFmtId="14" fontId="58" fillId="13" borderId="10" xfId="5" applyNumberFormat="1" applyFont="1" applyFill="1" applyBorder="1" applyAlignment="1">
      <alignment horizontal="left" vertical="center"/>
    </xf>
    <xf numFmtId="20" fontId="57" fillId="13" borderId="10" xfId="5" applyNumberFormat="1" applyFont="1" applyFill="1" applyBorder="1" applyAlignment="1">
      <alignment horizontal="left" vertical="center"/>
    </xf>
    <xf numFmtId="0" fontId="48" fillId="14" borderId="10" xfId="3" applyFont="1" applyFill="1" applyBorder="1" applyAlignment="1">
      <alignment horizontal="center"/>
    </xf>
    <xf numFmtId="14" fontId="58" fillId="15" borderId="10" xfId="5" applyNumberFormat="1" applyFont="1" applyFill="1" applyBorder="1" applyAlignment="1">
      <alignment horizontal="left" vertical="center"/>
    </xf>
    <xf numFmtId="20" fontId="57" fillId="15" borderId="10" xfId="5" applyNumberFormat="1" applyFont="1" applyFill="1" applyBorder="1" applyAlignment="1">
      <alignment horizontal="left" vertical="center"/>
    </xf>
    <xf numFmtId="0" fontId="57" fillId="15" borderId="10" xfId="5" applyFont="1" applyFill="1" applyBorder="1" applyAlignment="1">
      <alignment horizontal="left" vertical="center"/>
    </xf>
    <xf numFmtId="0" fontId="48" fillId="15" borderId="10" xfId="3" applyFont="1" applyFill="1" applyBorder="1" applyAlignment="1">
      <alignment horizontal="center"/>
    </xf>
    <xf numFmtId="0" fontId="49" fillId="15" borderId="10" xfId="3" applyFont="1" applyFill="1" applyBorder="1" applyAlignment="1">
      <alignment horizontal="center" vertical="center"/>
    </xf>
    <xf numFmtId="0" fontId="47" fillId="0" borderId="19" xfId="3" applyFont="1" applyBorder="1" applyAlignment="1">
      <alignment horizontal="center"/>
    </xf>
    <xf numFmtId="0" fontId="47" fillId="0" borderId="21" xfId="3" applyFont="1" applyBorder="1" applyAlignment="1">
      <alignment horizontal="center"/>
    </xf>
    <xf numFmtId="0" fontId="47" fillId="0" borderId="20" xfId="3" applyFont="1" applyBorder="1" applyAlignment="1">
      <alignment horizontal="center"/>
    </xf>
    <xf numFmtId="165" fontId="50" fillId="12" borderId="15" xfId="3" applyNumberFormat="1" applyFont="1" applyFill="1" applyBorder="1" applyAlignment="1">
      <alignment horizontal="center" vertical="center"/>
    </xf>
    <xf numFmtId="165" fontId="50" fillId="12" borderId="16" xfId="3" applyNumberFormat="1" applyFont="1" applyFill="1" applyBorder="1" applyAlignment="1">
      <alignment horizontal="center" vertical="center"/>
    </xf>
    <xf numFmtId="165" fontId="50" fillId="12" borderId="11" xfId="3" applyNumberFormat="1" applyFont="1" applyFill="1" applyBorder="1" applyAlignment="1">
      <alignment horizontal="center" vertical="center"/>
    </xf>
    <xf numFmtId="0" fontId="48" fillId="15" borderId="15" xfId="3" applyFont="1" applyFill="1" applyBorder="1" applyAlignment="1">
      <alignment horizontal="center" vertical="center"/>
    </xf>
    <xf numFmtId="0" fontId="48" fillId="15" borderId="16" xfId="3" applyFont="1" applyFill="1" applyBorder="1" applyAlignment="1">
      <alignment horizontal="center" vertical="center"/>
    </xf>
    <xf numFmtId="0" fontId="48" fillId="15" borderId="11" xfId="3" applyFont="1" applyFill="1" applyBorder="1" applyAlignment="1">
      <alignment horizontal="center" vertical="center"/>
    </xf>
    <xf numFmtId="0" fontId="47" fillId="12" borderId="10" xfId="3" applyFont="1" applyFill="1" applyBorder="1" applyAlignment="1">
      <alignment horizontal="left"/>
    </xf>
    <xf numFmtId="166" fontId="48" fillId="15" borderId="10" xfId="3" applyNumberFormat="1" applyFont="1" applyFill="1" applyBorder="1" applyAlignment="1">
      <alignment horizontal="center"/>
    </xf>
    <xf numFmtId="0" fontId="48" fillId="10" borderId="40" xfId="3" applyFont="1" applyFill="1" applyBorder="1" applyAlignment="1">
      <alignment horizontal="center"/>
    </xf>
    <xf numFmtId="0" fontId="48" fillId="10" borderId="37" xfId="3" applyFont="1" applyFill="1" applyBorder="1" applyAlignment="1">
      <alignment horizontal="center"/>
    </xf>
    <xf numFmtId="0" fontId="48" fillId="10" borderId="39" xfId="3" applyFont="1" applyFill="1" applyBorder="1" applyAlignment="1">
      <alignment horizontal="center"/>
    </xf>
    <xf numFmtId="0" fontId="46" fillId="12" borderId="15" xfId="3" applyFont="1" applyFill="1" applyBorder="1" applyAlignment="1">
      <alignment horizontal="center"/>
    </xf>
    <xf numFmtId="0" fontId="46" fillId="12" borderId="16" xfId="3" applyFont="1" applyFill="1" applyBorder="1" applyAlignment="1">
      <alignment horizontal="center"/>
    </xf>
    <xf numFmtId="0" fontId="46" fillId="12" borderId="11" xfId="3" applyFont="1" applyFill="1" applyBorder="1" applyAlignment="1">
      <alignment horizontal="center"/>
    </xf>
    <xf numFmtId="0" fontId="47" fillId="12" borderId="10" xfId="3" applyFont="1" applyFill="1" applyBorder="1" applyAlignment="1">
      <alignment horizontal="left" vertical="center"/>
    </xf>
    <xf numFmtId="1" fontId="55" fillId="15" borderId="10" xfId="3" applyNumberFormat="1" applyFont="1" applyFill="1" applyBorder="1" applyAlignment="1">
      <alignment horizontal="center" vertical="center"/>
    </xf>
    <xf numFmtId="0" fontId="48" fillId="15" borderId="10" xfId="3" applyFont="1" applyFill="1" applyBorder="1" applyAlignment="1">
      <alignment horizontal="center"/>
    </xf>
    <xf numFmtId="166" fontId="48" fillId="13" borderId="10" xfId="3" applyNumberFormat="1" applyFont="1" applyFill="1" applyBorder="1" applyAlignment="1">
      <alignment horizontal="center"/>
    </xf>
    <xf numFmtId="0" fontId="48" fillId="13" borderId="15" xfId="3" applyFont="1" applyFill="1" applyBorder="1" applyAlignment="1">
      <alignment horizontal="center" vertical="center"/>
    </xf>
    <xf numFmtId="0" fontId="48" fillId="13" borderId="16" xfId="3" applyFont="1" applyFill="1" applyBorder="1" applyAlignment="1">
      <alignment horizontal="center" vertical="center"/>
    </xf>
    <xf numFmtId="0" fontId="48" fillId="13" borderId="11" xfId="3" applyFont="1" applyFill="1" applyBorder="1" applyAlignment="1">
      <alignment horizontal="center" vertical="center"/>
    </xf>
    <xf numFmtId="1" fontId="55" fillId="13" borderId="10" xfId="3" applyNumberFormat="1" applyFont="1" applyFill="1" applyBorder="1" applyAlignment="1">
      <alignment horizontal="center" vertical="center"/>
    </xf>
    <xf numFmtId="0" fontId="48" fillId="13" borderId="10" xfId="3" applyFont="1" applyFill="1" applyBorder="1" applyAlignment="1">
      <alignment horizontal="center"/>
    </xf>
    <xf numFmtId="1" fontId="59" fillId="13" borderId="40" xfId="5" applyNumberFormat="1" applyFont="1" applyFill="1" applyBorder="1" applyAlignment="1">
      <alignment horizontal="center" vertical="center"/>
    </xf>
    <xf numFmtId="1" fontId="59" fillId="13" borderId="37" xfId="5" applyNumberFormat="1" applyFont="1" applyFill="1" applyBorder="1" applyAlignment="1">
      <alignment horizontal="center" vertical="center"/>
    </xf>
    <xf numFmtId="1" fontId="59" fillId="13" borderId="38" xfId="5" applyNumberFormat="1" applyFont="1" applyFill="1" applyBorder="1" applyAlignment="1">
      <alignment horizontal="center" vertical="center"/>
    </xf>
    <xf numFmtId="1" fontId="59" fillId="13" borderId="18" xfId="5" applyNumberFormat="1" applyFont="1" applyFill="1" applyBorder="1" applyAlignment="1">
      <alignment horizontal="center" vertical="center"/>
    </xf>
    <xf numFmtId="1" fontId="59" fillId="13" borderId="19" xfId="5" applyNumberFormat="1" applyFont="1" applyFill="1" applyBorder="1" applyAlignment="1">
      <alignment horizontal="center" vertical="center"/>
    </xf>
    <xf numFmtId="1" fontId="59" fillId="13" borderId="21" xfId="5" applyNumberFormat="1" applyFont="1" applyFill="1" applyBorder="1" applyAlignment="1">
      <alignment horizontal="center" vertical="center"/>
    </xf>
    <xf numFmtId="166" fontId="58" fillId="0" borderId="0" xfId="5" applyNumberFormat="1" applyFont="1" applyAlignment="1">
      <alignment horizontal="left"/>
    </xf>
    <xf numFmtId="0" fontId="58" fillId="13" borderId="10" xfId="5" applyFont="1" applyFill="1" applyBorder="1" applyAlignment="1">
      <alignment horizontal="center"/>
    </xf>
    <xf numFmtId="166" fontId="58" fillId="13" borderId="10" xfId="5" applyNumberFormat="1" applyFont="1" applyFill="1" applyBorder="1" applyAlignment="1">
      <alignment horizontal="center" vertical="center"/>
    </xf>
    <xf numFmtId="0" fontId="60" fillId="12" borderId="40" xfId="5" applyFont="1" applyFill="1" applyBorder="1" applyAlignment="1">
      <alignment horizontal="center" vertical="center"/>
    </xf>
    <xf numFmtId="0" fontId="60" fillId="12" borderId="37" xfId="5" applyFont="1" applyFill="1" applyBorder="1" applyAlignment="1">
      <alignment horizontal="center" vertical="center"/>
    </xf>
    <xf numFmtId="0" fontId="60" fillId="12" borderId="38" xfId="5" applyFont="1" applyFill="1" applyBorder="1" applyAlignment="1">
      <alignment horizontal="center" vertical="center"/>
    </xf>
    <xf numFmtId="0" fontId="60" fillId="12" borderId="18" xfId="5" applyFont="1" applyFill="1" applyBorder="1" applyAlignment="1">
      <alignment horizontal="center" vertical="center"/>
    </xf>
    <xf numFmtId="0" fontId="60" fillId="12" borderId="19" xfId="5" applyFont="1" applyFill="1" applyBorder="1" applyAlignment="1">
      <alignment horizontal="center" vertical="center"/>
    </xf>
    <xf numFmtId="0" fontId="60" fillId="12" borderId="21" xfId="5" applyFont="1" applyFill="1" applyBorder="1" applyAlignment="1">
      <alignment horizontal="center" vertical="center"/>
    </xf>
    <xf numFmtId="0" fontId="57" fillId="0" borderId="10" xfId="5" applyFont="1" applyBorder="1" applyAlignment="1">
      <alignment horizontal="center"/>
    </xf>
    <xf numFmtId="0" fontId="58" fillId="13" borderId="10" xfId="5" applyFont="1" applyFill="1" applyBorder="1" applyAlignment="1">
      <alignment horizontal="center" wrapText="1"/>
    </xf>
    <xf numFmtId="0" fontId="57" fillId="12" borderId="10" xfId="5" applyFont="1" applyFill="1" applyBorder="1" applyAlignment="1">
      <alignment horizontal="center" vertical="center"/>
    </xf>
    <xf numFmtId="0" fontId="57" fillId="12" borderId="15" xfId="5" applyFont="1" applyFill="1" applyBorder="1" applyAlignment="1">
      <alignment horizontal="center" vertical="center"/>
    </xf>
    <xf numFmtId="0" fontId="57" fillId="12" borderId="16" xfId="5" applyFont="1" applyFill="1" applyBorder="1" applyAlignment="1">
      <alignment horizontal="center" vertical="center"/>
    </xf>
    <xf numFmtId="0" fontId="57" fillId="12" borderId="11" xfId="5" applyFont="1" applyFill="1" applyBorder="1" applyAlignment="1">
      <alignment horizontal="center" vertical="center"/>
    </xf>
    <xf numFmtId="166" fontId="58" fillId="13" borderId="15" xfId="5" applyNumberFormat="1" applyFont="1" applyFill="1" applyBorder="1" applyAlignment="1">
      <alignment horizontal="center" vertical="center"/>
    </xf>
    <xf numFmtId="166" fontId="58" fillId="13" borderId="16" xfId="5" applyNumberFormat="1" applyFont="1" applyFill="1" applyBorder="1" applyAlignment="1">
      <alignment horizontal="center" vertical="center"/>
    </xf>
    <xf numFmtId="166" fontId="58" fillId="13" borderId="11" xfId="5" applyNumberFormat="1" applyFont="1" applyFill="1" applyBorder="1" applyAlignment="1">
      <alignment horizontal="center" vertical="center"/>
    </xf>
    <xf numFmtId="0" fontId="57" fillId="13" borderId="10" xfId="5" applyFont="1" applyFill="1" applyBorder="1" applyAlignment="1">
      <alignment horizontal="left" vertical="center" wrapText="1"/>
    </xf>
    <xf numFmtId="0" fontId="57" fillId="13" borderId="10" xfId="5" applyFont="1" applyFill="1" applyBorder="1" applyAlignment="1">
      <alignment horizontal="left" vertical="center"/>
    </xf>
    <xf numFmtId="0" fontId="58" fillId="13" borderId="10" xfId="5" applyFont="1" applyFill="1" applyBorder="1" applyAlignment="1">
      <alignment horizontal="left" vertical="center" wrapText="1"/>
    </xf>
    <xf numFmtId="0" fontId="57" fillId="0" borderId="40" xfId="5" applyFont="1" applyBorder="1" applyAlignment="1">
      <alignment horizontal="center"/>
    </xf>
    <xf numFmtId="0" fontId="57" fillId="0" borderId="39" xfId="5" applyFont="1" applyBorder="1" applyAlignment="1">
      <alignment horizontal="center"/>
    </xf>
    <xf numFmtId="0" fontId="57" fillId="0" borderId="37" xfId="5" applyFont="1" applyBorder="1" applyAlignment="1">
      <alignment horizontal="center"/>
    </xf>
    <xf numFmtId="0" fontId="57" fillId="0" borderId="19" xfId="5" applyFont="1" applyBorder="1" applyAlignment="1">
      <alignment horizontal="center"/>
    </xf>
    <xf numFmtId="0" fontId="57" fillId="0" borderId="20" xfId="5" applyFont="1" applyBorder="1" applyAlignment="1">
      <alignment horizontal="center"/>
    </xf>
    <xf numFmtId="0" fontId="57" fillId="0" borderId="21" xfId="5" applyFont="1" applyBorder="1" applyAlignment="1">
      <alignment horizontal="center"/>
    </xf>
    <xf numFmtId="1" fontId="59" fillId="15" borderId="40" xfId="5" applyNumberFormat="1" applyFont="1" applyFill="1" applyBorder="1" applyAlignment="1">
      <alignment horizontal="center" vertical="center"/>
    </xf>
    <xf numFmtId="1" fontId="59" fillId="15" borderId="37" xfId="5" applyNumberFormat="1" applyFont="1" applyFill="1" applyBorder="1" applyAlignment="1">
      <alignment horizontal="center" vertical="center"/>
    </xf>
    <xf numFmtId="1" fontId="59" fillId="15" borderId="38" xfId="5" applyNumberFormat="1" applyFont="1" applyFill="1" applyBorder="1" applyAlignment="1">
      <alignment horizontal="center" vertical="center"/>
    </xf>
    <xf numFmtId="1" fontId="59" fillId="15" borderId="18" xfId="5" applyNumberFormat="1" applyFont="1" applyFill="1" applyBorder="1" applyAlignment="1">
      <alignment horizontal="center" vertical="center"/>
    </xf>
    <xf numFmtId="1" fontId="59" fillId="15" borderId="19" xfId="5" applyNumberFormat="1" applyFont="1" applyFill="1" applyBorder="1" applyAlignment="1">
      <alignment horizontal="center" vertical="center"/>
    </xf>
    <xf numFmtId="1" fontId="59" fillId="15" borderId="21" xfId="5" applyNumberFormat="1" applyFont="1" applyFill="1" applyBorder="1" applyAlignment="1">
      <alignment horizontal="center" vertical="center"/>
    </xf>
    <xf numFmtId="0" fontId="58" fillId="15" borderId="10" xfId="5" applyFont="1" applyFill="1" applyBorder="1" applyAlignment="1">
      <alignment horizontal="center"/>
    </xf>
    <xf numFmtId="166" fontId="58" fillId="15" borderId="10" xfId="5" applyNumberFormat="1" applyFont="1" applyFill="1" applyBorder="1" applyAlignment="1">
      <alignment horizontal="center" vertical="center"/>
    </xf>
    <xf numFmtId="0" fontId="58" fillId="15" borderId="10" xfId="5" applyFont="1" applyFill="1" applyBorder="1" applyAlignment="1">
      <alignment horizontal="center" wrapText="1"/>
    </xf>
    <xf numFmtId="166" fontId="58" fillId="15" borderId="15" xfId="5" applyNumberFormat="1" applyFont="1" applyFill="1" applyBorder="1" applyAlignment="1">
      <alignment horizontal="center" vertical="center"/>
    </xf>
    <xf numFmtId="166" fontId="58" fillId="15" borderId="16" xfId="5" applyNumberFormat="1" applyFont="1" applyFill="1" applyBorder="1" applyAlignment="1">
      <alignment horizontal="center" vertical="center"/>
    </xf>
    <xf numFmtId="166" fontId="58" fillId="15" borderId="11" xfId="5" applyNumberFormat="1" applyFont="1" applyFill="1" applyBorder="1" applyAlignment="1">
      <alignment horizontal="center" vertical="center"/>
    </xf>
    <xf numFmtId="0" fontId="57" fillId="15" borderId="10" xfId="5" applyFont="1" applyFill="1" applyBorder="1" applyAlignment="1">
      <alignment horizontal="left" vertical="center"/>
    </xf>
    <xf numFmtId="0" fontId="22" fillId="0" borderId="0" xfId="0" applyFont="1" applyAlignment="1">
      <alignment vertical="center" wrapText="1"/>
    </xf>
    <xf numFmtId="0" fontId="12" fillId="0" borderId="0" xfId="0" applyFont="1" applyAlignment="1">
      <alignment horizontal="left" vertical="top" wrapText="1"/>
    </xf>
    <xf numFmtId="0" fontId="31" fillId="0" borderId="0" xfId="0" applyFont="1" applyAlignment="1">
      <alignment horizontal="left" vertical="top" wrapText="1"/>
    </xf>
    <xf numFmtId="0" fontId="28" fillId="2" borderId="0" xfId="0" applyFont="1" applyFill="1" applyAlignment="1">
      <alignment horizontal="left" vertical="center"/>
    </xf>
    <xf numFmtId="0" fontId="22" fillId="0" borderId="7" xfId="0" applyFont="1" applyBorder="1" applyAlignment="1">
      <alignment horizontal="left" vertical="top" wrapText="1"/>
    </xf>
    <xf numFmtId="0" fontId="22" fillId="0" borderId="0" xfId="0" applyFont="1" applyAlignment="1">
      <alignment horizontal="left" vertical="top" wrapText="1"/>
    </xf>
    <xf numFmtId="0" fontId="20" fillId="2" borderId="0" xfId="0" applyFont="1" applyFill="1" applyAlignment="1">
      <alignment vertical="center"/>
    </xf>
    <xf numFmtId="0" fontId="20" fillId="2" borderId="0" xfId="0" applyFont="1" applyFill="1" applyAlignment="1">
      <alignment horizontal="left" vertical="center"/>
    </xf>
    <xf numFmtId="4" fontId="20" fillId="2" borderId="0" xfId="0" applyNumberFormat="1" applyFont="1" applyFill="1" applyAlignment="1">
      <alignment horizontal="right" vertical="center"/>
    </xf>
    <xf numFmtId="0" fontId="18" fillId="0" borderId="56" xfId="0" applyFont="1" applyBorder="1"/>
    <xf numFmtId="0" fontId="18" fillId="0" borderId="56" xfId="0" applyFont="1" applyBorder="1" applyAlignment="1">
      <alignment horizontal="left"/>
    </xf>
    <xf numFmtId="4" fontId="18" fillId="0" borderId="56" xfId="0" applyNumberFormat="1" applyFont="1" applyBorder="1" applyAlignment="1">
      <alignment horizontal="right"/>
    </xf>
    <xf numFmtId="0" fontId="22" fillId="0" borderId="0" xfId="0" applyFont="1" applyAlignment="1">
      <alignment vertical="top" wrapText="1"/>
    </xf>
    <xf numFmtId="4" fontId="22" fillId="0" borderId="0" xfId="0" applyNumberFormat="1" applyFont="1" applyAlignment="1">
      <alignment horizontal="right" vertical="top" wrapText="1"/>
    </xf>
    <xf numFmtId="0" fontId="34" fillId="0" borderId="17" xfId="0" applyFont="1" applyBorder="1" applyAlignment="1">
      <alignment horizontal="center" vertical="center"/>
    </xf>
    <xf numFmtId="0" fontId="0" fillId="0" borderId="0" xfId="0"/>
    <xf numFmtId="0" fontId="0" fillId="0" borderId="18" xfId="0" applyBorder="1"/>
    <xf numFmtId="0" fontId="34" fillId="6" borderId="10" xfId="0" applyFont="1" applyFill="1" applyBorder="1" applyAlignment="1">
      <alignment horizontal="left" vertical="center"/>
    </xf>
    <xf numFmtId="0" fontId="0" fillId="0" borderId="17" xfId="0" applyBorder="1"/>
    <xf numFmtId="0" fontId="0" fillId="0" borderId="12" xfId="0" applyBorder="1"/>
    <xf numFmtId="44" fontId="34" fillId="6" borderId="10" xfId="0" applyNumberFormat="1" applyFont="1" applyFill="1" applyBorder="1" applyAlignment="1">
      <alignment horizontal="left" vertical="center"/>
    </xf>
    <xf numFmtId="0" fontId="32" fillId="4" borderId="15" xfId="0" applyFont="1" applyFill="1" applyBorder="1" applyAlignment="1">
      <alignment horizontal="left"/>
    </xf>
    <xf numFmtId="0" fontId="0" fillId="0" borderId="16" xfId="0" applyBorder="1"/>
    <xf numFmtId="0" fontId="34" fillId="0" borderId="12" xfId="0" applyFont="1" applyBorder="1" applyAlignment="1">
      <alignment horizontal="center" vertical="center" wrapText="1"/>
    </xf>
    <xf numFmtId="0" fontId="0" fillId="0" borderId="20" xfId="0" applyBorder="1"/>
    <xf numFmtId="0" fontId="0" fillId="0" borderId="21" xfId="0" applyBorder="1"/>
    <xf numFmtId="0" fontId="32" fillId="4" borderId="10" xfId="0" applyFont="1" applyFill="1" applyBorder="1" applyAlignment="1">
      <alignment horizontal="left" vertical="center"/>
    </xf>
    <xf numFmtId="0" fontId="0" fillId="0" borderId="11" xfId="0" applyBorder="1"/>
    <xf numFmtId="0" fontId="34" fillId="7" borderId="10" xfId="0" applyFont="1" applyFill="1" applyBorder="1" applyAlignment="1">
      <alignment horizontal="left" vertical="center"/>
    </xf>
    <xf numFmtId="0" fontId="32" fillId="4" borderId="15" xfId="0" applyFont="1" applyFill="1" applyBorder="1" applyAlignment="1">
      <alignment horizontal="left" vertical="center"/>
    </xf>
    <xf numFmtId="0" fontId="32" fillId="4" borderId="13" xfId="0" applyFont="1" applyFill="1" applyBorder="1" applyAlignment="1">
      <alignment horizontal="left" vertical="center"/>
    </xf>
    <xf numFmtId="0" fontId="0" fillId="0" borderId="37" xfId="0" applyBorder="1"/>
    <xf numFmtId="0" fontId="34" fillId="0" borderId="29" xfId="0" applyFont="1" applyBorder="1" applyAlignment="1">
      <alignment horizontal="center" vertical="center"/>
    </xf>
    <xf numFmtId="0" fontId="0" fillId="0" borderId="30" xfId="0" applyBorder="1"/>
    <xf numFmtId="0" fontId="0" fillId="0" borderId="31" xfId="0" applyBorder="1"/>
    <xf numFmtId="0" fontId="34" fillId="0" borderId="32" xfId="0" applyFont="1" applyBorder="1" applyAlignment="1">
      <alignment horizontal="center" vertical="center"/>
    </xf>
    <xf numFmtId="0" fontId="0" fillId="0" borderId="33" xfId="0" applyBorder="1"/>
    <xf numFmtId="0" fontId="0" fillId="0" borderId="34" xfId="0" applyBorder="1"/>
    <xf numFmtId="0" fontId="35" fillId="0" borderId="16" xfId="0" applyFont="1" applyBorder="1" applyAlignment="1">
      <alignment horizontal="left" vertical="center"/>
    </xf>
    <xf numFmtId="0" fontId="32" fillId="4" borderId="12" xfId="0" applyFont="1" applyFill="1" applyBorder="1" applyAlignment="1">
      <alignment vertical="center"/>
    </xf>
    <xf numFmtId="0" fontId="0" fillId="0" borderId="17" xfId="0" applyBorder="1" applyAlignment="1">
      <alignment horizontal="center"/>
    </xf>
    <xf numFmtId="0" fontId="34" fillId="0" borderId="17" xfId="0" applyFont="1" applyBorder="1" applyAlignment="1">
      <alignment horizontal="left" vertical="center"/>
    </xf>
    <xf numFmtId="0" fontId="34" fillId="0" borderId="13" xfId="0" applyFont="1" applyBorder="1" applyAlignment="1">
      <alignment horizontal="left" vertical="center"/>
    </xf>
    <xf numFmtId="0" fontId="0" fillId="0" borderId="39" xfId="0" applyBorder="1"/>
    <xf numFmtId="0" fontId="32" fillId="4" borderId="19" xfId="0" applyFont="1" applyFill="1" applyBorder="1" applyAlignment="1">
      <alignment horizontal="left" vertical="center"/>
    </xf>
    <xf numFmtId="0" fontId="34" fillId="0" borderId="12" xfId="0" applyFont="1" applyBorder="1" applyAlignment="1">
      <alignment horizontal="left" vertical="center"/>
    </xf>
    <xf numFmtId="0" fontId="37" fillId="4" borderId="10" xfId="0" applyFont="1" applyFill="1" applyBorder="1" applyAlignment="1">
      <alignment horizontal="left" vertical="center"/>
    </xf>
    <xf numFmtId="0" fontId="32" fillId="4" borderId="40" xfId="0" applyFont="1" applyFill="1" applyBorder="1" applyAlignment="1">
      <alignment horizontal="left" vertical="center"/>
    </xf>
    <xf numFmtId="0" fontId="38" fillId="4" borderId="10" xfId="0" applyFont="1" applyFill="1" applyBorder="1" applyAlignment="1">
      <alignment horizontal="left" vertical="center"/>
    </xf>
    <xf numFmtId="44" fontId="33" fillId="5" borderId="10" xfId="0" applyNumberFormat="1" applyFont="1" applyFill="1" applyBorder="1" applyAlignment="1">
      <alignment horizontal="left" vertical="center"/>
    </xf>
    <xf numFmtId="44" fontId="34" fillId="7" borderId="10" xfId="0" applyNumberFormat="1" applyFont="1" applyFill="1" applyBorder="1" applyAlignment="1">
      <alignment horizontal="left" vertical="center"/>
    </xf>
    <xf numFmtId="0" fontId="33" fillId="5" borderId="10" xfId="0" applyFont="1" applyFill="1" applyBorder="1" applyAlignment="1">
      <alignment horizontal="left" vertical="center"/>
    </xf>
    <xf numFmtId="0" fontId="33" fillId="5" borderId="12" xfId="0" applyFont="1" applyFill="1" applyBorder="1" applyAlignment="1">
      <alignment horizontal="center" vertical="center"/>
    </xf>
    <xf numFmtId="0" fontId="33" fillId="5" borderId="12" xfId="0" applyFont="1" applyFill="1" applyBorder="1" applyAlignment="1">
      <alignment horizontal="left" vertical="center"/>
    </xf>
    <xf numFmtId="44" fontId="33" fillId="5" borderId="12" xfId="0" applyNumberFormat="1" applyFont="1" applyFill="1" applyBorder="1" applyAlignment="1">
      <alignment horizontal="left" vertical="center"/>
    </xf>
    <xf numFmtId="0" fontId="33" fillId="5" borderId="10" xfId="0" applyFont="1" applyFill="1" applyBorder="1" applyAlignment="1">
      <alignment horizontal="center" vertical="center"/>
    </xf>
    <xf numFmtId="44" fontId="33" fillId="5" borderId="10" xfId="0" applyNumberFormat="1" applyFont="1" applyFill="1" applyBorder="1" applyAlignment="1">
      <alignment horizontal="center" vertical="center"/>
    </xf>
    <xf numFmtId="44" fontId="34" fillId="6" borderId="10" xfId="0" applyNumberFormat="1" applyFont="1" applyFill="1" applyBorder="1" applyAlignment="1">
      <alignment horizontal="center" vertical="center"/>
    </xf>
    <xf numFmtId="44" fontId="34" fillId="7" borderId="10" xfId="0" applyNumberFormat="1" applyFont="1" applyFill="1" applyBorder="1" applyAlignment="1">
      <alignment horizontal="center" vertical="center"/>
    </xf>
    <xf numFmtId="0" fontId="32" fillId="4" borderId="12" xfId="0" applyFont="1" applyFill="1" applyBorder="1" applyAlignment="1">
      <alignment horizontal="left" vertical="center"/>
    </xf>
    <xf numFmtId="0" fontId="32" fillId="4" borderId="20" xfId="0" applyFont="1" applyFill="1" applyBorder="1" applyAlignment="1">
      <alignment horizontal="left"/>
    </xf>
    <xf numFmtId="4" fontId="33" fillId="5" borderId="10" xfId="0" applyNumberFormat="1" applyFont="1" applyFill="1" applyBorder="1" applyAlignment="1">
      <alignment horizontal="center" vertical="center"/>
    </xf>
    <xf numFmtId="0" fontId="34" fillId="0" borderId="10" xfId="0" applyFont="1" applyBorder="1" applyAlignment="1">
      <alignment horizontal="center" vertical="center"/>
    </xf>
    <xf numFmtId="0" fontId="32" fillId="4" borderId="10" xfId="0" applyFont="1" applyFill="1" applyBorder="1" applyAlignment="1">
      <alignment horizontal="left" vertical="center" wrapText="1"/>
    </xf>
    <xf numFmtId="0" fontId="32" fillId="4" borderId="11" xfId="0" applyFont="1" applyFill="1" applyBorder="1" applyAlignment="1">
      <alignment horizontal="left" vertical="center"/>
    </xf>
    <xf numFmtId="0" fontId="32" fillId="4" borderId="10" xfId="0" applyFont="1" applyFill="1" applyBorder="1" applyAlignment="1">
      <alignment horizontal="left"/>
    </xf>
    <xf numFmtId="44" fontId="34" fillId="6" borderId="13" xfId="0" applyNumberFormat="1" applyFont="1" applyFill="1" applyBorder="1" applyAlignment="1">
      <alignment horizontal="left" vertical="center"/>
    </xf>
    <xf numFmtId="44" fontId="32" fillId="4" borderId="10" xfId="0" applyNumberFormat="1" applyFont="1" applyFill="1" applyBorder="1" applyAlignment="1">
      <alignment horizontal="left" vertical="center"/>
    </xf>
    <xf numFmtId="44" fontId="32" fillId="4" borderId="15" xfId="0" applyNumberFormat="1" applyFont="1" applyFill="1" applyBorder="1" applyAlignment="1">
      <alignment horizontal="left" vertical="center"/>
    </xf>
    <xf numFmtId="0" fontId="32" fillId="4" borderId="0" xfId="0" applyFont="1" applyFill="1" applyAlignment="1">
      <alignment horizontal="left" vertical="center"/>
    </xf>
    <xf numFmtId="0" fontId="32" fillId="4" borderId="21" xfId="0" applyFont="1" applyFill="1" applyBorder="1" applyAlignment="1">
      <alignment horizontal="left" vertical="center"/>
    </xf>
    <xf numFmtId="0" fontId="34" fillId="6" borderId="10" xfId="0" applyFont="1" applyFill="1" applyBorder="1" applyAlignment="1">
      <alignment horizontal="left" vertical="center" wrapText="1"/>
    </xf>
    <xf numFmtId="0" fontId="34" fillId="7" borderId="10" xfId="0" applyFont="1" applyFill="1" applyBorder="1" applyAlignment="1">
      <alignment horizontal="left" vertical="center" wrapText="1"/>
    </xf>
    <xf numFmtId="0" fontId="32" fillId="4" borderId="20" xfId="0" applyFont="1" applyFill="1" applyBorder="1" applyAlignment="1">
      <alignment horizontal="left" vertical="center"/>
    </xf>
    <xf numFmtId="0" fontId="32" fillId="4" borderId="18" xfId="0" applyFont="1" applyFill="1" applyBorder="1" applyAlignment="1">
      <alignment vertical="center"/>
    </xf>
    <xf numFmtId="44" fontId="34" fillId="6" borderId="10" xfId="2" applyFont="1" applyFill="1" applyBorder="1" applyAlignment="1">
      <alignment horizontal="center"/>
    </xf>
    <xf numFmtId="0" fontId="48" fillId="12" borderId="10" xfId="3" applyFont="1" applyFill="1" applyBorder="1" applyAlignment="1">
      <alignment horizontal="center" vertical="center"/>
    </xf>
  </cellXfs>
  <cellStyles count="6">
    <cellStyle name="Currency 2" xfId="2" xr:uid="{FFEF266E-C005-40CF-9A39-0FE19055EE7E}"/>
    <cellStyle name="Hyperlink" xfId="1" builtinId="8"/>
    <cellStyle name="Normal" xfId="0" builtinId="0"/>
    <cellStyle name="Normal 2 2 2" xfId="5" xr:uid="{138F8A24-8111-491A-88A7-7B7BA6F60343}"/>
    <cellStyle name="إخراج 3" xfId="4" xr:uid="{67C5E9FE-7870-4ADD-822E-52E40E747B99}"/>
    <cellStyle name="عادي 3" xfId="3" xr:uid="{D98DC0BA-E9ED-415B-A363-0896EF11101E}"/>
  </cellStyles>
  <dxfs count="0"/>
  <tableStyles count="0" defaultTableStyle="TableStyleMedium2" defaultPivotStyle="PivotStyleLight16"/>
  <colors>
    <mruColors>
      <color rgb="FFFCE4D6"/>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91440</xdr:colOff>
      <xdr:row>2</xdr:row>
      <xdr:rowOff>83820</xdr:rowOff>
    </xdr:from>
    <xdr:to>
      <xdr:col>1</xdr:col>
      <xdr:colOff>636243</xdr:colOff>
      <xdr:row>4</xdr:row>
      <xdr:rowOff>411480</xdr:rowOff>
    </xdr:to>
    <xdr:sp macro="" textlink="">
      <xdr:nvSpPr>
        <xdr:cNvPr id="3" name="WordArt 237">
          <a:extLst>
            <a:ext uri="{FF2B5EF4-FFF2-40B4-BE49-F238E27FC236}">
              <a16:creationId xmlns:a16="http://schemas.microsoft.com/office/drawing/2014/main" id="{8BE346AA-A4A1-482C-AF49-8152F53AB335}"/>
            </a:ext>
          </a:extLst>
        </xdr:cNvPr>
        <xdr:cNvSpPr>
          <a:spLocks noChangeArrowheads="1" noChangeShapeType="1" noTextEdit="1"/>
        </xdr:cNvSpPr>
      </xdr:nvSpPr>
      <xdr:spPr>
        <a:xfrm>
          <a:off x="91440" y="419100"/>
          <a:ext cx="1421103" cy="662940"/>
        </a:xfrm>
        <a:prstGeom prst="rect">
          <a:avLst/>
        </a:prstGeom>
        <a:solidFill>
          <a:sysClr val="window" lastClr="FFFFFF"/>
        </a:solidFill>
      </xdr:spPr>
      <xdr:txBody>
        <a:bodyPr wrap="none" fromWordArt="1">
          <a:prstTxWarp prst="textPlain">
            <a:avLst>
              <a:gd name="adj" fmla="val 50000"/>
            </a:avLst>
          </a:prstTxWarp>
        </a:bodyPr>
        <a:lstStyle/>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MAKAMAN LIBYA COMPANY</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OIL SERVICES INCORPORATED</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TOOLS &amp; TESTING</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TRIPOLI- LIBYA</a:t>
          </a:r>
          <a:endParaRPr lang="ar-SA"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endParaRPr>
        </a:p>
      </xdr:txBody>
    </xdr:sp>
    <xdr:clientData/>
  </xdr:twoCellAnchor>
  <xdr:twoCellAnchor>
    <xdr:from>
      <xdr:col>4</xdr:col>
      <xdr:colOff>289561</xdr:colOff>
      <xdr:row>1</xdr:row>
      <xdr:rowOff>160020</xdr:rowOff>
    </xdr:from>
    <xdr:to>
      <xdr:col>5</xdr:col>
      <xdr:colOff>754381</xdr:colOff>
      <xdr:row>4</xdr:row>
      <xdr:rowOff>487680</xdr:rowOff>
    </xdr:to>
    <xdr:sp macro="" textlink="">
      <xdr:nvSpPr>
        <xdr:cNvPr id="4" name="WordArt 241">
          <a:extLst>
            <a:ext uri="{FF2B5EF4-FFF2-40B4-BE49-F238E27FC236}">
              <a16:creationId xmlns:a16="http://schemas.microsoft.com/office/drawing/2014/main" id="{2F2BF432-4706-4CC6-8E83-98B23B39AB58}"/>
            </a:ext>
          </a:extLst>
        </xdr:cNvPr>
        <xdr:cNvSpPr>
          <a:spLocks noChangeArrowheads="1" noChangeShapeType="1" noTextEdit="1"/>
        </xdr:cNvSpPr>
      </xdr:nvSpPr>
      <xdr:spPr>
        <a:xfrm>
          <a:off x="5554981" y="327660"/>
          <a:ext cx="1325880" cy="830580"/>
        </a:xfrm>
        <a:prstGeom prst="rect">
          <a:avLst/>
        </a:prstGeom>
        <a:solidFill>
          <a:sysClr val="window" lastClr="FFFFFF"/>
        </a:solidFill>
      </xdr:spPr>
      <xdr:txBody>
        <a:bodyPr wrap="none" fromWordArt="1">
          <a:prstTxWarp prst="textPlain">
            <a:avLst>
              <a:gd name="adj" fmla="val 50000"/>
            </a:avLst>
          </a:prstTxWarp>
        </a:bodyPr>
        <a:lstStyle/>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شركة مكامن ليبيا</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للخدمات النفطية المساهمة</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للاختبارات ومعدات صيانة الاّبار</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طرابلس- ليبيا</a:t>
          </a:r>
        </a:p>
      </xdr:txBody>
    </xdr:sp>
    <xdr:clientData/>
  </xdr:twoCellAnchor>
  <xdr:twoCellAnchor editAs="oneCell">
    <xdr:from>
      <xdr:col>1</xdr:col>
      <xdr:colOff>1554481</xdr:colOff>
      <xdr:row>0</xdr:row>
      <xdr:rowOff>0</xdr:rowOff>
    </xdr:from>
    <xdr:to>
      <xdr:col>3</xdr:col>
      <xdr:colOff>396241</xdr:colOff>
      <xdr:row>4</xdr:row>
      <xdr:rowOff>705326</xdr:rowOff>
    </xdr:to>
    <xdr:pic>
      <xdr:nvPicPr>
        <xdr:cNvPr id="6" name="Picture 5">
          <a:extLst>
            <a:ext uri="{FF2B5EF4-FFF2-40B4-BE49-F238E27FC236}">
              <a16:creationId xmlns:a16="http://schemas.microsoft.com/office/drawing/2014/main" id="{C9CF4EFB-9973-D5D0-5997-3323188D63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0781" y="0"/>
          <a:ext cx="2446020" cy="137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2</xdr:row>
      <xdr:rowOff>83820</xdr:rowOff>
    </xdr:from>
    <xdr:to>
      <xdr:col>1</xdr:col>
      <xdr:colOff>636243</xdr:colOff>
      <xdr:row>4</xdr:row>
      <xdr:rowOff>411480</xdr:rowOff>
    </xdr:to>
    <xdr:sp macro="" textlink="">
      <xdr:nvSpPr>
        <xdr:cNvPr id="2" name="WordArt 237">
          <a:extLst>
            <a:ext uri="{FF2B5EF4-FFF2-40B4-BE49-F238E27FC236}">
              <a16:creationId xmlns:a16="http://schemas.microsoft.com/office/drawing/2014/main" id="{3BDB4B36-361D-4E0D-B20D-C0B3C45511E5}"/>
            </a:ext>
          </a:extLst>
        </xdr:cNvPr>
        <xdr:cNvSpPr>
          <a:spLocks noChangeArrowheads="1" noChangeShapeType="1" noTextEdit="1"/>
        </xdr:cNvSpPr>
      </xdr:nvSpPr>
      <xdr:spPr>
        <a:xfrm>
          <a:off x="91440" y="419100"/>
          <a:ext cx="1421103" cy="662940"/>
        </a:xfrm>
        <a:prstGeom prst="rect">
          <a:avLst/>
        </a:prstGeom>
        <a:solidFill>
          <a:sysClr val="window" lastClr="FFFFFF"/>
        </a:solidFill>
      </xdr:spPr>
      <xdr:txBody>
        <a:bodyPr wrap="none" fromWordArt="1">
          <a:prstTxWarp prst="textPlain">
            <a:avLst>
              <a:gd name="adj" fmla="val 50000"/>
            </a:avLst>
          </a:prstTxWarp>
        </a:bodyPr>
        <a:lstStyle/>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MAKAMAN LIBYA COMPANY</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OIL SERVICES INCORPORATED</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TOOLS &amp; TESTING</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TRIPOLI- LIBYA</a:t>
          </a:r>
          <a:endParaRPr lang="ar-SA"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endParaRPr>
        </a:p>
      </xdr:txBody>
    </xdr:sp>
    <xdr:clientData/>
  </xdr:twoCellAnchor>
  <xdr:twoCellAnchor>
    <xdr:from>
      <xdr:col>4</xdr:col>
      <xdr:colOff>289561</xdr:colOff>
      <xdr:row>1</xdr:row>
      <xdr:rowOff>160020</xdr:rowOff>
    </xdr:from>
    <xdr:to>
      <xdr:col>5</xdr:col>
      <xdr:colOff>754381</xdr:colOff>
      <xdr:row>4</xdr:row>
      <xdr:rowOff>487680</xdr:rowOff>
    </xdr:to>
    <xdr:sp macro="" textlink="">
      <xdr:nvSpPr>
        <xdr:cNvPr id="3" name="WordArt 241">
          <a:extLst>
            <a:ext uri="{FF2B5EF4-FFF2-40B4-BE49-F238E27FC236}">
              <a16:creationId xmlns:a16="http://schemas.microsoft.com/office/drawing/2014/main" id="{6A89E1FE-B8DD-4E8E-816B-109FEE1FC2E1}"/>
            </a:ext>
          </a:extLst>
        </xdr:cNvPr>
        <xdr:cNvSpPr>
          <a:spLocks noChangeArrowheads="1" noChangeShapeType="1" noTextEdit="1"/>
        </xdr:cNvSpPr>
      </xdr:nvSpPr>
      <xdr:spPr>
        <a:xfrm>
          <a:off x="5554981" y="327660"/>
          <a:ext cx="1325880" cy="830580"/>
        </a:xfrm>
        <a:prstGeom prst="rect">
          <a:avLst/>
        </a:prstGeom>
        <a:solidFill>
          <a:sysClr val="window" lastClr="FFFFFF"/>
        </a:solidFill>
      </xdr:spPr>
      <xdr:txBody>
        <a:bodyPr wrap="none" fromWordArt="1">
          <a:prstTxWarp prst="textPlain">
            <a:avLst>
              <a:gd name="adj" fmla="val 50000"/>
            </a:avLst>
          </a:prstTxWarp>
        </a:bodyPr>
        <a:lstStyle/>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شركة مكامن ليبيا</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للخدمات النفطية المساهمة</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للاختبارات ومعدات صيانة الاّبار</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طرابلس- ليبيا</a:t>
          </a:r>
        </a:p>
      </xdr:txBody>
    </xdr:sp>
    <xdr:clientData/>
  </xdr:twoCellAnchor>
  <xdr:twoCellAnchor editAs="oneCell">
    <xdr:from>
      <xdr:col>1</xdr:col>
      <xdr:colOff>1554481</xdr:colOff>
      <xdr:row>0</xdr:row>
      <xdr:rowOff>0</xdr:rowOff>
    </xdr:from>
    <xdr:to>
      <xdr:col>3</xdr:col>
      <xdr:colOff>396241</xdr:colOff>
      <xdr:row>4</xdr:row>
      <xdr:rowOff>705326</xdr:rowOff>
    </xdr:to>
    <xdr:pic>
      <xdr:nvPicPr>
        <xdr:cNvPr id="4" name="Picture 3">
          <a:extLst>
            <a:ext uri="{FF2B5EF4-FFF2-40B4-BE49-F238E27FC236}">
              <a16:creationId xmlns:a16="http://schemas.microsoft.com/office/drawing/2014/main" id="{E23A43A9-2B29-4E24-B795-E1DB9CD099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0781" y="0"/>
          <a:ext cx="2446020" cy="137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160020</xdr:colOff>
      <xdr:row>0</xdr:row>
      <xdr:rowOff>0</xdr:rowOff>
    </xdr:from>
    <xdr:to>
      <xdr:col>5</xdr:col>
      <xdr:colOff>426720</xdr:colOff>
      <xdr:row>5</xdr:row>
      <xdr:rowOff>199072</xdr:rowOff>
    </xdr:to>
    <xdr:pic>
      <xdr:nvPicPr>
        <xdr:cNvPr id="4" name="Picture 3">
          <a:extLst>
            <a:ext uri="{FF2B5EF4-FFF2-40B4-BE49-F238E27FC236}">
              <a16:creationId xmlns:a16="http://schemas.microsoft.com/office/drawing/2014/main" id="{748C74F7-F6A2-4A4F-B784-7035EFF825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4580" y="0"/>
          <a:ext cx="1844040" cy="1037272"/>
        </a:xfrm>
        <a:prstGeom prst="rect">
          <a:avLst/>
        </a:prstGeom>
      </xdr:spPr>
    </xdr:pic>
    <xdr:clientData/>
  </xdr:twoCellAnchor>
  <xdr:twoCellAnchor>
    <xdr:from>
      <xdr:col>0</xdr:col>
      <xdr:colOff>45720</xdr:colOff>
      <xdr:row>0</xdr:row>
      <xdr:rowOff>91440</xdr:rowOff>
    </xdr:from>
    <xdr:to>
      <xdr:col>1</xdr:col>
      <xdr:colOff>506703</xdr:colOff>
      <xdr:row>4</xdr:row>
      <xdr:rowOff>83820</xdr:rowOff>
    </xdr:to>
    <xdr:sp macro="" textlink="">
      <xdr:nvSpPr>
        <xdr:cNvPr id="5" name="WordArt 237">
          <a:extLst>
            <a:ext uri="{FF2B5EF4-FFF2-40B4-BE49-F238E27FC236}">
              <a16:creationId xmlns:a16="http://schemas.microsoft.com/office/drawing/2014/main" id="{5CCB91E4-EF82-4AE9-A256-502D5760851F}"/>
            </a:ext>
          </a:extLst>
        </xdr:cNvPr>
        <xdr:cNvSpPr>
          <a:spLocks noChangeArrowheads="1" noChangeShapeType="1" noTextEdit="1"/>
        </xdr:cNvSpPr>
      </xdr:nvSpPr>
      <xdr:spPr>
        <a:xfrm>
          <a:off x="45720" y="91440"/>
          <a:ext cx="1421103" cy="662940"/>
        </a:xfrm>
        <a:prstGeom prst="rect">
          <a:avLst/>
        </a:prstGeom>
        <a:solidFill>
          <a:sysClr val="window" lastClr="FFFFFF"/>
        </a:solidFill>
      </xdr:spPr>
      <xdr:txBody>
        <a:bodyPr wrap="none" fromWordArt="1">
          <a:prstTxWarp prst="textPlain">
            <a:avLst>
              <a:gd name="adj" fmla="val 50000"/>
            </a:avLst>
          </a:prstTxWarp>
        </a:bodyPr>
        <a:lstStyle/>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MAKAMAN LIBYA COMPANY</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OIL SERVICES INCORPORATED</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TOOLS &amp; TESTING</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TRIPOLI- LIBYA</a:t>
          </a:r>
          <a:endParaRPr lang="ar-SA"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endParaRPr>
        </a:p>
      </xdr:txBody>
    </xdr:sp>
    <xdr:clientData/>
  </xdr:twoCellAnchor>
  <xdr:twoCellAnchor>
    <xdr:from>
      <xdr:col>7</xdr:col>
      <xdr:colOff>76200</xdr:colOff>
      <xdr:row>0</xdr:row>
      <xdr:rowOff>22860</xdr:rowOff>
    </xdr:from>
    <xdr:to>
      <xdr:col>8</xdr:col>
      <xdr:colOff>754380</xdr:colOff>
      <xdr:row>4</xdr:row>
      <xdr:rowOff>99060</xdr:rowOff>
    </xdr:to>
    <xdr:sp macro="" textlink="">
      <xdr:nvSpPr>
        <xdr:cNvPr id="6" name="WordArt 241">
          <a:extLst>
            <a:ext uri="{FF2B5EF4-FFF2-40B4-BE49-F238E27FC236}">
              <a16:creationId xmlns:a16="http://schemas.microsoft.com/office/drawing/2014/main" id="{EF7FFBEE-B61F-4FBF-ACDD-FDF478A1E0FD}"/>
            </a:ext>
          </a:extLst>
        </xdr:cNvPr>
        <xdr:cNvSpPr>
          <a:spLocks noChangeArrowheads="1" noChangeShapeType="1" noTextEdit="1"/>
        </xdr:cNvSpPr>
      </xdr:nvSpPr>
      <xdr:spPr>
        <a:xfrm>
          <a:off x="5036820" y="22860"/>
          <a:ext cx="1287780" cy="746760"/>
        </a:xfrm>
        <a:prstGeom prst="rect">
          <a:avLst/>
        </a:prstGeom>
        <a:solidFill>
          <a:sysClr val="window" lastClr="FFFFFF"/>
        </a:solidFill>
      </xdr:spPr>
      <xdr:txBody>
        <a:bodyPr wrap="none" fromWordArt="1">
          <a:prstTxWarp prst="textPlain">
            <a:avLst>
              <a:gd name="adj" fmla="val 50000"/>
            </a:avLst>
          </a:prstTxWarp>
        </a:bodyPr>
        <a:lstStyle/>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شركة مكامن ليبيا</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للخدمات النفطية المساهمة</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للاختبارات ومعدات صيانة الاّبار</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طرابلس- ليبيا</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160020</xdr:colOff>
      <xdr:row>0</xdr:row>
      <xdr:rowOff>0</xdr:rowOff>
    </xdr:from>
    <xdr:to>
      <xdr:col>5</xdr:col>
      <xdr:colOff>426720</xdr:colOff>
      <xdr:row>5</xdr:row>
      <xdr:rowOff>199072</xdr:rowOff>
    </xdr:to>
    <xdr:pic>
      <xdr:nvPicPr>
        <xdr:cNvPr id="2" name="Picture 1">
          <a:extLst>
            <a:ext uri="{FF2B5EF4-FFF2-40B4-BE49-F238E27FC236}">
              <a16:creationId xmlns:a16="http://schemas.microsoft.com/office/drawing/2014/main" id="{52758474-C947-4081-A94B-3AA1CDC2C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620" y="0"/>
          <a:ext cx="1800225" cy="1008697"/>
        </a:xfrm>
        <a:prstGeom prst="rect">
          <a:avLst/>
        </a:prstGeom>
      </xdr:spPr>
    </xdr:pic>
    <xdr:clientData/>
  </xdr:twoCellAnchor>
  <xdr:twoCellAnchor>
    <xdr:from>
      <xdr:col>0</xdr:col>
      <xdr:colOff>45720</xdr:colOff>
      <xdr:row>0</xdr:row>
      <xdr:rowOff>91440</xdr:rowOff>
    </xdr:from>
    <xdr:to>
      <xdr:col>1</xdr:col>
      <xdr:colOff>506703</xdr:colOff>
      <xdr:row>4</xdr:row>
      <xdr:rowOff>83820</xdr:rowOff>
    </xdr:to>
    <xdr:sp macro="" textlink="">
      <xdr:nvSpPr>
        <xdr:cNvPr id="3" name="WordArt 237">
          <a:extLst>
            <a:ext uri="{FF2B5EF4-FFF2-40B4-BE49-F238E27FC236}">
              <a16:creationId xmlns:a16="http://schemas.microsoft.com/office/drawing/2014/main" id="{C5835717-DF25-4416-B886-0192C2CA5B3C}"/>
            </a:ext>
          </a:extLst>
        </xdr:cNvPr>
        <xdr:cNvSpPr>
          <a:spLocks noChangeArrowheads="1" noChangeShapeType="1" noTextEdit="1"/>
        </xdr:cNvSpPr>
      </xdr:nvSpPr>
      <xdr:spPr>
        <a:xfrm>
          <a:off x="45720" y="91440"/>
          <a:ext cx="1394433" cy="640080"/>
        </a:xfrm>
        <a:prstGeom prst="rect">
          <a:avLst/>
        </a:prstGeom>
        <a:solidFill>
          <a:sysClr val="window" lastClr="FFFFFF"/>
        </a:solidFill>
      </xdr:spPr>
      <xdr:txBody>
        <a:bodyPr wrap="none" fromWordArt="1">
          <a:prstTxWarp prst="textPlain">
            <a:avLst>
              <a:gd name="adj" fmla="val 50000"/>
            </a:avLst>
          </a:prstTxWarp>
        </a:bodyPr>
        <a:lstStyle/>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MAKAMAN LIBYA COMPANY</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OIL SERVICES INCORPORATED</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TOOLS &amp; TESTING</a:t>
          </a:r>
        </a:p>
        <a:p>
          <a:pPr algn="ctr" rtl="0">
            <a:buNone/>
          </a:pPr>
          <a:r>
            <a:rPr lang="en-US"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rPr>
            <a:t>TRIPOLI- LIBYA</a:t>
          </a:r>
          <a:endParaRPr lang="ar-SA" sz="1600" b="1" kern="10" spc="0">
            <a:ln>
              <a:noFill/>
            </a:ln>
            <a:solidFill>
              <a:sysClr val="windowText" lastClr="000000"/>
            </a:solidFill>
            <a:effectLst>
              <a:outerShdw dist="35921" dir="2700000" algn="ctr" rotWithShape="0">
                <a:srgbClr val="C0C0C0">
                  <a:alpha val="80000"/>
                </a:srgbClr>
              </a:outerShdw>
            </a:effectLst>
            <a:latin typeface="Arial" panose="020B0604020202020204"/>
            <a:cs typeface="Arial" panose="020B0604020202020204"/>
          </a:endParaRPr>
        </a:p>
      </xdr:txBody>
    </xdr:sp>
    <xdr:clientData/>
  </xdr:twoCellAnchor>
  <xdr:twoCellAnchor>
    <xdr:from>
      <xdr:col>7</xdr:col>
      <xdr:colOff>76200</xdr:colOff>
      <xdr:row>0</xdr:row>
      <xdr:rowOff>22860</xdr:rowOff>
    </xdr:from>
    <xdr:to>
      <xdr:col>8</xdr:col>
      <xdr:colOff>754380</xdr:colOff>
      <xdr:row>4</xdr:row>
      <xdr:rowOff>99060</xdr:rowOff>
    </xdr:to>
    <xdr:sp macro="" textlink="">
      <xdr:nvSpPr>
        <xdr:cNvPr id="4" name="WordArt 241">
          <a:extLst>
            <a:ext uri="{FF2B5EF4-FFF2-40B4-BE49-F238E27FC236}">
              <a16:creationId xmlns:a16="http://schemas.microsoft.com/office/drawing/2014/main" id="{E4C71B29-5B59-491D-AC5E-F57CB9C3CC6A}"/>
            </a:ext>
          </a:extLst>
        </xdr:cNvPr>
        <xdr:cNvSpPr>
          <a:spLocks noChangeArrowheads="1" noChangeShapeType="1" noTextEdit="1"/>
        </xdr:cNvSpPr>
      </xdr:nvSpPr>
      <xdr:spPr>
        <a:xfrm>
          <a:off x="4905375" y="22860"/>
          <a:ext cx="1268730" cy="723900"/>
        </a:xfrm>
        <a:prstGeom prst="rect">
          <a:avLst/>
        </a:prstGeom>
        <a:solidFill>
          <a:sysClr val="window" lastClr="FFFFFF"/>
        </a:solidFill>
      </xdr:spPr>
      <xdr:txBody>
        <a:bodyPr wrap="none" fromWordArt="1">
          <a:prstTxWarp prst="textPlain">
            <a:avLst>
              <a:gd name="adj" fmla="val 50000"/>
            </a:avLst>
          </a:prstTxWarp>
        </a:bodyPr>
        <a:lstStyle/>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شركة مكامن ليبيا</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للخدمات النفطية المساهمة</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للاختبارات ومعدات صيانة الاّبار</a:t>
          </a:r>
        </a:p>
        <a:p>
          <a:pPr algn="ctr" rtl="1">
            <a:buNone/>
          </a:pPr>
          <a:r>
            <a:rPr lang="ar-SA" sz="1600" b="1" kern="10" spc="0">
              <a:ln>
                <a:noFill/>
              </a:ln>
              <a:solidFill>
                <a:sysClr val="windowText" lastClr="000000"/>
              </a:solidFill>
              <a:effectLst>
                <a:outerShdw dist="35921" dir="2700000" algn="ctr" rotWithShape="0">
                  <a:srgbClr val="C0C0C0">
                    <a:alpha val="80000"/>
                  </a:srgbClr>
                </a:outerShdw>
              </a:effectLst>
              <a:latin typeface="Harlow Solid Italic" panose="04030604020F02020D02"/>
            </a:rPr>
            <a:t>طرابلس- ليبيا</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a72f61e2548d86da/Makaman%20Files/Drafts/Price%20Lists/Mohamed%20Edits/WAHA%201%20-%20Official%20Price%20List%20(Initial).xlsx" TargetMode="External"/><Relationship Id="rId1" Type="http://schemas.openxmlformats.org/officeDocument/2006/relationships/externalLinkPath" Target="Price%20Lists/Mohamed%20Edits/WAHA%201%20-%20Official%20Price%20List%20(Initi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a72f61e2548d86da/Makaman%20Files/Drafts/Price%20Lists/Mohamed%20Edits/WAHA%202%20-%20Official%20Price%20List%20(Added).xlsx" TargetMode="External"/><Relationship Id="rId1" Type="http://schemas.openxmlformats.org/officeDocument/2006/relationships/externalLinkPath" Target="Price%20Lists/Mohamed%20Edits/WAHA%202%20-%20Official%20Price%20List%20(Adde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a72f61e2548d86da/Makaman%20Files/Drafts/Price%20Lists/Mohamed%20Edits/AGOCO%20-%20Official%20Price%20List.xlsx" TargetMode="External"/><Relationship Id="rId1" Type="http://schemas.openxmlformats.org/officeDocument/2006/relationships/externalLinkPath" Target="Price%20Lists/Mohamed%20Edits/AGOCO%20-%20Official%20Price%20Lis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d.docs.live.net/a72f61e2548d86da/Makaman%20Files/Drafts/Price%20Lists/Mohamed%20Edits/HOO%20-%20Official%20Price%20List.xlsx" TargetMode="External"/><Relationship Id="rId1" Type="http://schemas.openxmlformats.org/officeDocument/2006/relationships/externalLinkPath" Target="Price%20Lists/Mohamed%20Edits/HOO%20-%20Official%20Price%20Lis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d.docs.live.net/a72f61e2548d86da/Makaman%20Files/Drafts/Price%20Lists/Mohamed%20Edits/SOC%20-%20Official%20Price%20List.xlsx" TargetMode="External"/><Relationship Id="rId1" Type="http://schemas.openxmlformats.org/officeDocument/2006/relationships/externalLinkPath" Target="Price%20Lists/Mohamed%20Edits/SOC%20-%20Official%20Price%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WAHA 1 Price List"/>
      <sheetName val="8"/>
      <sheetName val="7"/>
      <sheetName val="6"/>
      <sheetName val="5"/>
      <sheetName val="4"/>
      <sheetName val="3"/>
      <sheetName val="2"/>
      <sheetName val="1"/>
    </sheetNames>
    <sheetDataSet>
      <sheetData sheetId="0"/>
      <sheetData sheetId="1"/>
      <sheetData sheetId="2">
        <row r="8">
          <cell r="A8" t="str">
            <v>MKN 100-0161</v>
          </cell>
          <cell r="D8">
            <v>75</v>
          </cell>
        </row>
        <row r="9">
          <cell r="A9" t="str">
            <v>MKN 100-0162</v>
          </cell>
          <cell r="D9">
            <v>75</v>
          </cell>
        </row>
        <row r="10">
          <cell r="A10" t="str">
            <v>MKN 100-0163</v>
          </cell>
          <cell r="D10">
            <v>95</v>
          </cell>
        </row>
        <row r="11">
          <cell r="A11" t="str">
            <v>MKN 100-0164</v>
          </cell>
          <cell r="D11">
            <v>95</v>
          </cell>
        </row>
        <row r="13">
          <cell r="A13" t="str">
            <v>MKN 100-0165</v>
          </cell>
          <cell r="D13">
            <v>140</v>
          </cell>
        </row>
        <row r="14">
          <cell r="A14" t="str">
            <v>MKN 100-0166</v>
          </cell>
          <cell r="D14">
            <v>230</v>
          </cell>
        </row>
        <row r="15">
          <cell r="A15" t="str">
            <v>MKN 100-0167</v>
          </cell>
          <cell r="D15">
            <v>340</v>
          </cell>
        </row>
        <row r="16">
          <cell r="A16" t="str">
            <v>MKN 100-0168</v>
          </cell>
          <cell r="D16">
            <v>340</v>
          </cell>
        </row>
        <row r="17">
          <cell r="A17" t="str">
            <v>MKN 100-0169</v>
          </cell>
          <cell r="D17">
            <v>400</v>
          </cell>
        </row>
        <row r="18">
          <cell r="A18" t="str">
            <v>MKN 100-0170</v>
          </cell>
          <cell r="D18">
            <v>720</v>
          </cell>
        </row>
        <row r="19">
          <cell r="A19" t="str">
            <v>MKN 100-0171</v>
          </cell>
          <cell r="D19">
            <v>900</v>
          </cell>
        </row>
        <row r="23">
          <cell r="A23" t="str">
            <v>MKN 100-0172</v>
          </cell>
          <cell r="D23">
            <v>75</v>
          </cell>
          <cell r="E23">
            <v>15</v>
          </cell>
        </row>
        <row r="24">
          <cell r="A24" t="str">
            <v>MKN 100-0173</v>
          </cell>
          <cell r="D24">
            <v>100</v>
          </cell>
          <cell r="E24">
            <v>25</v>
          </cell>
        </row>
        <row r="29">
          <cell r="A29" t="str">
            <v>MKN 100-0174</v>
          </cell>
          <cell r="D29">
            <v>70</v>
          </cell>
        </row>
        <row r="30">
          <cell r="A30" t="str">
            <v>MKN 100-0175</v>
          </cell>
          <cell r="D30">
            <v>120</v>
          </cell>
        </row>
        <row r="31">
          <cell r="A31" t="str">
            <v>MKN 100-0176</v>
          </cell>
          <cell r="D31">
            <v>300</v>
          </cell>
        </row>
        <row r="32">
          <cell r="A32" t="str">
            <v>MKN 100-0177</v>
          </cell>
          <cell r="D32">
            <v>320</v>
          </cell>
        </row>
        <row r="33">
          <cell r="A33" t="str">
            <v>MKN 100-0178</v>
          </cell>
          <cell r="D33">
            <v>480</v>
          </cell>
        </row>
        <row r="36">
          <cell r="A36" t="str">
            <v>MKN 100-0179</v>
          </cell>
          <cell r="D36">
            <v>70</v>
          </cell>
        </row>
        <row r="37">
          <cell r="A37" t="str">
            <v>MKN 100-0180</v>
          </cell>
          <cell r="D37">
            <v>80</v>
          </cell>
        </row>
        <row r="38">
          <cell r="A38" t="str">
            <v>MKN 100-0181</v>
          </cell>
          <cell r="D38">
            <v>75</v>
          </cell>
        </row>
        <row r="45">
          <cell r="A45" t="str">
            <v>MKN 100-0182</v>
          </cell>
          <cell r="D45">
            <v>20</v>
          </cell>
          <cell r="E45">
            <v>7</v>
          </cell>
        </row>
        <row r="46">
          <cell r="A46" t="str">
            <v>MKN 100-0183</v>
          </cell>
          <cell r="D46">
            <v>35</v>
          </cell>
          <cell r="E46">
            <v>15</v>
          </cell>
        </row>
        <row r="47">
          <cell r="A47" t="str">
            <v>MKN 100-0184</v>
          </cell>
          <cell r="D47">
            <v>35</v>
          </cell>
          <cell r="E47">
            <v>15</v>
          </cell>
        </row>
        <row r="48">
          <cell r="A48" t="str">
            <v>MKN 100-0185</v>
          </cell>
          <cell r="D48">
            <v>40</v>
          </cell>
          <cell r="E48">
            <v>18</v>
          </cell>
        </row>
        <row r="49">
          <cell r="A49" t="str">
            <v>MKN 100-0186</v>
          </cell>
          <cell r="D49">
            <v>85</v>
          </cell>
          <cell r="E49">
            <v>20</v>
          </cell>
        </row>
        <row r="50">
          <cell r="A50" t="str">
            <v>MKN 100-0187</v>
          </cell>
          <cell r="D50">
            <v>85</v>
          </cell>
          <cell r="E50">
            <v>20</v>
          </cell>
        </row>
        <row r="55">
          <cell r="A55" t="str">
            <v>MKN 100-0188</v>
          </cell>
          <cell r="D55">
            <v>55</v>
          </cell>
        </row>
        <row r="56">
          <cell r="A56" t="str">
            <v>MKN 100-0189</v>
          </cell>
          <cell r="D56">
            <v>70</v>
          </cell>
        </row>
        <row r="57">
          <cell r="A57" t="str">
            <v>MKN 100-0190</v>
          </cell>
          <cell r="D57">
            <v>70</v>
          </cell>
        </row>
        <row r="58">
          <cell r="A58" t="str">
            <v>MKN 100-0191</v>
          </cell>
          <cell r="D58">
            <v>85</v>
          </cell>
        </row>
        <row r="59">
          <cell r="A59" t="str">
            <v>MKN 100-0192</v>
          </cell>
          <cell r="D59">
            <v>85</v>
          </cell>
        </row>
        <row r="60">
          <cell r="A60" t="str">
            <v>MKN 100-0193</v>
          </cell>
          <cell r="D60">
            <v>130</v>
          </cell>
        </row>
        <row r="65">
          <cell r="A65" t="str">
            <v>MKN 100-0194</v>
          </cell>
          <cell r="D65">
            <v>110</v>
          </cell>
        </row>
        <row r="67">
          <cell r="A67" t="str">
            <v>MKN 100-0195</v>
          </cell>
          <cell r="D67">
            <v>130</v>
          </cell>
        </row>
        <row r="68">
          <cell r="A68" t="str">
            <v>MKN 100-0196</v>
          </cell>
          <cell r="D68">
            <v>330</v>
          </cell>
        </row>
        <row r="69">
          <cell r="A69" t="str">
            <v>MKN 100-0197</v>
          </cell>
          <cell r="D69">
            <v>320</v>
          </cell>
        </row>
        <row r="70">
          <cell r="A70" t="str">
            <v>MKN 100-0198</v>
          </cell>
          <cell r="D70">
            <v>500</v>
          </cell>
        </row>
        <row r="71">
          <cell r="A71" t="str">
            <v>MKN 100-0199</v>
          </cell>
          <cell r="D71">
            <v>590</v>
          </cell>
        </row>
        <row r="72">
          <cell r="A72" t="str">
            <v>MKN 100-0200</v>
          </cell>
          <cell r="D72">
            <v>850</v>
          </cell>
        </row>
        <row r="73">
          <cell r="A73" t="str">
            <v>MKN 100-0201</v>
          </cell>
          <cell r="D73">
            <v>1010</v>
          </cell>
        </row>
        <row r="74">
          <cell r="A74" t="str">
            <v>MKN 100-0202</v>
          </cell>
          <cell r="D74">
            <v>1500</v>
          </cell>
        </row>
      </sheetData>
      <sheetData sheetId="3">
        <row r="9">
          <cell r="A9" t="str">
            <v>MKN 100-0122</v>
          </cell>
          <cell r="D9">
            <v>280</v>
          </cell>
        </row>
        <row r="10">
          <cell r="A10" t="str">
            <v>MKN 100-0123</v>
          </cell>
          <cell r="D10">
            <v>320</v>
          </cell>
        </row>
        <row r="11">
          <cell r="A11" t="str">
            <v>MKN 100-0124</v>
          </cell>
          <cell r="D11">
            <v>670</v>
          </cell>
        </row>
        <row r="13">
          <cell r="A13" t="str">
            <v>MKN 100-0125</v>
          </cell>
          <cell r="D13">
            <v>650</v>
          </cell>
        </row>
        <row r="15">
          <cell r="A15" t="str">
            <v>MKN 100-0126</v>
          </cell>
          <cell r="D15">
            <v>495</v>
          </cell>
        </row>
        <row r="16">
          <cell r="A16" t="str">
            <v>MKN 100-0127</v>
          </cell>
          <cell r="D16">
            <v>580</v>
          </cell>
        </row>
        <row r="17">
          <cell r="A17" t="str">
            <v>MKN 100-0128</v>
          </cell>
          <cell r="D17">
            <v>780</v>
          </cell>
        </row>
        <row r="18">
          <cell r="A18" t="str">
            <v>MKN 100-0129</v>
          </cell>
          <cell r="D18">
            <v>1150</v>
          </cell>
        </row>
        <row r="19">
          <cell r="A19" t="str">
            <v>MKN 100-0130</v>
          </cell>
          <cell r="D19">
            <v>1450</v>
          </cell>
        </row>
        <row r="20">
          <cell r="A20" t="str">
            <v>MKN 100-0131</v>
          </cell>
          <cell r="D20">
            <v>1720</v>
          </cell>
        </row>
        <row r="21">
          <cell r="A21" t="str">
            <v>MKN 100-0132</v>
          </cell>
          <cell r="D21">
            <v>1950</v>
          </cell>
        </row>
        <row r="24">
          <cell r="A24" t="str">
            <v>MKN 105-0133</v>
          </cell>
          <cell r="D24">
            <v>210</v>
          </cell>
        </row>
        <row r="25">
          <cell r="A25" t="str">
            <v>MKN 105-0134</v>
          </cell>
          <cell r="D25">
            <v>280</v>
          </cell>
        </row>
        <row r="32">
          <cell r="A32" t="str">
            <v>MKN 100-0135</v>
          </cell>
          <cell r="B32" t="str">
            <v>Thru 4-1/2" OD Casing</v>
          </cell>
          <cell r="D32">
            <v>950</v>
          </cell>
          <cell r="E32">
            <v>500</v>
          </cell>
        </row>
        <row r="33">
          <cell r="A33" t="str">
            <v>MKN 100-0136</v>
          </cell>
          <cell r="B33" t="str">
            <v>Thru 5-1/2" OD Casing</v>
          </cell>
          <cell r="D33">
            <v>1120</v>
          </cell>
          <cell r="E33">
            <v>530</v>
          </cell>
        </row>
        <row r="34">
          <cell r="A34" t="str">
            <v>MKN 100-0137</v>
          </cell>
          <cell r="B34" t="str">
            <v>Thru 7-5/8" OD Casing</v>
          </cell>
          <cell r="D34">
            <v>1200</v>
          </cell>
          <cell r="E34">
            <v>600</v>
          </cell>
        </row>
        <row r="35">
          <cell r="A35" t="str">
            <v>MKN 100-0138</v>
          </cell>
          <cell r="B35" t="str">
            <v>Thru 9-5/8" OD Casing</v>
          </cell>
          <cell r="D35">
            <v>1590</v>
          </cell>
          <cell r="E35">
            <v>815</v>
          </cell>
        </row>
        <row r="36">
          <cell r="A36" t="str">
            <v>MKN 100-0139</v>
          </cell>
          <cell r="B36" t="str">
            <v>Thru 10 3/4" OD Casing</v>
          </cell>
          <cell r="D36">
            <v>1690</v>
          </cell>
          <cell r="E36">
            <v>850</v>
          </cell>
        </row>
        <row r="37">
          <cell r="A37" t="str">
            <v>MKN 100-0140</v>
          </cell>
          <cell r="B37" t="str">
            <v>Thru 11 3/4" OD Casing</v>
          </cell>
          <cell r="D37">
            <v>1850</v>
          </cell>
          <cell r="E37">
            <v>900</v>
          </cell>
        </row>
        <row r="38">
          <cell r="A38" t="str">
            <v>MKN 100-0141</v>
          </cell>
          <cell r="B38" t="str">
            <v>Thru 13-3/8" OD Casing</v>
          </cell>
          <cell r="D38">
            <v>1850</v>
          </cell>
          <cell r="E38">
            <v>920</v>
          </cell>
        </row>
        <row r="43">
          <cell r="A43" t="str">
            <v>MKN 100-0142</v>
          </cell>
          <cell r="B43" t="str">
            <v>4 3/4" OD</v>
          </cell>
          <cell r="D43">
            <v>1300</v>
          </cell>
          <cell r="E43">
            <v>340</v>
          </cell>
        </row>
        <row r="44">
          <cell r="A44" t="str">
            <v>MKN 100-0143</v>
          </cell>
          <cell r="B44" t="str">
            <v>6 1/2" OD</v>
          </cell>
          <cell r="D44">
            <v>1300</v>
          </cell>
          <cell r="E44">
            <v>340</v>
          </cell>
        </row>
        <row r="45">
          <cell r="A45" t="str">
            <v>MKN 100-0144</v>
          </cell>
          <cell r="B45" t="str">
            <v>8" OD</v>
          </cell>
          <cell r="D45">
            <v>1300</v>
          </cell>
          <cell r="E45">
            <v>340</v>
          </cell>
        </row>
        <row r="46">
          <cell r="A46" t="str">
            <v>MKN 100-0145</v>
          </cell>
          <cell r="B46" t="str">
            <v>9 1/2" OD</v>
          </cell>
          <cell r="D46">
            <v>1300</v>
          </cell>
          <cell r="E46">
            <v>340</v>
          </cell>
        </row>
        <row r="51">
          <cell r="A51" t="str">
            <v>MKN 100-0146</v>
          </cell>
          <cell r="D51">
            <v>100</v>
          </cell>
        </row>
        <row r="52">
          <cell r="A52" t="str">
            <v>MKN 100-0147</v>
          </cell>
          <cell r="D52">
            <v>210</v>
          </cell>
        </row>
        <row r="53">
          <cell r="A53" t="str">
            <v>MKN 100-0148</v>
          </cell>
          <cell r="D53">
            <v>300</v>
          </cell>
        </row>
        <row r="54">
          <cell r="A54" t="str">
            <v>MKN 100-0149</v>
          </cell>
          <cell r="D54">
            <v>420</v>
          </cell>
        </row>
        <row r="55">
          <cell r="A55" t="str">
            <v>MKN 100-0150</v>
          </cell>
          <cell r="D55">
            <v>420</v>
          </cell>
        </row>
        <row r="56">
          <cell r="A56" t="str">
            <v>MKN 100-0151</v>
          </cell>
          <cell r="D56">
            <v>420</v>
          </cell>
        </row>
        <row r="57">
          <cell r="A57" t="str">
            <v>MKN 100-0152</v>
          </cell>
          <cell r="D57">
            <v>450</v>
          </cell>
        </row>
        <row r="59">
          <cell r="A59" t="str">
            <v>MKN 100-0153</v>
          </cell>
          <cell r="D59">
            <v>360</v>
          </cell>
        </row>
        <row r="60">
          <cell r="A60" t="str">
            <v>MKN 100-0154</v>
          </cell>
          <cell r="D60">
            <v>500</v>
          </cell>
        </row>
        <row r="61">
          <cell r="A61" t="str">
            <v>MKN 100-0155</v>
          </cell>
          <cell r="D61">
            <v>650</v>
          </cell>
        </row>
        <row r="62">
          <cell r="A62" t="str">
            <v>MKN 100-0156</v>
          </cell>
          <cell r="D62">
            <v>870</v>
          </cell>
        </row>
        <row r="63">
          <cell r="A63" t="str">
            <v>MKN 100-0157</v>
          </cell>
          <cell r="D63">
            <v>1300</v>
          </cell>
        </row>
        <row r="64">
          <cell r="A64" t="str">
            <v>MKN 100-0158</v>
          </cell>
          <cell r="D64">
            <v>2100</v>
          </cell>
        </row>
        <row r="65">
          <cell r="A65" t="str">
            <v>MKN 100-0159</v>
          </cell>
          <cell r="D65">
            <v>2600</v>
          </cell>
        </row>
        <row r="66">
          <cell r="A66" t="str">
            <v>MKN 100-0160</v>
          </cell>
          <cell r="D66">
            <v>1580</v>
          </cell>
        </row>
      </sheetData>
      <sheetData sheetId="4">
        <row r="10">
          <cell r="A10" t="str">
            <v>MKN 100-079</v>
          </cell>
          <cell r="B10" t="str">
            <v>Thru 4 3/4" OD</v>
          </cell>
          <cell r="D10">
            <v>800</v>
          </cell>
          <cell r="E10">
            <v>310</v>
          </cell>
        </row>
        <row r="11">
          <cell r="A11" t="str">
            <v>MKN 100-080</v>
          </cell>
          <cell r="B11" t="str">
            <v>Thru 6 1/4" OD</v>
          </cell>
          <cell r="D11">
            <v>890</v>
          </cell>
          <cell r="E11">
            <v>380</v>
          </cell>
        </row>
        <row r="12">
          <cell r="A12" t="str">
            <v>MKN 100-081</v>
          </cell>
          <cell r="B12" t="str">
            <v>Thru 9 5/8" OD</v>
          </cell>
          <cell r="D12">
            <v>1100</v>
          </cell>
          <cell r="E12">
            <v>485</v>
          </cell>
        </row>
        <row r="13">
          <cell r="A13" t="str">
            <v>MKN 100-082</v>
          </cell>
          <cell r="B13" t="str">
            <v>Thru 12 3/4" OD</v>
          </cell>
          <cell r="D13">
            <v>1570</v>
          </cell>
          <cell r="E13">
            <v>860</v>
          </cell>
        </row>
        <row r="18">
          <cell r="A18" t="str">
            <v>MKN 100-083</v>
          </cell>
          <cell r="B18" t="str">
            <v>Thru 4-3/8" OD</v>
          </cell>
          <cell r="D18">
            <v>210</v>
          </cell>
        </row>
        <row r="19">
          <cell r="A19" t="str">
            <v>MKN 100-084</v>
          </cell>
          <cell r="B19" t="str">
            <v>Thru 5-3/4" OD</v>
          </cell>
          <cell r="D19">
            <v>210</v>
          </cell>
        </row>
        <row r="20">
          <cell r="A20" t="str">
            <v>MKN 100-085</v>
          </cell>
          <cell r="B20" t="str">
            <v>Thru 8" OD</v>
          </cell>
          <cell r="D20">
            <v>280</v>
          </cell>
        </row>
        <row r="21">
          <cell r="A21" t="str">
            <v>MKN 100-086</v>
          </cell>
          <cell r="B21" t="str">
            <v>Thru 12" OD</v>
          </cell>
          <cell r="D21">
            <v>250</v>
          </cell>
        </row>
        <row r="22">
          <cell r="A22" t="str">
            <v>MKN 100-087</v>
          </cell>
          <cell r="B22" t="str">
            <v>Thru 15" OD</v>
          </cell>
          <cell r="D22">
            <v>360</v>
          </cell>
        </row>
        <row r="23">
          <cell r="A23" t="str">
            <v>MKN 100-088</v>
          </cell>
          <cell r="B23" t="str">
            <v>Thru 20" OD</v>
          </cell>
          <cell r="D23">
            <v>360</v>
          </cell>
        </row>
        <row r="24">
          <cell r="A24" t="str">
            <v>MKN 100-089</v>
          </cell>
          <cell r="B24" t="str">
            <v>Thru 24" OD</v>
          </cell>
          <cell r="D24">
            <v>475</v>
          </cell>
        </row>
        <row r="25">
          <cell r="A25" t="str">
            <v>MKN 100-090</v>
          </cell>
          <cell r="B25" t="str">
            <v>Thru 26" OD</v>
          </cell>
          <cell r="D25">
            <v>375</v>
          </cell>
        </row>
        <row r="30">
          <cell r="A30" t="str">
            <v>MKN 100-091</v>
          </cell>
          <cell r="B30" t="str">
            <v>Thru 4-1/8" OD</v>
          </cell>
          <cell r="D30">
            <v>190</v>
          </cell>
          <cell r="E30">
            <v>100</v>
          </cell>
        </row>
        <row r="31">
          <cell r="A31" t="str">
            <v>MKN 100-092</v>
          </cell>
          <cell r="B31" t="str">
            <v>Thru 5-3/4" OD</v>
          </cell>
          <cell r="D31">
            <v>275</v>
          </cell>
          <cell r="E31">
            <v>190</v>
          </cell>
        </row>
        <row r="32">
          <cell r="A32" t="str">
            <v>MKN 100-093</v>
          </cell>
          <cell r="B32" t="str">
            <v>Thru 8" OD</v>
          </cell>
          <cell r="D32">
            <v>275</v>
          </cell>
          <cell r="E32">
            <v>190</v>
          </cell>
        </row>
        <row r="33">
          <cell r="A33" t="str">
            <v>MKN 100-094</v>
          </cell>
          <cell r="B33" t="str">
            <v>Thru 10-3/4" OD</v>
          </cell>
          <cell r="D33">
            <v>490</v>
          </cell>
          <cell r="E33">
            <v>180</v>
          </cell>
        </row>
        <row r="34">
          <cell r="A34" t="str">
            <v>MKN 100-095</v>
          </cell>
          <cell r="B34" t="str">
            <v>Thru 13-3/4" OD</v>
          </cell>
          <cell r="D34">
            <v>650</v>
          </cell>
          <cell r="E34">
            <v>230</v>
          </cell>
        </row>
        <row r="39">
          <cell r="A39" t="str">
            <v>EKHG 100-096</v>
          </cell>
          <cell r="D39">
            <v>150</v>
          </cell>
          <cell r="E39">
            <v>70</v>
          </cell>
        </row>
        <row r="40">
          <cell r="A40" t="str">
            <v>EKHG 100-097</v>
          </cell>
          <cell r="D40">
            <v>260</v>
          </cell>
          <cell r="E40">
            <v>120</v>
          </cell>
        </row>
        <row r="41">
          <cell r="A41" t="str">
            <v>EKHG 100-098</v>
          </cell>
          <cell r="D41">
            <v>560</v>
          </cell>
          <cell r="E41">
            <v>230</v>
          </cell>
        </row>
        <row r="42">
          <cell r="A42" t="str">
            <v>MKN 100-099</v>
          </cell>
          <cell r="D42">
            <v>920</v>
          </cell>
          <cell r="E42">
            <v>410</v>
          </cell>
        </row>
        <row r="43">
          <cell r="A43" t="str">
            <v>MKN 100-100</v>
          </cell>
          <cell r="D43">
            <v>920</v>
          </cell>
          <cell r="E43">
            <v>430</v>
          </cell>
        </row>
        <row r="45">
          <cell r="A45" t="str">
            <v>MKN 100-101</v>
          </cell>
          <cell r="D45">
            <v>370</v>
          </cell>
          <cell r="E45">
            <v>160</v>
          </cell>
        </row>
        <row r="46">
          <cell r="A46" t="str">
            <v>MKN 100-102</v>
          </cell>
          <cell r="D46">
            <v>1100</v>
          </cell>
          <cell r="E46">
            <v>550</v>
          </cell>
        </row>
        <row r="48">
          <cell r="A48" t="str">
            <v>MKN 100-103</v>
          </cell>
          <cell r="B48" t="str">
            <v>4-1/2" OD</v>
          </cell>
          <cell r="D48">
            <v>7</v>
          </cell>
          <cell r="E48">
            <v>5</v>
          </cell>
        </row>
        <row r="49">
          <cell r="A49" t="str">
            <v>MKN 100-104</v>
          </cell>
          <cell r="B49" t="str">
            <v>4-3/4" OD</v>
          </cell>
          <cell r="D49">
            <v>7</v>
          </cell>
          <cell r="E49">
            <v>5</v>
          </cell>
        </row>
        <row r="50">
          <cell r="A50" t="str">
            <v>MKN 100-105</v>
          </cell>
          <cell r="B50" t="str">
            <v>5" OD</v>
          </cell>
          <cell r="D50">
            <v>7</v>
          </cell>
          <cell r="E50">
            <v>5</v>
          </cell>
        </row>
        <row r="51">
          <cell r="A51" t="str">
            <v>MKN 100-106</v>
          </cell>
          <cell r="B51" t="str">
            <v>5-3/8" OD</v>
          </cell>
          <cell r="D51">
            <v>7</v>
          </cell>
          <cell r="E51">
            <v>5</v>
          </cell>
        </row>
        <row r="52">
          <cell r="A52" t="str">
            <v>MKN 100-107</v>
          </cell>
          <cell r="B52" t="str">
            <v>5-3/4" OD</v>
          </cell>
          <cell r="D52">
            <v>10</v>
          </cell>
          <cell r="E52">
            <v>7</v>
          </cell>
        </row>
        <row r="53">
          <cell r="A53" t="str">
            <v>MKN 100-108</v>
          </cell>
          <cell r="B53" t="str">
            <v>7-5/8" OD</v>
          </cell>
          <cell r="D53">
            <v>11</v>
          </cell>
          <cell r="E53">
            <v>7</v>
          </cell>
        </row>
        <row r="59">
          <cell r="A59" t="str">
            <v>MKN 100-109</v>
          </cell>
          <cell r="B59" t="str">
            <v>Thru 5 1/2" OD</v>
          </cell>
          <cell r="D59">
            <v>250</v>
          </cell>
          <cell r="E59">
            <v>110</v>
          </cell>
        </row>
        <row r="60">
          <cell r="A60" t="str">
            <v>MKN 100-110</v>
          </cell>
          <cell r="B60" t="str">
            <v>Thru 9 1/4" OD</v>
          </cell>
          <cell r="D60">
            <v>350</v>
          </cell>
          <cell r="E60">
            <v>145</v>
          </cell>
        </row>
        <row r="61">
          <cell r="A61" t="str">
            <v>MKN 100-111</v>
          </cell>
          <cell r="B61" t="str">
            <v>Thru 10 3/4" OD</v>
          </cell>
          <cell r="D61">
            <v>500</v>
          </cell>
          <cell r="E61">
            <v>195</v>
          </cell>
        </row>
        <row r="62">
          <cell r="A62" t="str">
            <v>MKN 100-112</v>
          </cell>
          <cell r="B62" t="str">
            <v>Thru 13 3/8" OD</v>
          </cell>
          <cell r="D62">
            <v>445</v>
          </cell>
          <cell r="E62">
            <v>300</v>
          </cell>
        </row>
        <row r="63">
          <cell r="A63" t="str">
            <v>MKN 100-113</v>
          </cell>
          <cell r="B63" t="str">
            <v>Thru 16" OD</v>
          </cell>
          <cell r="D63">
            <v>1020</v>
          </cell>
          <cell r="E63">
            <v>470</v>
          </cell>
        </row>
        <row r="64">
          <cell r="A64" t="str">
            <v>MKN 100-114</v>
          </cell>
          <cell r="B64" t="str">
            <v>Thru 20" OD</v>
          </cell>
          <cell r="D64">
            <v>1130</v>
          </cell>
          <cell r="E64">
            <v>480</v>
          </cell>
        </row>
        <row r="69">
          <cell r="A69" t="str">
            <v>MKN 100-115</v>
          </cell>
          <cell r="D69">
            <v>40</v>
          </cell>
        </row>
        <row r="70">
          <cell r="A70" t="str">
            <v>MKN 100-116</v>
          </cell>
          <cell r="D70">
            <v>45</v>
          </cell>
        </row>
        <row r="71">
          <cell r="A71" t="str">
            <v>MKN 100-117</v>
          </cell>
          <cell r="D71">
            <v>45</v>
          </cell>
        </row>
        <row r="72">
          <cell r="A72" t="str">
            <v>MKN 100-118</v>
          </cell>
          <cell r="D72">
            <v>80</v>
          </cell>
        </row>
        <row r="74">
          <cell r="A74" t="str">
            <v>MKN 100-119</v>
          </cell>
          <cell r="D74">
            <v>17</v>
          </cell>
        </row>
        <row r="75">
          <cell r="A75" t="str">
            <v>MKN 100-120</v>
          </cell>
          <cell r="D75">
            <v>30</v>
          </cell>
        </row>
        <row r="76">
          <cell r="A76" t="str">
            <v>MKN 100-121</v>
          </cell>
          <cell r="D76">
            <v>45</v>
          </cell>
        </row>
      </sheetData>
      <sheetData sheetId="5">
        <row r="9">
          <cell r="A9" t="str">
            <v>MKN 100-049</v>
          </cell>
          <cell r="D9">
            <v>200</v>
          </cell>
          <cell r="E9">
            <v>90</v>
          </cell>
        </row>
        <row r="10">
          <cell r="A10" t="str">
            <v>MKN 100-050</v>
          </cell>
          <cell r="D10">
            <v>280</v>
          </cell>
          <cell r="E10">
            <v>130</v>
          </cell>
        </row>
        <row r="12">
          <cell r="A12" t="str">
            <v>MKN 100-051</v>
          </cell>
          <cell r="D12">
            <v>690</v>
          </cell>
          <cell r="E12">
            <v>300</v>
          </cell>
        </row>
        <row r="14">
          <cell r="A14" t="str">
            <v>MFT 100-052</v>
          </cell>
          <cell r="D14">
            <v>500</v>
          </cell>
          <cell r="E14">
            <v>50</v>
          </cell>
        </row>
        <row r="16">
          <cell r="A16" t="str">
            <v>MKN 100-053</v>
          </cell>
          <cell r="D16">
            <v>330</v>
          </cell>
          <cell r="E16">
            <v>220</v>
          </cell>
        </row>
        <row r="17">
          <cell r="A17" t="str">
            <v>MKN 100-054</v>
          </cell>
          <cell r="D17">
            <v>520</v>
          </cell>
          <cell r="E17">
            <v>320</v>
          </cell>
        </row>
        <row r="18">
          <cell r="A18" t="str">
            <v>MKN 100-055</v>
          </cell>
          <cell r="D18">
            <v>840</v>
          </cell>
          <cell r="E18">
            <v>520</v>
          </cell>
        </row>
        <row r="19">
          <cell r="A19" t="str">
            <v>MKN 100-058</v>
          </cell>
          <cell r="D19">
            <v>990</v>
          </cell>
          <cell r="E19">
            <v>670</v>
          </cell>
        </row>
        <row r="20">
          <cell r="A20" t="str">
            <v>MKN 100-057</v>
          </cell>
          <cell r="D20">
            <v>1380</v>
          </cell>
          <cell r="E20">
            <v>900</v>
          </cell>
        </row>
        <row r="25">
          <cell r="A25" t="str">
            <v>MKN 100-058</v>
          </cell>
          <cell r="D25">
            <v>7500</v>
          </cell>
          <cell r="E25">
            <v>55</v>
          </cell>
        </row>
        <row r="26">
          <cell r="A26" t="str">
            <v>MKN 100-059</v>
          </cell>
          <cell r="D26">
            <v>8150</v>
          </cell>
          <cell r="E26">
            <v>70</v>
          </cell>
        </row>
        <row r="28">
          <cell r="A28" t="str">
            <v>MKN 100-060</v>
          </cell>
          <cell r="D28">
            <v>5306</v>
          </cell>
          <cell r="E28">
            <v>100</v>
          </cell>
        </row>
        <row r="29">
          <cell r="A29" t="str">
            <v>MKN 100-061</v>
          </cell>
          <cell r="D29">
            <v>6400</v>
          </cell>
          <cell r="E29">
            <v>130</v>
          </cell>
        </row>
        <row r="30">
          <cell r="A30" t="str">
            <v>MKN 100-062</v>
          </cell>
          <cell r="D30">
            <v>8300</v>
          </cell>
          <cell r="E30">
            <v>140</v>
          </cell>
        </row>
        <row r="31">
          <cell r="A31" t="str">
            <v>MKN 100-063</v>
          </cell>
          <cell r="D31">
            <v>12350</v>
          </cell>
          <cell r="E31">
            <v>265</v>
          </cell>
        </row>
        <row r="35">
          <cell r="A35" t="str">
            <v>MKN 100-064</v>
          </cell>
          <cell r="D35">
            <v>600</v>
          </cell>
        </row>
        <row r="38">
          <cell r="A38" t="str">
            <v>MKN 100-065</v>
          </cell>
          <cell r="D38">
            <v>310</v>
          </cell>
        </row>
        <row r="39">
          <cell r="A39" t="str">
            <v>MKN 100-066</v>
          </cell>
          <cell r="D39">
            <v>350</v>
          </cell>
        </row>
        <row r="40">
          <cell r="A40" t="str">
            <v>MKN 100-067</v>
          </cell>
          <cell r="D40">
            <v>350</v>
          </cell>
        </row>
        <row r="41">
          <cell r="A41" t="str">
            <v>MKN 100-068</v>
          </cell>
          <cell r="D41">
            <v>510</v>
          </cell>
        </row>
        <row r="42">
          <cell r="A42" t="str">
            <v>MKN 100-069</v>
          </cell>
          <cell r="D42">
            <v>510</v>
          </cell>
        </row>
        <row r="44">
          <cell r="A44" t="str">
            <v>MKN 100-070</v>
          </cell>
          <cell r="D44">
            <v>420</v>
          </cell>
        </row>
        <row r="45">
          <cell r="A45" t="str">
            <v>MKN 100-071</v>
          </cell>
          <cell r="D45">
            <v>460</v>
          </cell>
        </row>
        <row r="46">
          <cell r="A46" t="str">
            <v>MKN 100-072</v>
          </cell>
          <cell r="D46">
            <v>650</v>
          </cell>
        </row>
        <row r="47">
          <cell r="A47" t="str">
            <v>MKN 100-073</v>
          </cell>
          <cell r="D47">
            <v>670</v>
          </cell>
        </row>
        <row r="48">
          <cell r="A48" t="str">
            <v>MKN 100-074</v>
          </cell>
          <cell r="D48">
            <v>810</v>
          </cell>
        </row>
        <row r="54">
          <cell r="A54" t="str">
            <v>MKN 100-075</v>
          </cell>
          <cell r="B54" t="str">
            <v>Thru 4-1/8" OD</v>
          </cell>
          <cell r="D54">
            <v>500</v>
          </cell>
          <cell r="E54">
            <v>200</v>
          </cell>
        </row>
        <row r="55">
          <cell r="A55" t="str">
            <v>MKN 100-076</v>
          </cell>
          <cell r="B55" t="str">
            <v>Thru 5-3/8" OD</v>
          </cell>
          <cell r="D55">
            <v>576</v>
          </cell>
          <cell r="E55">
            <v>220</v>
          </cell>
        </row>
        <row r="56">
          <cell r="A56" t="str">
            <v>MKN 100-077</v>
          </cell>
          <cell r="B56" t="str">
            <v>Thru 8-7/8" OD</v>
          </cell>
          <cell r="D56">
            <v>596</v>
          </cell>
          <cell r="E56">
            <v>330.1</v>
          </cell>
        </row>
        <row r="57">
          <cell r="A57" t="str">
            <v>MKN 100-078</v>
          </cell>
          <cell r="B57" t="str">
            <v>Thru 11-3/4" OD</v>
          </cell>
          <cell r="D57">
            <v>616</v>
          </cell>
          <cell r="E57">
            <v>535</v>
          </cell>
        </row>
      </sheetData>
      <sheetData sheetId="6">
        <row r="9">
          <cell r="A9" t="str">
            <v>MKN100-020</v>
          </cell>
          <cell r="B9" t="str">
            <v>Thru 4 1/2" Wasphip Pin</v>
          </cell>
          <cell r="D9">
            <v>300</v>
          </cell>
          <cell r="E9">
            <v>165</v>
          </cell>
        </row>
        <row r="10">
          <cell r="A10" t="str">
            <v>MKN100-021</v>
          </cell>
          <cell r="B10" t="str">
            <v>Thru 5 3/4" Wasphip Pin</v>
          </cell>
          <cell r="D10">
            <v>360</v>
          </cell>
          <cell r="E10">
            <v>185</v>
          </cell>
        </row>
        <row r="11">
          <cell r="A11" t="str">
            <v>MKN100-022</v>
          </cell>
          <cell r="B11" t="str">
            <v>Thru 8 3/8" Wasphip Pin</v>
          </cell>
          <cell r="D11">
            <v>460</v>
          </cell>
          <cell r="E11">
            <v>250</v>
          </cell>
        </row>
        <row r="12">
          <cell r="A12" t="str">
            <v>MKN100-023</v>
          </cell>
          <cell r="B12" t="str">
            <v>Thru 10 3/4" Wasphip Pin</v>
          </cell>
          <cell r="D12">
            <v>490</v>
          </cell>
          <cell r="E12">
            <v>265</v>
          </cell>
        </row>
        <row r="13">
          <cell r="A13" t="str">
            <v>MKN100-024</v>
          </cell>
          <cell r="B13" t="str">
            <v>Thru 13 3/8" Wasphip Pin</v>
          </cell>
          <cell r="D13">
            <v>680</v>
          </cell>
          <cell r="E13">
            <v>370</v>
          </cell>
        </row>
        <row r="14">
          <cell r="A14" t="str">
            <v>MKN100-025</v>
          </cell>
          <cell r="B14" t="str">
            <v>Thru 16 1/2" Wasphip Pin</v>
          </cell>
          <cell r="D14">
            <v>760</v>
          </cell>
          <cell r="E14">
            <v>440</v>
          </cell>
        </row>
        <row r="15">
          <cell r="A15" t="str">
            <v>MKN100-026</v>
          </cell>
          <cell r="B15" t="str">
            <v>Thru 20" Wasphip Pin</v>
          </cell>
          <cell r="D15">
            <v>850</v>
          </cell>
          <cell r="E15">
            <v>475</v>
          </cell>
        </row>
        <row r="20">
          <cell r="A20" t="str">
            <v>MKN100-027</v>
          </cell>
          <cell r="B20" t="str">
            <v>7 5/8" OD &amp; Smaller</v>
          </cell>
          <cell r="D20">
            <v>165</v>
          </cell>
        </row>
        <row r="21">
          <cell r="A21" t="str">
            <v>MKN100-028</v>
          </cell>
          <cell r="B21" t="str">
            <v>9 5/8" OD &amp; Smaller</v>
          </cell>
          <cell r="D21">
            <v>260</v>
          </cell>
        </row>
        <row r="22">
          <cell r="A22" t="str">
            <v>MKN100-029</v>
          </cell>
          <cell r="B22" t="str">
            <v>11 3/4" OD &amp; Smaller</v>
          </cell>
          <cell r="D22">
            <v>300</v>
          </cell>
        </row>
        <row r="27">
          <cell r="A27" t="str">
            <v>MKN100-030</v>
          </cell>
          <cell r="B27" t="str">
            <v>Thru 10 segments</v>
          </cell>
          <cell r="D27">
            <v>150</v>
          </cell>
          <cell r="E27">
            <v>15</v>
          </cell>
        </row>
        <row r="28">
          <cell r="A28" t="str">
            <v>MKN100-031</v>
          </cell>
          <cell r="B28" t="str">
            <v>Larger than 10 segments</v>
          </cell>
          <cell r="D28">
            <v>190</v>
          </cell>
          <cell r="E28">
            <v>25</v>
          </cell>
        </row>
        <row r="32">
          <cell r="A32" t="str">
            <v>MKN 100-032</v>
          </cell>
          <cell r="B32" t="str">
            <v>Casing Thru 6-5/8" OD</v>
          </cell>
          <cell r="D32">
            <v>1050</v>
          </cell>
        </row>
        <row r="33">
          <cell r="A33" t="str">
            <v>MKN 100-033</v>
          </cell>
          <cell r="B33" t="str">
            <v>Casing Thru 8-5/8" OD</v>
          </cell>
          <cell r="D33">
            <v>1400</v>
          </cell>
        </row>
        <row r="35">
          <cell r="A35" t="str">
            <v>MKN 100-034</v>
          </cell>
          <cell r="B35" t="str">
            <v>Mechanical cutter (Any size)</v>
          </cell>
          <cell r="D35">
            <v>1850</v>
          </cell>
        </row>
        <row r="36">
          <cell r="A36" t="str">
            <v>MKN 100-035</v>
          </cell>
          <cell r="B36" t="str">
            <v>Hydraulic or washover cutter (Any size)</v>
          </cell>
          <cell r="D36">
            <v>2251</v>
          </cell>
        </row>
        <row r="41">
          <cell r="A41" t="str">
            <v>PER CUT</v>
          </cell>
          <cell r="B41" t="str">
            <v>Thru 9-5/8" OD OR Smaller</v>
          </cell>
          <cell r="D41">
            <v>1800</v>
          </cell>
        </row>
        <row r="42">
          <cell r="A42" t="str">
            <v>PER CUT</v>
          </cell>
          <cell r="B42" t="str">
            <v>Thru 10-3/4" OD</v>
          </cell>
          <cell r="D42">
            <v>2050</v>
          </cell>
        </row>
        <row r="43">
          <cell r="A43" t="str">
            <v>PER CUT</v>
          </cell>
          <cell r="B43" t="str">
            <v>Thru 13-3/8" OD</v>
          </cell>
          <cell r="D43">
            <v>2500</v>
          </cell>
        </row>
        <row r="44">
          <cell r="A44" t="str">
            <v>PER CUT</v>
          </cell>
          <cell r="B44" t="str">
            <v>Thru 18" OD</v>
          </cell>
          <cell r="D44">
            <v>2570</v>
          </cell>
        </row>
        <row r="45">
          <cell r="A45" t="str">
            <v>PER CUT</v>
          </cell>
          <cell r="B45" t="str">
            <v>Thru 26" OD</v>
          </cell>
          <cell r="D45">
            <v>2600</v>
          </cell>
        </row>
        <row r="46">
          <cell r="A46" t="str">
            <v>PER CUT</v>
          </cell>
          <cell r="B46" t="str">
            <v>Thru 30" OD</v>
          </cell>
          <cell r="D46">
            <v>3700</v>
          </cell>
        </row>
        <row r="47">
          <cell r="A47" t="str">
            <v>PER CUT</v>
          </cell>
          <cell r="B47" t="str">
            <v>Thru 36" OD</v>
          </cell>
          <cell r="D47">
            <v>3700</v>
          </cell>
        </row>
        <row r="48">
          <cell r="A48" t="str">
            <v>PER CUT</v>
          </cell>
          <cell r="B48" t="str">
            <v>Thru 42" OD</v>
          </cell>
          <cell r="D48">
            <v>5500</v>
          </cell>
        </row>
        <row r="55">
          <cell r="A55" t="str">
            <v>MKN 100-045</v>
          </cell>
          <cell r="D55">
            <v>975</v>
          </cell>
          <cell r="E55">
            <v>575</v>
          </cell>
        </row>
        <row r="56">
          <cell r="A56" t="str">
            <v>MKN 100-046</v>
          </cell>
          <cell r="D56">
            <v>1250</v>
          </cell>
          <cell r="E56">
            <v>600</v>
          </cell>
        </row>
        <row r="58">
          <cell r="A58" t="str">
            <v>MKN 100-047</v>
          </cell>
          <cell r="D58">
            <v>750</v>
          </cell>
          <cell r="E58">
            <v>240</v>
          </cell>
        </row>
        <row r="59">
          <cell r="A59" t="str">
            <v>MKN 100-048</v>
          </cell>
          <cell r="D59">
            <v>800</v>
          </cell>
          <cell r="E59">
            <v>330</v>
          </cell>
        </row>
      </sheetData>
      <sheetData sheetId="7">
        <row r="7">
          <cell r="A7" t="str">
            <v>MKN 100-0205</v>
          </cell>
          <cell r="B7" t="str">
            <v>Fishing Tool Supervisor</v>
          </cell>
          <cell r="C7" t="str">
            <v>$/day</v>
          </cell>
          <cell r="D7">
            <v>1200</v>
          </cell>
        </row>
        <row r="8">
          <cell r="A8" t="str">
            <v>MKN 100-0210</v>
          </cell>
          <cell r="B8" t="str">
            <v xml:space="preserve">Tools pick up </v>
          </cell>
          <cell r="C8" t="str">
            <v>$/day</v>
          </cell>
          <cell r="D8">
            <v>2</v>
          </cell>
        </row>
        <row r="9">
          <cell r="A9" t="str">
            <v>MKN 100-0215</v>
          </cell>
          <cell r="B9" t="str">
            <v xml:space="preserve"> Truck</v>
          </cell>
          <cell r="C9" t="str">
            <v>$/1 km</v>
          </cell>
          <cell r="D9">
            <v>3</v>
          </cell>
        </row>
        <row r="14">
          <cell r="A14" t="str">
            <v>MKN 100-001</v>
          </cell>
          <cell r="B14" t="str">
            <v>Thru 3-3/4" OD</v>
          </cell>
          <cell r="D14">
            <v>270</v>
          </cell>
          <cell r="E14">
            <v>25</v>
          </cell>
        </row>
        <row r="15">
          <cell r="A15" t="str">
            <v>MKN 100-002</v>
          </cell>
          <cell r="B15" t="str">
            <v>Thru 4-1/4" OD</v>
          </cell>
          <cell r="D15">
            <v>280</v>
          </cell>
          <cell r="E15">
            <v>25</v>
          </cell>
        </row>
        <row r="16">
          <cell r="A16" t="str">
            <v>MKN 100-003</v>
          </cell>
          <cell r="B16" t="str">
            <v>Thru 4-3/4" OD</v>
          </cell>
          <cell r="D16">
            <v>380</v>
          </cell>
          <cell r="E16">
            <v>35</v>
          </cell>
        </row>
        <row r="17">
          <cell r="A17" t="str">
            <v>MKN 100-004</v>
          </cell>
          <cell r="B17" t="str">
            <v>Thru 5-3/4" OD</v>
          </cell>
          <cell r="D17">
            <v>400</v>
          </cell>
          <cell r="E17">
            <v>40</v>
          </cell>
        </row>
        <row r="18">
          <cell r="A18" t="str">
            <v>MKN 100-005</v>
          </cell>
          <cell r="B18" t="str">
            <v>Thru 6-1/8" OD</v>
          </cell>
          <cell r="D18">
            <v>420</v>
          </cell>
          <cell r="E18">
            <v>40</v>
          </cell>
        </row>
        <row r="19">
          <cell r="A19" t="str">
            <v>MKN 100-006</v>
          </cell>
          <cell r="B19" t="str">
            <v>Thru 6-3/4" OD</v>
          </cell>
          <cell r="D19">
            <v>470</v>
          </cell>
          <cell r="E19">
            <v>45</v>
          </cell>
        </row>
        <row r="20">
          <cell r="A20" t="str">
            <v>MKN 100-007</v>
          </cell>
          <cell r="B20" t="str">
            <v>Thru 7-3/4" OD</v>
          </cell>
          <cell r="D20">
            <v>490</v>
          </cell>
          <cell r="E20">
            <v>50</v>
          </cell>
        </row>
        <row r="21">
          <cell r="A21" t="str">
            <v>MKN 100-008</v>
          </cell>
          <cell r="B21" t="str">
            <v>Thru 9-3/4" OD</v>
          </cell>
          <cell r="D21">
            <v>550</v>
          </cell>
          <cell r="E21">
            <v>65</v>
          </cell>
        </row>
        <row r="22">
          <cell r="A22" t="str">
            <v>MKN 100-009</v>
          </cell>
          <cell r="B22" t="str">
            <v>Thru 10-3/4" OD</v>
          </cell>
          <cell r="D22">
            <v>600</v>
          </cell>
          <cell r="E22">
            <v>85</v>
          </cell>
        </row>
        <row r="23">
          <cell r="A23" t="str">
            <v>MKN 100-011</v>
          </cell>
          <cell r="B23" t="str">
            <v>Thru 12-1/4" OD</v>
          </cell>
          <cell r="D23">
            <v>1050</v>
          </cell>
          <cell r="E23">
            <v>100</v>
          </cell>
        </row>
        <row r="27">
          <cell r="A27" t="str">
            <v>MKN 100-012</v>
          </cell>
          <cell r="B27" t="str">
            <v>Thru 8-3/4" OD</v>
          </cell>
          <cell r="D27">
            <v>230</v>
          </cell>
        </row>
        <row r="28">
          <cell r="A28" t="str">
            <v>MKN 100-013</v>
          </cell>
          <cell r="B28" t="str">
            <v>Thru 17-1/2" OD</v>
          </cell>
          <cell r="D28">
            <v>300</v>
          </cell>
        </row>
        <row r="30">
          <cell r="A30" t="str">
            <v>MKN 100-014</v>
          </cell>
          <cell r="B30" t="str">
            <v>Thru 7" OD</v>
          </cell>
          <cell r="D30">
            <v>510</v>
          </cell>
        </row>
        <row r="31">
          <cell r="A31" t="str">
            <v>MKN 100-015</v>
          </cell>
          <cell r="B31" t="str">
            <v>Thru 10-3/4" OD</v>
          </cell>
          <cell r="D31">
            <v>820</v>
          </cell>
        </row>
        <row r="32">
          <cell r="A32" t="str">
            <v>MKN 100-016</v>
          </cell>
          <cell r="B32" t="str">
            <v>Thru 13-3/8" OD</v>
          </cell>
          <cell r="D32">
            <v>1030</v>
          </cell>
        </row>
        <row r="37">
          <cell r="A37" t="str">
            <v>MKN 100-017</v>
          </cell>
          <cell r="D37">
            <v>85</v>
          </cell>
        </row>
        <row r="38">
          <cell r="A38" t="str">
            <v>MKN 100-018</v>
          </cell>
          <cell r="D38">
            <v>100</v>
          </cell>
        </row>
        <row r="40">
          <cell r="A40" t="str">
            <v>MKN 100-019</v>
          </cell>
          <cell r="D40">
            <v>95</v>
          </cell>
        </row>
      </sheetData>
      <sheetData sheetId="8">
        <row r="5">
          <cell r="A5" t="str">
            <v> MKN-025</v>
          </cell>
          <cell r="B5" t="str">
            <v xml:space="preserve"> MECHANICAL SETTING TOOL, per run </v>
          </cell>
          <cell r="C5">
            <v>1850</v>
          </cell>
        </row>
        <row r="6">
          <cell r="A6" t="str">
            <v> MKN-026</v>
          </cell>
          <cell r="B6" t="str">
            <v xml:space="preserve"> Wire line kit for cement Retainer/Bridge plug, Per run</v>
          </cell>
          <cell r="C6">
            <v>300</v>
          </cell>
        </row>
        <row r="7">
          <cell r="A7" t="str">
            <v> MKN-027</v>
          </cell>
          <cell r="B7" t="str">
            <v xml:space="preserve"> Tubing Stinger Coupling/ (SSA), Per job</v>
          </cell>
          <cell r="C7">
            <v>350</v>
          </cell>
        </row>
        <row r="8">
          <cell r="A8" t="str">
            <v> MKN-028</v>
          </cell>
          <cell r="B8" t="str">
            <v xml:space="preserve"> Tubing Centralizer ,Per job</v>
          </cell>
          <cell r="C8">
            <v>300</v>
          </cell>
        </row>
        <row r="14">
          <cell r="A14" t="str">
            <v>MKN-029</v>
          </cell>
          <cell r="B14" t="str">
            <v>4 1/2"</v>
          </cell>
          <cell r="C14">
            <v>3000</v>
          </cell>
        </row>
        <row r="15">
          <cell r="A15" t="str">
            <v>MKN-030</v>
          </cell>
          <cell r="B15" t="str">
            <v>5"</v>
          </cell>
          <cell r="C15">
            <v>3200</v>
          </cell>
        </row>
        <row r="16">
          <cell r="A16" t="str">
            <v>MKN-031</v>
          </cell>
          <cell r="B16" t="str">
            <v>5 1/2"</v>
          </cell>
          <cell r="C16">
            <v>3250</v>
          </cell>
        </row>
        <row r="17">
          <cell r="A17" t="str">
            <v>MKN-032</v>
          </cell>
          <cell r="B17" t="str">
            <v>7"</v>
          </cell>
          <cell r="C17">
            <v>2700</v>
          </cell>
        </row>
        <row r="18">
          <cell r="A18" t="str">
            <v>MKN-033</v>
          </cell>
          <cell r="B18" t="str">
            <v>9 5/8"</v>
          </cell>
          <cell r="C18">
            <v>4500</v>
          </cell>
        </row>
        <row r="19">
          <cell r="A19" t="str">
            <v>MKN-034</v>
          </cell>
          <cell r="B19" t="str">
            <v>13 3/8"</v>
          </cell>
          <cell r="C19">
            <v>7200</v>
          </cell>
        </row>
      </sheetData>
      <sheetData sheetId="9">
        <row r="7">
          <cell r="A7" t="str">
            <v>MKN-001</v>
          </cell>
          <cell r="B7" t="str">
            <v>Pick-up with tools traveling to wells, per KM.</v>
          </cell>
          <cell r="C7">
            <v>3</v>
          </cell>
        </row>
        <row r="8">
          <cell r="A8" t="str">
            <v>MKN-002</v>
          </cell>
          <cell r="B8" t="str">
            <v>Tool operator, per day or fraction</v>
          </cell>
          <cell r="C8">
            <v>950</v>
          </cell>
        </row>
        <row r="9">
          <cell r="A9" t="str">
            <v>MKN-003</v>
          </cell>
          <cell r="B9" t="str">
            <v>Assistant Tool Operator, per day or fraction</v>
          </cell>
          <cell r="C9">
            <v>800</v>
          </cell>
        </row>
        <row r="10">
          <cell r="A10" t="str">
            <v>MKN-004</v>
          </cell>
          <cell r="B10" t="str">
            <v>Supervisor or Engineer, per day or fraction</v>
          </cell>
          <cell r="C10">
            <v>1050</v>
          </cell>
        </row>
        <row r="11">
          <cell r="A11" t="str">
            <v>MKN-005</v>
          </cell>
          <cell r="B11" t="str">
            <v>Helper, per day or fraction</v>
          </cell>
          <cell r="C11">
            <v>500</v>
          </cell>
        </row>
        <row r="13">
          <cell r="A13" t="str">
            <v>MKN-006</v>
          </cell>
          <cell r="C13">
            <v>2200</v>
          </cell>
        </row>
        <row r="14">
          <cell r="C14">
            <v>850</v>
          </cell>
        </row>
        <row r="15">
          <cell r="A15" t="str">
            <v>MKN-008</v>
          </cell>
          <cell r="C15">
            <v>2900</v>
          </cell>
        </row>
        <row r="16">
          <cell r="C16">
            <v>950</v>
          </cell>
        </row>
        <row r="17">
          <cell r="A17" t="str">
            <v>MKN-010</v>
          </cell>
          <cell r="C17">
            <v>5000</v>
          </cell>
        </row>
        <row r="18">
          <cell r="C18">
            <v>1100</v>
          </cell>
        </row>
        <row r="21">
          <cell r="A21" t="str">
            <v>MKN-012</v>
          </cell>
          <cell r="C21">
            <v>2200</v>
          </cell>
        </row>
        <row r="22">
          <cell r="C22">
            <v>850</v>
          </cell>
        </row>
        <row r="23">
          <cell r="A23" t="str">
            <v>MKN-014</v>
          </cell>
          <cell r="C23">
            <v>2900</v>
          </cell>
        </row>
        <row r="24">
          <cell r="C24">
            <v>950</v>
          </cell>
        </row>
        <row r="25">
          <cell r="A25" t="str">
            <v>MKN-016</v>
          </cell>
          <cell r="C25">
            <v>5000</v>
          </cell>
        </row>
        <row r="26">
          <cell r="C26">
            <v>1100</v>
          </cell>
        </row>
        <row r="29">
          <cell r="A29" t="str">
            <v>MKN-018</v>
          </cell>
          <cell r="C29">
            <v>1900</v>
          </cell>
        </row>
        <row r="30">
          <cell r="C30">
            <v>800</v>
          </cell>
        </row>
        <row r="31">
          <cell r="A31" t="str">
            <v>MKN-020</v>
          </cell>
          <cell r="C31">
            <v>2700</v>
          </cell>
        </row>
        <row r="32">
          <cell r="C32">
            <v>1000</v>
          </cell>
        </row>
        <row r="33">
          <cell r="A33" t="str">
            <v>MKN-022</v>
          </cell>
          <cell r="C33">
            <v>4500</v>
          </cell>
        </row>
        <row r="34">
          <cell r="C34">
            <v>1200</v>
          </cell>
        </row>
        <row r="35">
          <cell r="A35" t="str">
            <v>MKN-024</v>
          </cell>
          <cell r="B35" t="str">
            <v>Crossover subs, Per sub, Per job.</v>
          </cell>
          <cell r="C35">
            <v>50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WAHA 2 Price List"/>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sheetData sheetId="1"/>
      <sheetData sheetId="2">
        <row r="6">
          <cell r="A6" t="str">
            <v>MKN100-636</v>
          </cell>
          <cell r="B6" t="str">
            <v>Multi Barrier Corrosion Measurements for up to 4 barriers. (Minimum 3 wells).</v>
          </cell>
          <cell r="C6" t="str">
            <v>Per Job</v>
          </cell>
          <cell r="D6">
            <v>63200</v>
          </cell>
        </row>
        <row r="7">
          <cell r="A7" t="str">
            <v>MKN100-637</v>
          </cell>
          <cell r="B7" t="str">
            <v>Noise-Log for leak detection (Minimum 3 wells).</v>
          </cell>
          <cell r="C7" t="str">
            <v>Per Job</v>
          </cell>
          <cell r="D7">
            <v>62000</v>
          </cell>
        </row>
        <row r="8">
          <cell r="A8" t="str">
            <v>MKN100-638</v>
          </cell>
          <cell r="B8" t="str">
            <v>Mechanical Cutter for Pipe and Completion From 2.5" to 4.75" ID Current Max Thickness 0.75"</v>
          </cell>
          <cell r="C8" t="str">
            <v>Per Cut</v>
          </cell>
          <cell r="D8">
            <v>78000</v>
          </cell>
        </row>
      </sheetData>
      <sheetData sheetId="3">
        <row r="9">
          <cell r="A9" t="str">
            <v>MKN100-745</v>
          </cell>
          <cell r="B9" t="str">
            <v>Whip-Stock Engineer Per Day</v>
          </cell>
          <cell r="C9">
            <v>1700</v>
          </cell>
        </row>
        <row r="10">
          <cell r="A10" t="str">
            <v>MKN100-746</v>
          </cell>
          <cell r="B10" t="str">
            <v>Full set Whip Stock with Mechanical Anchor (2 Strips)</v>
          </cell>
          <cell r="C10">
            <v>64000</v>
          </cell>
          <cell r="D10">
            <v>50000</v>
          </cell>
          <cell r="E10">
            <v>38000</v>
          </cell>
        </row>
        <row r="11">
          <cell r="A11" t="str">
            <v>MKN100-747</v>
          </cell>
          <cell r="B11" t="str">
            <v>Full set Whip-Stock with Mechanical Anchor (1 Strip)</v>
          </cell>
          <cell r="C11">
            <v>70000</v>
          </cell>
          <cell r="D11">
            <v>65000</v>
          </cell>
          <cell r="E11">
            <v>45000</v>
          </cell>
        </row>
        <row r="12">
          <cell r="A12" t="str">
            <v>MKN100-748</v>
          </cell>
          <cell r="B12" t="str">
            <v>Full set Whip-Stock with Hydraulic System (2 Strips)</v>
          </cell>
          <cell r="C12">
            <v>72000</v>
          </cell>
          <cell r="D12">
            <v>58000</v>
          </cell>
          <cell r="E12">
            <v>47000</v>
          </cell>
        </row>
        <row r="13">
          <cell r="A13" t="str">
            <v>MKN100-749</v>
          </cell>
          <cell r="B13" t="str">
            <v>Full set Whip-Stock with Hydraulic System (1 Strip)</v>
          </cell>
          <cell r="C13">
            <v>76000</v>
          </cell>
          <cell r="D13">
            <v>71000</v>
          </cell>
          <cell r="E13">
            <v>51000</v>
          </cell>
        </row>
      </sheetData>
      <sheetData sheetId="4">
        <row r="3">
          <cell r="A3" t="str">
            <v>MKN100-726</v>
          </cell>
          <cell r="B3" t="str">
            <v>Operation coordinator Commuting from CONTRACTOR base to COMPANY offices at Client as directed daily. (Equal Time Rotation). EXPAT</v>
          </cell>
          <cell r="D3">
            <v>1330.56</v>
          </cell>
        </row>
        <row r="4">
          <cell r="A4" t="str">
            <v>MKN100-727</v>
          </cell>
          <cell r="B4" t="str">
            <v>Operation coordinator Commuting from CONTRACTOR base to COMPANY offices at Client as directed daily. (Equal Time Rotation). NATIONAL</v>
          </cell>
          <cell r="D4">
            <v>810.81</v>
          </cell>
        </row>
        <row r="5">
          <cell r="A5" t="str">
            <v>MKN100-728</v>
          </cell>
          <cell r="B5" t="str">
            <v>Standard Wellhead Maintenance Crew Operating Cost - Mixed crew i.e. national and expat. Crew consist of 3 to 4 Personnel.</v>
          </cell>
          <cell r="D5">
            <v>1871.1</v>
          </cell>
        </row>
        <row r="6">
          <cell r="A6" t="str">
            <v>MKN100-729</v>
          </cell>
          <cell r="B6" t="str">
            <v>Standard Wellhead Maintenance Package and Crew Operating Cost - Equipment Only</v>
          </cell>
          <cell r="D6">
            <v>2494.8000000000002</v>
          </cell>
        </row>
        <row r="7">
          <cell r="A7" t="str">
            <v>MKN100-730</v>
          </cell>
          <cell r="B7" t="str">
            <v>Monthly Standard Wellhead Maintenance Package and Crew Operating Cost - Equipment Only</v>
          </cell>
          <cell r="D7">
            <v>41372.1</v>
          </cell>
        </row>
        <row r="8">
          <cell r="A8" t="str">
            <v>MKN100-731</v>
          </cell>
          <cell r="B8" t="str">
            <v>Standard Wellhead Maintenance Package and Crew Operating Cost - Mixed crew i.e. national and expat personnel-inclusive of consumables. Crew consist of 3 to 4 Personnel.</v>
          </cell>
          <cell r="D8">
            <v>4072.76</v>
          </cell>
        </row>
        <row r="9">
          <cell r="A9" t="str">
            <v>MKN100-732</v>
          </cell>
          <cell r="B9" t="str">
            <v>Monthly Standard Wellhead Maintenance Package and Crew Operating Cost - Mixed crew i.e., national and expat personnel-inclusive of consumables. Crew consist of 3 to 4 Personnel</v>
          </cell>
          <cell r="D9">
            <v>89792.01</v>
          </cell>
        </row>
        <row r="10">
          <cell r="A10" t="str">
            <v>MKN100-733</v>
          </cell>
          <cell r="B10" t="str">
            <v>Stand by Rate for Standard Wellhead Maintenance Package and Crew - Waiting on client decision</v>
          </cell>
          <cell r="D10">
            <v>2494.8000000000002</v>
          </cell>
        </row>
        <row r="11">
          <cell r="A11" t="str">
            <v>MKN100-734</v>
          </cell>
          <cell r="B11" t="str">
            <v>Standard Wellhead Maintenance Package and Crew Operating Cost - Mixed crew i.e national and expat personnel-excluding consumables. Crew consist of 3 to 4 personnel.</v>
          </cell>
          <cell r="D11">
            <v>3430.35</v>
          </cell>
        </row>
        <row r="12">
          <cell r="A12" t="str">
            <v>MKN100-735</v>
          </cell>
          <cell r="B12" t="str">
            <v>Monthly Standard Wellhead Maintenance Package and Crew Operating Cost - Mixed crew i.e. national and expat personnel-excluding consumables. Crew consist of 3 to 4 Personnel</v>
          </cell>
          <cell r="D12">
            <v>77130.899999999994</v>
          </cell>
        </row>
        <row r="13">
          <cell r="A13" t="str">
            <v>MKN100-736</v>
          </cell>
          <cell r="B13" t="str">
            <v>Call Off BPV/TWC/V/R Services Equipment Package and Crew Operating Cost.</v>
          </cell>
          <cell r="D13">
            <v>10187.1</v>
          </cell>
        </row>
        <row r="14">
          <cell r="A14" t="str">
            <v>MKN100-737</v>
          </cell>
          <cell r="B14" t="str">
            <v>Hot Tapping Operating Cost.</v>
          </cell>
          <cell r="D14">
            <v>9251.5499999999993</v>
          </cell>
        </row>
        <row r="15">
          <cell r="A15" t="str">
            <v>MKN100-738</v>
          </cell>
          <cell r="B15" t="str">
            <v>Gate Valve Drilling and Milling Operating Cost.</v>
          </cell>
          <cell r="D15">
            <v>16663.5</v>
          </cell>
        </row>
        <row r="16">
          <cell r="A16" t="str">
            <v>MKN100-739</v>
          </cell>
          <cell r="B16" t="str">
            <v>Workshop Services and Personnel Package Operating Cost.</v>
          </cell>
          <cell r="D16">
            <v>1247.4000000000001</v>
          </cell>
        </row>
        <row r="17">
          <cell r="A17" t="str">
            <v>MKN100-740</v>
          </cell>
          <cell r="B17" t="str">
            <v>Workshop Services and Personnel Package Operating Cost.</v>
          </cell>
          <cell r="D17">
            <v>22869</v>
          </cell>
        </row>
        <row r="18">
          <cell r="A18" t="str">
            <v>MKN100-741</v>
          </cell>
          <cell r="B18" t="str">
            <v>Inventory Management Service in COMPANY facility Operating Cost.</v>
          </cell>
          <cell r="D18">
            <v>1247.4000000000001</v>
          </cell>
        </row>
        <row r="19">
          <cell r="A19" t="str">
            <v>MKN100-742</v>
          </cell>
          <cell r="B19" t="str">
            <v>Monthly Inventory Management Service in COMPANY facility Operating Cost.</v>
          </cell>
          <cell r="D19">
            <v>25987.5</v>
          </cell>
        </row>
        <row r="23">
          <cell r="A23" t="str">
            <v>MKN100-743</v>
          </cell>
          <cell r="B23" t="str">
            <v>INSULTION ENGINEER</v>
          </cell>
          <cell r="C23">
            <v>554</v>
          </cell>
        </row>
        <row r="24">
          <cell r="A24" t="str">
            <v>MKN100-744</v>
          </cell>
          <cell r="B24" t="str">
            <v>SIKA TECH</v>
          </cell>
          <cell r="C24">
            <v>120</v>
          </cell>
        </row>
      </sheetData>
      <sheetData sheetId="5">
        <row r="6">
          <cell r="A6" t="str">
            <v>MKN100-710</v>
          </cell>
          <cell r="B6" t="str">
            <v>Cellar Cleaning, Well Head gratings and surface painting</v>
          </cell>
          <cell r="D6">
            <v>23740.5</v>
          </cell>
        </row>
        <row r="7">
          <cell r="A7" t="str">
            <v>MKN100-711</v>
          </cell>
          <cell r="B7" t="str">
            <v>Sand berm with Gate and Well sign height 2m wide 3m Price by linear meter</v>
          </cell>
          <cell r="D7">
            <v>76.42</v>
          </cell>
        </row>
        <row r="8">
          <cell r="A8" t="str">
            <v>MKN100-712</v>
          </cell>
          <cell r="B8" t="str">
            <v>Aluminum Scaffolding maximum 5 m length</v>
          </cell>
          <cell r="D8">
            <v>6625.5</v>
          </cell>
        </row>
        <row r="9">
          <cell r="A9" t="str">
            <v>MKN100-713</v>
          </cell>
          <cell r="B9" t="str">
            <v>Well Pad 8m by 8m depth 50 cm</v>
          </cell>
          <cell r="D9">
            <v>25200</v>
          </cell>
        </row>
        <row r="10">
          <cell r="A10" t="str">
            <v>MKN100-714</v>
          </cell>
          <cell r="B10" t="str">
            <v>Fill and remove sand from well site if more than 20 cm and max 60cm.</v>
          </cell>
          <cell r="D10">
            <v>1.92</v>
          </cell>
        </row>
        <row r="11">
          <cell r="A11" t="str">
            <v>MKN100-715</v>
          </cell>
          <cell r="B11" t="str">
            <v>Remove old sand berm and level the place.</v>
          </cell>
          <cell r="D11">
            <v>26.57</v>
          </cell>
        </row>
        <row r="12">
          <cell r="A12" t="str">
            <v>MKN100-716</v>
          </cell>
          <cell r="B12" t="str">
            <v>Wellhead dig-out team of 4 people</v>
          </cell>
          <cell r="D12">
            <v>199.5</v>
          </cell>
        </row>
        <row r="13">
          <cell r="A13" t="str">
            <v>MKN100-717</v>
          </cell>
          <cell r="B13" t="str">
            <v>4x4 Car with Driver</v>
          </cell>
          <cell r="D13">
            <v>136.5</v>
          </cell>
        </row>
        <row r="14">
          <cell r="A14" t="str">
            <v>MKN100-718</v>
          </cell>
          <cell r="B14" t="str">
            <v>Dig-out Engineer with gas monitor devices</v>
          </cell>
          <cell r="D14">
            <v>294</v>
          </cell>
        </row>
        <row r="15">
          <cell r="A15" t="str">
            <v>MKN100-719</v>
          </cell>
          <cell r="B15" t="str">
            <v>Accommodation and Food per one person (if not provided by client)</v>
          </cell>
          <cell r="D15">
            <v>102.9</v>
          </cell>
        </row>
        <row r="16">
          <cell r="A16" t="str">
            <v>MKN100-720</v>
          </cell>
          <cell r="B16" t="str">
            <v>Wellhead sign</v>
          </cell>
          <cell r="D16">
            <v>109.2</v>
          </cell>
        </row>
        <row r="17">
          <cell r="A17" t="str">
            <v>MKN100-721</v>
          </cell>
          <cell r="B17" t="str">
            <v>Sand berm metal gate 6m x 1.5m</v>
          </cell>
          <cell r="D17">
            <v>6170.85</v>
          </cell>
        </row>
        <row r="18">
          <cell r="A18" t="str">
            <v>MKN100-722</v>
          </cell>
          <cell r="B18" t="str">
            <v>1.8m height Barbed Wire Fence installation</v>
          </cell>
          <cell r="D18">
            <v>113.4</v>
          </cell>
        </row>
        <row r="19">
          <cell r="A19" t="str">
            <v>MKN100-723</v>
          </cell>
          <cell r="B19" t="str">
            <v>Welding and Fabrication of Steel-Pipe Fence around well-site</v>
          </cell>
          <cell r="D19">
            <v>47.25</v>
          </cell>
        </row>
        <row r="20">
          <cell r="A20" t="str">
            <v>MKN100-724</v>
          </cell>
          <cell r="B20" t="str">
            <v>Reservoir/Waste Management pit, 35m x 35m x 1.8m, liquid proof, utilizing S5-Berm Polymer or enforced Synthetic polyethylene plastic</v>
          </cell>
          <cell r="D20">
            <v>40545.75</v>
          </cell>
        </row>
        <row r="21">
          <cell r="A21" t="str">
            <v>MKN100-725</v>
          </cell>
          <cell r="B21" t="str">
            <v>Cellar Reinforced-Steel and Concrete Cover (Safety Box)</v>
          </cell>
          <cell r="D21">
            <v>17150.7</v>
          </cell>
        </row>
      </sheetData>
      <sheetData sheetId="6">
        <row r="9">
          <cell r="A9" t="str">
            <v>MKN100-686</v>
          </cell>
          <cell r="B9" t="str">
            <v>Instrument charge / stand by day</v>
          </cell>
          <cell r="C9">
            <v>1750</v>
          </cell>
        </row>
        <row r="10">
          <cell r="A10" t="str">
            <v>MKN100-687</v>
          </cell>
          <cell r="B10" t="str">
            <v>Instrument charge / operating day day</v>
          </cell>
          <cell r="C10">
            <v>6125</v>
          </cell>
        </row>
        <row r="11">
          <cell r="A11" t="str">
            <v>MKN100-688</v>
          </cell>
          <cell r="B11" t="str">
            <v>Minimum charge/day</v>
          </cell>
          <cell r="C11">
            <v>15312.5</v>
          </cell>
        </row>
        <row r="15">
          <cell r="A15" t="str">
            <v>MKN100-689</v>
          </cell>
          <cell r="B15" t="str">
            <v>Instrument charge / stand by day</v>
          </cell>
          <cell r="C15">
            <v>1750</v>
          </cell>
        </row>
        <row r="16">
          <cell r="A16" t="str">
            <v>MKN100-690</v>
          </cell>
          <cell r="B16" t="str">
            <v>Instrument charge / operating day</v>
          </cell>
          <cell r="C16">
            <v>6125</v>
          </cell>
        </row>
        <row r="17">
          <cell r="A17" t="str">
            <v>MKN100-691</v>
          </cell>
          <cell r="B17" t="str">
            <v>Minimum charge / day</v>
          </cell>
          <cell r="C17">
            <v>15312.5</v>
          </cell>
        </row>
        <row r="21">
          <cell r="A21" t="str">
            <v>MKN100-692</v>
          </cell>
          <cell r="B21" t="str">
            <v>Instrument charge / stand by day</v>
          </cell>
          <cell r="C21">
            <v>657</v>
          </cell>
        </row>
        <row r="22">
          <cell r="A22" t="str">
            <v>MKN100-693</v>
          </cell>
          <cell r="B22" t="str">
            <v>Instrument charge / operating day</v>
          </cell>
          <cell r="C22">
            <v>2625</v>
          </cell>
        </row>
        <row r="23">
          <cell r="A23" t="str">
            <v>MKN100-694</v>
          </cell>
          <cell r="B23" t="str">
            <v>Minimum charge / day</v>
          </cell>
          <cell r="C23">
            <v>4922</v>
          </cell>
        </row>
        <row r="27">
          <cell r="A27" t="str">
            <v>MKN100-695</v>
          </cell>
          <cell r="B27" t="str">
            <v>Gyro survey engineer / day</v>
          </cell>
          <cell r="C27">
            <v>1050</v>
          </cell>
        </row>
        <row r="28">
          <cell r="A28" t="str">
            <v>MKN100-696</v>
          </cell>
          <cell r="B28" t="str">
            <v>EMS survey engineer / day</v>
          </cell>
          <cell r="C28">
            <v>840</v>
          </cell>
        </row>
        <row r="29">
          <cell r="A29" t="str">
            <v>MKN100-697</v>
          </cell>
          <cell r="B29" t="str">
            <v>Wireline operator / day</v>
          </cell>
          <cell r="C29">
            <v>525</v>
          </cell>
        </row>
        <row r="30">
          <cell r="A30" t="str">
            <v>MKN100-698</v>
          </cell>
          <cell r="B30" t="str">
            <v>Wireline helper / day</v>
          </cell>
          <cell r="C30">
            <v>350</v>
          </cell>
        </row>
        <row r="31">
          <cell r="A31" t="str">
            <v>MKN100-699</v>
          </cell>
          <cell r="B31" t="str">
            <v>Transpiration charge for tools and personal / trip</v>
          </cell>
          <cell r="C31">
            <v>3850</v>
          </cell>
        </row>
        <row r="37">
          <cell r="A37" t="str">
            <v>MKN100-700</v>
          </cell>
          <cell r="B37" t="str">
            <v>OMS gyro (sensor and electronics)</v>
          </cell>
          <cell r="C37">
            <v>122500</v>
          </cell>
        </row>
        <row r="38">
          <cell r="A38" t="str">
            <v>MKN100-701</v>
          </cell>
          <cell r="B38" t="str">
            <v>Surface interface box</v>
          </cell>
          <cell r="C38">
            <v>9957</v>
          </cell>
        </row>
        <row r="39">
          <cell r="A39" t="str">
            <v>MKN100-702</v>
          </cell>
          <cell r="B39" t="str">
            <v>Computer laptop</v>
          </cell>
          <cell r="C39">
            <v>4305</v>
          </cell>
        </row>
        <row r="40">
          <cell r="A40" t="str">
            <v>MKN100-703</v>
          </cell>
          <cell r="B40" t="str">
            <v>Printer</v>
          </cell>
          <cell r="C40">
            <v>1050</v>
          </cell>
        </row>
        <row r="41">
          <cell r="A41" t="str">
            <v>MKN100-704</v>
          </cell>
          <cell r="B41" t="str">
            <v>Down hole running gear</v>
          </cell>
          <cell r="C41" t="str">
            <v>-</v>
          </cell>
        </row>
        <row r="42">
          <cell r="A42" t="str">
            <v>MKN100-705</v>
          </cell>
          <cell r="B42" t="str">
            <v>Thermal-shield 1.75" od</v>
          </cell>
          <cell r="C42">
            <v>22750</v>
          </cell>
        </row>
        <row r="43">
          <cell r="A43" t="str">
            <v>MKN100-706</v>
          </cell>
          <cell r="B43" t="str">
            <v>Centralizer (conducting)</v>
          </cell>
          <cell r="C43">
            <v>1732.5</v>
          </cell>
        </row>
        <row r="44">
          <cell r="A44" t="str">
            <v>MKN100-707</v>
          </cell>
          <cell r="B44" t="str">
            <v>Centralizer (non-conducting)</v>
          </cell>
          <cell r="C44">
            <v>1417.5</v>
          </cell>
        </row>
        <row r="45">
          <cell r="A45" t="str">
            <v>MKN100-708</v>
          </cell>
          <cell r="B45" t="str">
            <v>Cable head assembly (htc-3)</v>
          </cell>
          <cell r="C45">
            <v>833</v>
          </cell>
        </row>
        <row r="46">
          <cell r="A46" t="str">
            <v>MKN100-709</v>
          </cell>
          <cell r="B46" t="str">
            <v>Wireline crossover</v>
          </cell>
          <cell r="C46">
            <v>325.5</v>
          </cell>
        </row>
      </sheetData>
      <sheetData sheetId="7">
        <row r="4">
          <cell r="A4" t="str">
            <v>MKN100-679</v>
          </cell>
          <cell r="B4" t="str">
            <v>API Modified Thread Compound Baker, 2gal -25 (Ib/pail)</v>
          </cell>
          <cell r="C4">
            <v>300</v>
          </cell>
        </row>
        <row r="5">
          <cell r="A5" t="str">
            <v>MKN100-680</v>
          </cell>
          <cell r="B5" t="str">
            <v>API Modified Thread Compound Baker, 3.5gal -50 (Ib/pail)</v>
          </cell>
          <cell r="C5">
            <v>450</v>
          </cell>
        </row>
        <row r="6">
          <cell r="A6" t="str">
            <v>MKN100-681</v>
          </cell>
          <cell r="B6" t="str">
            <v>Thread lock Compound (Tight lock)</v>
          </cell>
          <cell r="C6">
            <v>90</v>
          </cell>
        </row>
        <row r="10">
          <cell r="A10" t="str">
            <v>MKN100-682</v>
          </cell>
          <cell r="B10" t="str">
            <v>For 5" Casing per Month</v>
          </cell>
          <cell r="C10">
            <v>2100</v>
          </cell>
        </row>
        <row r="11">
          <cell r="A11" t="str">
            <v>MKN100-683</v>
          </cell>
          <cell r="B11" t="str">
            <v>For 7" Casing per Month</v>
          </cell>
          <cell r="C11">
            <v>3000</v>
          </cell>
        </row>
        <row r="12">
          <cell r="A12" t="str">
            <v>MKN100-684</v>
          </cell>
          <cell r="B12" t="str">
            <v>For 9 5/8" Casing per Month</v>
          </cell>
          <cell r="C12">
            <v>4000</v>
          </cell>
        </row>
        <row r="13">
          <cell r="A13" t="str">
            <v>MKN100-685</v>
          </cell>
          <cell r="B13" t="str">
            <v>For 13 3/8" Casing per Month</v>
          </cell>
          <cell r="C13">
            <v>5000</v>
          </cell>
        </row>
        <row r="17">
          <cell r="A17" t="str">
            <v>MKN100-710</v>
          </cell>
          <cell r="B17" t="str">
            <v>Complete 5"x 7" Liner hanger with float equipment and liner packer all connection Sales Mechanical Liner</v>
          </cell>
          <cell r="C17">
            <v>68200</v>
          </cell>
        </row>
        <row r="18">
          <cell r="A18" t="str">
            <v>MKN100-711</v>
          </cell>
          <cell r="B18" t="str">
            <v>Complete 7"x 9 5/8" Liner hanger with float equipment and liner packer all connection Sales Mechanical Liner</v>
          </cell>
          <cell r="C18">
            <v>59800</v>
          </cell>
        </row>
        <row r="19">
          <cell r="A19" t="str">
            <v>MKN100-712</v>
          </cell>
          <cell r="B19" t="str">
            <v>Complete 5"x 7" Liner hanger with float equipment and liner packer all connection Sales Hydraulic Liner</v>
          </cell>
          <cell r="C19">
            <v>80000</v>
          </cell>
        </row>
        <row r="20">
          <cell r="A20" t="str">
            <v>MKN100-713</v>
          </cell>
          <cell r="B20" t="str">
            <v>Complete 7"x 9 5/8" Liner hanger with float equipment and liner packer all connection Sales Hydraulic Liner</v>
          </cell>
          <cell r="C20">
            <v>75500</v>
          </cell>
        </row>
        <row r="21">
          <cell r="A21" t="str">
            <v>MKN100-714</v>
          </cell>
          <cell r="B21" t="str">
            <v>LUM SUM Charge 5 Days for Running Tool</v>
          </cell>
          <cell r="C21">
            <v>19250</v>
          </cell>
        </row>
        <row r="22">
          <cell r="A22" t="str">
            <v>MKN100-715</v>
          </cell>
          <cell r="B22" t="str">
            <v>Liner Engineer per day</v>
          </cell>
          <cell r="C22">
            <v>1800</v>
          </cell>
        </row>
        <row r="23">
          <cell r="A23" t="str">
            <v>MKN100-716</v>
          </cell>
          <cell r="B23" t="str">
            <v>Assistant Operator Per day</v>
          </cell>
          <cell r="C23">
            <v>1200</v>
          </cell>
        </row>
        <row r="24">
          <cell r="A24" t="str">
            <v>MKN100-717</v>
          </cell>
          <cell r="B24" t="str">
            <v>Make UP liner per Job</v>
          </cell>
          <cell r="C24">
            <v>2600</v>
          </cell>
        </row>
        <row r="25">
          <cell r="A25" t="str">
            <v>MKN100-718</v>
          </cell>
          <cell r="B25" t="str">
            <v>Extra Days for Running Tool after 5 days per day</v>
          </cell>
          <cell r="C25">
            <v>2850</v>
          </cell>
        </row>
      </sheetData>
      <sheetData sheetId="8">
        <row r="3">
          <cell r="A3" t="str">
            <v>MKN100-633</v>
          </cell>
          <cell r="B3" t="str">
            <v>20", BTC 94 PPF</v>
          </cell>
          <cell r="C3">
            <v>10900</v>
          </cell>
        </row>
        <row r="7">
          <cell r="A7" t="str">
            <v>MKN100-646</v>
          </cell>
          <cell r="B7" t="str">
            <v>7", 23-38 PPF</v>
          </cell>
          <cell r="C7">
            <v>975</v>
          </cell>
        </row>
        <row r="8">
          <cell r="A8" t="str">
            <v>MKN100-647</v>
          </cell>
          <cell r="B8" t="str">
            <v>9 5/8", 36-53.5 PPF</v>
          </cell>
          <cell r="C8">
            <v>1150</v>
          </cell>
        </row>
        <row r="9">
          <cell r="A9" t="str">
            <v>MKN100-648</v>
          </cell>
          <cell r="B9" t="str">
            <v>13 3/8", 54.5-72 PPF</v>
          </cell>
          <cell r="C9">
            <v>1350</v>
          </cell>
        </row>
        <row r="10">
          <cell r="A10" t="str">
            <v>MKN100-649</v>
          </cell>
          <cell r="B10" t="str">
            <v>Centralizer Std Bow</v>
          </cell>
          <cell r="C10">
            <v>500</v>
          </cell>
        </row>
        <row r="11">
          <cell r="A11" t="str">
            <v>MKN100-650</v>
          </cell>
          <cell r="B11" t="str">
            <v>20" Csg Stabilizers for 24"-26"hole</v>
          </cell>
          <cell r="C11">
            <v>150</v>
          </cell>
        </row>
        <row r="12">
          <cell r="A12" t="str">
            <v>MKN100-651</v>
          </cell>
          <cell r="B12" t="str">
            <v>Welded centralizer for 20" Csg x 5" Dp</v>
          </cell>
          <cell r="C12">
            <v>195</v>
          </cell>
        </row>
        <row r="13">
          <cell r="A13" t="str">
            <v>MKN100-652</v>
          </cell>
          <cell r="B13" t="str">
            <v>18 5/8" Csg for 24" hole</v>
          </cell>
          <cell r="C13">
            <v>185</v>
          </cell>
        </row>
        <row r="14">
          <cell r="A14" t="str">
            <v>MKN100-653</v>
          </cell>
          <cell r="B14" t="str">
            <v>Welded centralizer for 18 5/8" Csg x-5" Dp</v>
          </cell>
          <cell r="C14">
            <v>185</v>
          </cell>
        </row>
        <row r="15">
          <cell r="A15" t="str">
            <v>MKN100-654</v>
          </cell>
          <cell r="B15" t="str">
            <v>13 3/8" Csg for 17 1/2" hole</v>
          </cell>
          <cell r="C15">
            <v>170</v>
          </cell>
        </row>
        <row r="16">
          <cell r="A16" t="str">
            <v>MKN100-655</v>
          </cell>
          <cell r="B16" t="str">
            <v>10 3/4" Csg for 12 1/4" hole</v>
          </cell>
          <cell r="C16">
            <v>165</v>
          </cell>
        </row>
        <row r="17">
          <cell r="A17" t="str">
            <v>MKN100-656</v>
          </cell>
          <cell r="B17" t="str">
            <v>9 5/8" Csg for 11 3/4"-12 1/4"</v>
          </cell>
          <cell r="C17">
            <v>155</v>
          </cell>
        </row>
        <row r="18">
          <cell r="A18" t="str">
            <v>MKN100-657</v>
          </cell>
          <cell r="B18" t="str">
            <v>7" Csg for 8 3/8"-8 1/2" hole</v>
          </cell>
          <cell r="C18">
            <v>155</v>
          </cell>
        </row>
        <row r="19">
          <cell r="A19" t="str">
            <v>MKN100-658</v>
          </cell>
          <cell r="B19" t="str">
            <v>5 1/2" Csg for 8 1/2" hole</v>
          </cell>
          <cell r="C19">
            <v>150</v>
          </cell>
        </row>
        <row r="20">
          <cell r="A20" t="str">
            <v>MKN100-659</v>
          </cell>
          <cell r="B20" t="str">
            <v>4 1/2" Csg for 6 1/8" hole</v>
          </cell>
          <cell r="C20">
            <v>150</v>
          </cell>
        </row>
        <row r="24">
          <cell r="A24" t="str">
            <v>MKN100-660</v>
          </cell>
          <cell r="B24" t="str">
            <v>13 3/8" OD Csg with 18 5/8" OD (for use inside 20" Csg)</v>
          </cell>
          <cell r="C24">
            <v>175</v>
          </cell>
        </row>
        <row r="25">
          <cell r="A25" t="str">
            <v>MKN100-661</v>
          </cell>
          <cell r="B25" t="str">
            <v>13 3/8" OD Csg with 17" OD (for use inside 18 5/8" Csg)</v>
          </cell>
          <cell r="C25">
            <v>165</v>
          </cell>
        </row>
        <row r="26">
          <cell r="A26" t="str">
            <v>MKN100-662</v>
          </cell>
          <cell r="B26" t="str">
            <v>9 5/8" OD Csg with 12 1/8" OD (for use inside 13 3/8"Csg)</v>
          </cell>
          <cell r="C26">
            <v>125</v>
          </cell>
        </row>
        <row r="27">
          <cell r="A27" t="str">
            <v>MKN100-663</v>
          </cell>
          <cell r="B27" t="str">
            <v>7" OD Csg with 8 1/2" OD (for use inside 9 5/8" Csg)</v>
          </cell>
          <cell r="C27">
            <v>99</v>
          </cell>
        </row>
        <row r="31">
          <cell r="A31" t="str">
            <v>MKN100-664</v>
          </cell>
          <cell r="B31" t="str">
            <v>20" Csg size, hinged</v>
          </cell>
          <cell r="C31">
            <v>125</v>
          </cell>
        </row>
        <row r="32">
          <cell r="A32" t="str">
            <v>MKN100-665</v>
          </cell>
          <cell r="B32" t="str">
            <v>18 5/8" Csg size, hinged</v>
          </cell>
          <cell r="C32">
            <v>100</v>
          </cell>
        </row>
        <row r="33">
          <cell r="A33" t="str">
            <v>MKN100-666</v>
          </cell>
          <cell r="B33" t="str">
            <v>13 3/8" Csg size</v>
          </cell>
          <cell r="C33">
            <v>100</v>
          </cell>
        </row>
        <row r="34">
          <cell r="A34" t="str">
            <v>MKN100-667</v>
          </cell>
          <cell r="B34" t="str">
            <v>10 3/4" Csg size</v>
          </cell>
          <cell r="C34">
            <v>95</v>
          </cell>
        </row>
        <row r="35">
          <cell r="A35" t="str">
            <v>MKN100-668</v>
          </cell>
          <cell r="B35" t="str">
            <v>9 5/8" Csg size</v>
          </cell>
          <cell r="C35">
            <v>87</v>
          </cell>
        </row>
        <row r="36">
          <cell r="A36" t="str">
            <v>MKN100-669</v>
          </cell>
          <cell r="B36" t="str">
            <v>7" Csg size</v>
          </cell>
          <cell r="C36">
            <v>68</v>
          </cell>
        </row>
        <row r="37">
          <cell r="A37" t="str">
            <v>MKN100-670</v>
          </cell>
          <cell r="B37" t="str">
            <v>5 1/2" Csg size</v>
          </cell>
          <cell r="C37">
            <v>60</v>
          </cell>
        </row>
        <row r="38">
          <cell r="A38" t="str">
            <v>MKN100-671</v>
          </cell>
          <cell r="B38" t="str">
            <v>4 1/2" Csg size</v>
          </cell>
          <cell r="C38">
            <v>60</v>
          </cell>
        </row>
        <row r="42">
          <cell r="A42" t="str">
            <v>MKN100-675</v>
          </cell>
          <cell r="B42" t="str">
            <v>20" Csg size</v>
          </cell>
          <cell r="C42">
            <v>175</v>
          </cell>
        </row>
        <row r="43">
          <cell r="A43" t="str">
            <v>MKN100-676</v>
          </cell>
          <cell r="B43" t="str">
            <v>13 3/8" Csg size</v>
          </cell>
          <cell r="C43">
            <v>165</v>
          </cell>
        </row>
        <row r="44">
          <cell r="A44" t="str">
            <v>MKN100-677</v>
          </cell>
          <cell r="B44" t="str">
            <v>9 5/8" Csg size</v>
          </cell>
          <cell r="C44">
            <v>155</v>
          </cell>
        </row>
        <row r="45">
          <cell r="A45" t="str">
            <v>MKN100-678</v>
          </cell>
          <cell r="B45" t="str">
            <v>7" Csg size</v>
          </cell>
          <cell r="C45">
            <v>150</v>
          </cell>
        </row>
      </sheetData>
      <sheetData sheetId="9">
        <row r="9">
          <cell r="A9" t="str">
            <v>MKN100-602</v>
          </cell>
          <cell r="B9" t="str">
            <v>7", 8-rd</v>
          </cell>
          <cell r="C9">
            <v>4400</v>
          </cell>
        </row>
        <row r="10">
          <cell r="A10" t="str">
            <v>MKN100-603</v>
          </cell>
          <cell r="B10" t="str">
            <v>7", BTC</v>
          </cell>
          <cell r="C10">
            <v>4750</v>
          </cell>
        </row>
        <row r="11">
          <cell r="A11" t="str">
            <v>MKN100-604</v>
          </cell>
          <cell r="B11" t="str">
            <v>9 5/8", 8-rd</v>
          </cell>
          <cell r="C11">
            <v>5800</v>
          </cell>
        </row>
        <row r="12">
          <cell r="A12" t="str">
            <v>MKN100-605</v>
          </cell>
          <cell r="B12" t="str">
            <v>13 3/8", 8-rd</v>
          </cell>
          <cell r="C12">
            <v>7500</v>
          </cell>
        </row>
        <row r="13">
          <cell r="A13" t="str">
            <v>MKN100-606</v>
          </cell>
          <cell r="B13" t="str">
            <v>13 3/8", Buttress K-55 63-73 PPF</v>
          </cell>
          <cell r="C13">
            <v>8500</v>
          </cell>
        </row>
        <row r="14">
          <cell r="A14" t="str">
            <v>MKN100-607</v>
          </cell>
          <cell r="B14" t="str">
            <v>18 5/8" Buttress K-55 87-90 PPF</v>
          </cell>
          <cell r="C14">
            <v>8500</v>
          </cell>
        </row>
        <row r="15">
          <cell r="A15" t="str">
            <v>MKN100-608</v>
          </cell>
          <cell r="B15" t="str">
            <v>20", 8-rd</v>
          </cell>
          <cell r="C15">
            <v>9500</v>
          </cell>
        </row>
        <row r="16">
          <cell r="A16" t="str">
            <v>MKN100-609</v>
          </cell>
          <cell r="B16" t="str">
            <v>20", Buttress K-55 90-106 PPF</v>
          </cell>
          <cell r="C16">
            <v>9750</v>
          </cell>
        </row>
        <row r="20">
          <cell r="A20" t="str">
            <v>MKN100-610</v>
          </cell>
          <cell r="B20" t="str">
            <v>5", N80</v>
          </cell>
          <cell r="C20">
            <v>5400</v>
          </cell>
        </row>
        <row r="21">
          <cell r="A21" t="str">
            <v>MKN100-611</v>
          </cell>
          <cell r="B21" t="str">
            <v>7", 8-rd LTC N-80 20-35 PPF</v>
          </cell>
          <cell r="C21">
            <v>5600</v>
          </cell>
        </row>
        <row r="22">
          <cell r="A22" t="str">
            <v>MKN100-612</v>
          </cell>
          <cell r="B22" t="str">
            <v>7", BTC L-80 20-32 PPF</v>
          </cell>
          <cell r="C22">
            <v>5670</v>
          </cell>
        </row>
        <row r="23">
          <cell r="A23" t="str">
            <v>MKN100-613</v>
          </cell>
          <cell r="B23" t="str">
            <v>9 5/8", 8-rd LTC N-80 32.5-53.5 PPF</v>
          </cell>
          <cell r="C23">
            <v>6650</v>
          </cell>
        </row>
        <row r="24">
          <cell r="A24" t="str">
            <v>MKN100-614</v>
          </cell>
          <cell r="B24" t="str">
            <v>9 5/8", BTC L-80 32.5-53.5 PPF</v>
          </cell>
          <cell r="C24">
            <v>6800</v>
          </cell>
        </row>
        <row r="25">
          <cell r="A25" t="str">
            <v>MKN100-615</v>
          </cell>
          <cell r="B25" t="str">
            <v>13 3/8", 8-rd STC K-55 48-72 PPF</v>
          </cell>
          <cell r="C25">
            <v>7900</v>
          </cell>
        </row>
        <row r="26">
          <cell r="A26" t="str">
            <v>MKN100-616</v>
          </cell>
          <cell r="B26" t="str">
            <v>13 3/8", BTC K-55 48-72 PPF</v>
          </cell>
          <cell r="C26">
            <v>7900</v>
          </cell>
        </row>
        <row r="27">
          <cell r="A27" t="str">
            <v>MKN100-617</v>
          </cell>
          <cell r="B27" t="str">
            <v>13 3/8", BTC L-80 48-72 PPF</v>
          </cell>
          <cell r="C27">
            <v>7900</v>
          </cell>
        </row>
        <row r="28">
          <cell r="A28" t="str">
            <v>MKN100-618</v>
          </cell>
          <cell r="B28" t="str">
            <v>20", 8-rd 94 PPF</v>
          </cell>
          <cell r="C28">
            <v>9500</v>
          </cell>
        </row>
        <row r="29">
          <cell r="A29" t="str">
            <v>MKN100-619</v>
          </cell>
          <cell r="B29" t="str">
            <v>20", BTC 94 PPF</v>
          </cell>
          <cell r="C29">
            <v>9500</v>
          </cell>
        </row>
        <row r="33">
          <cell r="A33" t="str">
            <v>MKN100-620</v>
          </cell>
          <cell r="B33" t="str">
            <v>18 5/8", 8-rd STC K-55 87.5-139 PPF</v>
          </cell>
          <cell r="C33">
            <v>8850</v>
          </cell>
        </row>
        <row r="34">
          <cell r="A34" t="str">
            <v>MKN100-621</v>
          </cell>
          <cell r="B34" t="str">
            <v>18 5/8", BTC K-55 85.5-139 PPF</v>
          </cell>
          <cell r="C34">
            <v>8850</v>
          </cell>
        </row>
        <row r="35">
          <cell r="A35" t="str">
            <v>MKN100-622</v>
          </cell>
          <cell r="B35" t="str">
            <v>20", 8-rd STC K-55 94-133 PPF</v>
          </cell>
          <cell r="C35">
            <v>9700</v>
          </cell>
        </row>
        <row r="36">
          <cell r="A36" t="str">
            <v>MKN100-623</v>
          </cell>
          <cell r="B36" t="str">
            <v>20", BTC K-55 94-133 PPF</v>
          </cell>
          <cell r="C36">
            <v>9700</v>
          </cell>
        </row>
        <row r="40">
          <cell r="A40" t="str">
            <v>MKN100-624</v>
          </cell>
          <cell r="B40" t="str">
            <v>7", 8-rd LTC N-80 20-32 PPF</v>
          </cell>
          <cell r="C40">
            <v>5800</v>
          </cell>
        </row>
        <row r="41">
          <cell r="A41" t="str">
            <v>MKN100-625</v>
          </cell>
          <cell r="B41" t="str">
            <v>7", BTC L-80 20-32 PPF</v>
          </cell>
          <cell r="C41">
            <v>5970</v>
          </cell>
        </row>
        <row r="42">
          <cell r="A42" t="str">
            <v>MKN100-626</v>
          </cell>
          <cell r="B42" t="str">
            <v>9 5/8", LTC N-80 32.5-53.5 PPF</v>
          </cell>
          <cell r="C42">
            <v>7950</v>
          </cell>
        </row>
        <row r="43">
          <cell r="A43" t="str">
            <v>MKN100-627</v>
          </cell>
          <cell r="B43" t="str">
            <v>9 5/8", BTC L-80 32.5-53.5 PPF</v>
          </cell>
          <cell r="C43">
            <v>7950</v>
          </cell>
        </row>
        <row r="44">
          <cell r="A44" t="str">
            <v>MKN100-628</v>
          </cell>
          <cell r="B44" t="str">
            <v>13 3/8", 8-RD STC K-55 48-72 PPF</v>
          </cell>
          <cell r="C44">
            <v>9800</v>
          </cell>
        </row>
        <row r="45">
          <cell r="A45" t="str">
            <v>MKN100-629</v>
          </cell>
          <cell r="B45" t="str">
            <v>13 3/8", BTC K-55 48-72 PPF</v>
          </cell>
          <cell r="C45">
            <v>9800</v>
          </cell>
        </row>
        <row r="46">
          <cell r="A46" t="str">
            <v>MKN100-630</v>
          </cell>
          <cell r="B46" t="str">
            <v>13 3/8", BTC L-80 48-72 PPF</v>
          </cell>
          <cell r="C46">
            <v>9950</v>
          </cell>
        </row>
        <row r="47">
          <cell r="A47" t="str">
            <v>MKN100-631</v>
          </cell>
          <cell r="B47" t="str">
            <v>20", 8-rd</v>
          </cell>
          <cell r="C47">
            <v>10780</v>
          </cell>
        </row>
        <row r="48">
          <cell r="A48" t="str">
            <v>MKN100-632</v>
          </cell>
          <cell r="B48" t="str">
            <v>20", BTC</v>
          </cell>
          <cell r="C48">
            <v>10780</v>
          </cell>
        </row>
      </sheetData>
      <sheetData sheetId="10">
        <row r="7">
          <cell r="A7" t="str">
            <v>MKN100-594</v>
          </cell>
          <cell r="B7" t="str">
            <v>Redress Kit for Mechanical Packer</v>
          </cell>
          <cell r="C7">
            <v>4100</v>
          </cell>
          <cell r="D7">
            <v>3250</v>
          </cell>
          <cell r="E7">
            <v>2750</v>
          </cell>
          <cell r="F7">
            <v>2710</v>
          </cell>
        </row>
        <row r="8">
          <cell r="A8" t="str">
            <v>MKN100-595</v>
          </cell>
          <cell r="B8" t="str">
            <v>Redress Kit for Hydraulic Packer</v>
          </cell>
          <cell r="C8">
            <v>3900</v>
          </cell>
          <cell r="D8">
            <v>3600</v>
          </cell>
          <cell r="E8">
            <v>3250</v>
          </cell>
          <cell r="F8">
            <v>3200</v>
          </cell>
        </row>
      </sheetData>
      <sheetData sheetId="11">
        <row r="5">
          <cell r="A5" t="str">
            <v>MKN100-581</v>
          </cell>
          <cell r="B5" t="str">
            <v>Tubing (2-3/8" to 4-1/2") W/TRI/GRIP Backup</v>
          </cell>
          <cell r="C5" t="str">
            <v>Per Day</v>
          </cell>
          <cell r="D5">
            <v>1500</v>
          </cell>
        </row>
        <row r="6">
          <cell r="A6" t="str">
            <v>MKN100-582</v>
          </cell>
          <cell r="B6" t="str">
            <v>Casing (5" to 13-3/8")</v>
          </cell>
          <cell r="C6" t="str">
            <v>Per Day</v>
          </cell>
          <cell r="D6">
            <v>1750</v>
          </cell>
        </row>
        <row r="7">
          <cell r="A7" t="str">
            <v>MKN100-583</v>
          </cell>
          <cell r="B7" t="str">
            <v>Casing (16" to 20")</v>
          </cell>
          <cell r="C7" t="str">
            <v>Per Day</v>
          </cell>
          <cell r="D7">
            <v>1900</v>
          </cell>
        </row>
        <row r="8">
          <cell r="A8" t="str">
            <v>MKN100-584</v>
          </cell>
          <cell r="B8" t="str">
            <v>Toque Control Computer &amp; Analyzer</v>
          </cell>
          <cell r="C8" t="str">
            <v>Per Day</v>
          </cell>
          <cell r="D8">
            <v>950</v>
          </cell>
        </row>
        <row r="9">
          <cell r="A9" t="str">
            <v>MKN100-585</v>
          </cell>
          <cell r="B9" t="str">
            <v>Pickup / Lay Down Machine</v>
          </cell>
          <cell r="C9" t="str">
            <v>Per Day</v>
          </cell>
          <cell r="D9">
            <v>3500</v>
          </cell>
        </row>
        <row r="10">
          <cell r="A10" t="str">
            <v>MKN100-586</v>
          </cell>
          <cell r="B10" t="str">
            <v>Stabbing Guides (2-3/8" to 13-3/8")</v>
          </cell>
          <cell r="C10" t="str">
            <v>Per Day</v>
          </cell>
          <cell r="D10">
            <v>195</v>
          </cell>
        </row>
        <row r="11">
          <cell r="A11" t="str">
            <v>MKN100-587</v>
          </cell>
          <cell r="B11" t="str">
            <v>Hand Slips (2-3/8" to 13-3/8")</v>
          </cell>
          <cell r="C11" t="str">
            <v>Per Day</v>
          </cell>
          <cell r="D11">
            <v>170</v>
          </cell>
        </row>
        <row r="12">
          <cell r="A12" t="str">
            <v>MKN100-588</v>
          </cell>
          <cell r="B12" t="str">
            <v>Inflatable Thread Protectors (7" to 13-3/8")</v>
          </cell>
          <cell r="C12" t="str">
            <v>Per Day</v>
          </cell>
          <cell r="D12">
            <v>275</v>
          </cell>
        </row>
        <row r="13">
          <cell r="A13" t="str">
            <v>MKN100-589</v>
          </cell>
          <cell r="B13" t="str">
            <v>API Thread Compound 5 GL</v>
          </cell>
          <cell r="C13" t="str">
            <v>*</v>
          </cell>
          <cell r="D13">
            <v>450</v>
          </cell>
        </row>
        <row r="17">
          <cell r="A17" t="str">
            <v>MKN100-590</v>
          </cell>
          <cell r="B17" t="str">
            <v>Tubing / Singles (2-3/8" to 4-1/2")</v>
          </cell>
          <cell r="C17">
            <v>0.75</v>
          </cell>
          <cell r="D17">
            <v>0.85</v>
          </cell>
        </row>
        <row r="18">
          <cell r="A18" t="str">
            <v>MKN100-591</v>
          </cell>
          <cell r="B18" t="str">
            <v>Tubing / Triples</v>
          </cell>
          <cell r="C18">
            <v>0.9</v>
          </cell>
          <cell r="D18">
            <v>1.5</v>
          </cell>
        </row>
        <row r="19">
          <cell r="A19" t="str">
            <v>MKN100-592</v>
          </cell>
          <cell r="B19" t="str">
            <v>Casing (5" to 13-3/8")</v>
          </cell>
          <cell r="C19">
            <v>1.95</v>
          </cell>
          <cell r="D19">
            <v>2.1</v>
          </cell>
        </row>
        <row r="20">
          <cell r="A20" t="str">
            <v>MKN100-593</v>
          </cell>
          <cell r="B20" t="str">
            <v>Casing (16" to 20")</v>
          </cell>
          <cell r="C20">
            <v>2.5</v>
          </cell>
          <cell r="D20">
            <v>3</v>
          </cell>
        </row>
        <row r="24">
          <cell r="A24" t="str">
            <v>MKN100-596</v>
          </cell>
          <cell r="B24" t="str">
            <v>Computer Operator</v>
          </cell>
          <cell r="C24" t="str">
            <v>Per Day</v>
          </cell>
          <cell r="D24">
            <v>950</v>
          </cell>
        </row>
        <row r="25">
          <cell r="A25" t="str">
            <v>MKN100-597</v>
          </cell>
          <cell r="B25" t="str">
            <v>Tong Operator</v>
          </cell>
          <cell r="C25" t="str">
            <v>Per Day</v>
          </cell>
          <cell r="D25">
            <v>1200</v>
          </cell>
        </row>
        <row r="26">
          <cell r="A26" t="str">
            <v>MKN100-598</v>
          </cell>
          <cell r="B26" t="str">
            <v>Tong Operator Assistance</v>
          </cell>
          <cell r="C26" t="str">
            <v>Per Day</v>
          </cell>
          <cell r="D26">
            <v>850</v>
          </cell>
        </row>
        <row r="27">
          <cell r="A27" t="str">
            <v>MKN100-599</v>
          </cell>
          <cell r="B27" t="str">
            <v>Stabber</v>
          </cell>
          <cell r="C27" t="str">
            <v>Per Day</v>
          </cell>
          <cell r="D27">
            <v>1100</v>
          </cell>
        </row>
        <row r="31">
          <cell r="A31" t="str">
            <v>MKN100-600</v>
          </cell>
          <cell r="B31" t="str">
            <v>Equipment</v>
          </cell>
          <cell r="C31" t="str">
            <v>Per Day</v>
          </cell>
          <cell r="D31">
            <v>3500</v>
          </cell>
        </row>
        <row r="32">
          <cell r="A32" t="str">
            <v>MKN100-601</v>
          </cell>
          <cell r="B32" t="str">
            <v>Personnel</v>
          </cell>
          <cell r="C32" t="str">
            <v>Per Day</v>
          </cell>
          <cell r="D32">
            <v>3000</v>
          </cell>
        </row>
        <row r="36">
          <cell r="A36" t="str">
            <v>MKN100-634</v>
          </cell>
          <cell r="B36" t="str">
            <v>Inflatable thread protectors damaged beyond repair</v>
          </cell>
          <cell r="C36">
            <v>1500</v>
          </cell>
        </row>
        <row r="37">
          <cell r="A37" t="str">
            <v>MKN100-635</v>
          </cell>
          <cell r="B37" t="str">
            <v>When called to location &amp; no job is run for circumstances beyond Makaman Libya Company's control. Minimum charge plus transportation</v>
          </cell>
          <cell r="C37">
            <v>9750</v>
          </cell>
        </row>
      </sheetData>
      <sheetData sheetId="12">
        <row r="4">
          <cell r="A4" t="str">
            <v>MKN 100-569</v>
          </cell>
          <cell r="B4" t="str">
            <v>FRICTION REDUCER</v>
          </cell>
          <cell r="C4" t="str">
            <v>USG</v>
          </cell>
          <cell r="D4">
            <v>93</v>
          </cell>
        </row>
        <row r="5">
          <cell r="A5" t="str">
            <v>MKN 100-570</v>
          </cell>
          <cell r="B5" t="str">
            <v>POLYCRYAMIDE COPOLYMER</v>
          </cell>
          <cell r="C5" t="str">
            <v>USG</v>
          </cell>
          <cell r="D5">
            <v>132</v>
          </cell>
        </row>
        <row r="6">
          <cell r="A6" t="str">
            <v>MKN 100-571</v>
          </cell>
          <cell r="B6" t="str">
            <v>POLYCRYAMIDE FRICTION REDUCER FOR ACID</v>
          </cell>
          <cell r="C6" t="str">
            <v>USG</v>
          </cell>
          <cell r="D6">
            <v>125</v>
          </cell>
        </row>
        <row r="10">
          <cell r="A10" t="str">
            <v>MKN 100-572</v>
          </cell>
          <cell r="B10" t="str">
            <v>POWDER DIVERTING AGENT</v>
          </cell>
          <cell r="C10" t="str">
            <v>LBS</v>
          </cell>
          <cell r="D10">
            <v>24</v>
          </cell>
        </row>
        <row r="11">
          <cell r="A11" t="str">
            <v>MKN 100-573</v>
          </cell>
          <cell r="B11" t="str">
            <v>LIQUID DIVERTING AGENT</v>
          </cell>
          <cell r="C11" t="str">
            <v>USG</v>
          </cell>
          <cell r="D11">
            <v>88</v>
          </cell>
        </row>
        <row r="15">
          <cell r="A15" t="str">
            <v>MKN 100-574</v>
          </cell>
          <cell r="B15" t="str">
            <v>CLAY STABILIZER</v>
          </cell>
          <cell r="C15" t="str">
            <v>LBS</v>
          </cell>
          <cell r="D15">
            <v>43</v>
          </cell>
        </row>
        <row r="16">
          <cell r="A16" t="str">
            <v>MKN 100-575</v>
          </cell>
          <cell r="B16" t="str">
            <v>POLYMRT CLAY CONTROL</v>
          </cell>
          <cell r="C16" t="str">
            <v>USG</v>
          </cell>
          <cell r="D16">
            <v>84</v>
          </cell>
        </row>
        <row r="17">
          <cell r="A17" t="str">
            <v>MKN 100-576</v>
          </cell>
          <cell r="B17" t="str">
            <v>CLAY STABILIZER</v>
          </cell>
          <cell r="C17" t="str">
            <v>USG</v>
          </cell>
          <cell r="D17">
            <v>84</v>
          </cell>
        </row>
        <row r="21">
          <cell r="A21" t="str">
            <v>MKN 100-577</v>
          </cell>
          <cell r="B21" t="str">
            <v>PARAFFIN SOLVENT PS1</v>
          </cell>
          <cell r="C21" t="str">
            <v>USG</v>
          </cell>
          <cell r="D21">
            <v>77</v>
          </cell>
        </row>
        <row r="22">
          <cell r="A22" t="str">
            <v>MKN 100-578</v>
          </cell>
          <cell r="B22" t="str">
            <v>ASPHALTENE SOLVENT</v>
          </cell>
          <cell r="C22" t="str">
            <v>USG</v>
          </cell>
          <cell r="D22">
            <v>87</v>
          </cell>
        </row>
        <row r="26">
          <cell r="A26" t="str">
            <v>MKN 100-579</v>
          </cell>
          <cell r="B26" t="str">
            <v>NON EMULSIFIER</v>
          </cell>
          <cell r="C26" t="str">
            <v>USG</v>
          </cell>
          <cell r="D26">
            <v>67</v>
          </cell>
        </row>
        <row r="27">
          <cell r="A27" t="str">
            <v>MKN 100-580</v>
          </cell>
          <cell r="B27" t="str">
            <v>ANTI SLUDGE</v>
          </cell>
          <cell r="C27" t="str">
            <v>USG</v>
          </cell>
          <cell r="D27">
            <v>64</v>
          </cell>
        </row>
      </sheetData>
      <sheetData sheetId="13">
        <row r="4">
          <cell r="A4" t="str">
            <v>MKN 100-548</v>
          </cell>
          <cell r="B4" t="str">
            <v>EGMBE MUTUAL SOLVENT</v>
          </cell>
          <cell r="C4" t="str">
            <v>USG</v>
          </cell>
          <cell r="D4">
            <v>87</v>
          </cell>
        </row>
        <row r="5">
          <cell r="A5" t="str">
            <v>MKN 100-549</v>
          </cell>
          <cell r="B5" t="str">
            <v>ISOPROPYL ALCOHOL SOLVENT</v>
          </cell>
          <cell r="C5" t="str">
            <v>USG</v>
          </cell>
          <cell r="D5">
            <v>78</v>
          </cell>
        </row>
        <row r="9">
          <cell r="A9" t="str">
            <v>MKN 100-550</v>
          </cell>
          <cell r="B9" t="str">
            <v>CITRIC ACID</v>
          </cell>
          <cell r="C9" t="str">
            <v>LBS</v>
          </cell>
          <cell r="D9">
            <v>19</v>
          </cell>
        </row>
        <row r="10">
          <cell r="A10" t="str">
            <v>MKN 100-551</v>
          </cell>
          <cell r="B10" t="str">
            <v>ACID MIXTURE</v>
          </cell>
          <cell r="C10" t="str">
            <v>USG</v>
          </cell>
          <cell r="D10">
            <v>83</v>
          </cell>
        </row>
        <row r="11">
          <cell r="A11" t="str">
            <v>MKN 100-552</v>
          </cell>
          <cell r="B11" t="str">
            <v>IRON REDUCING AGENT</v>
          </cell>
          <cell r="C11" t="str">
            <v>USG</v>
          </cell>
          <cell r="D11">
            <v>61</v>
          </cell>
        </row>
        <row r="12">
          <cell r="A12" t="str">
            <v>MKN 100-553</v>
          </cell>
          <cell r="B12" t="str">
            <v>ACID MIXTURE</v>
          </cell>
          <cell r="C12" t="str">
            <v>USG</v>
          </cell>
          <cell r="D12">
            <v>79</v>
          </cell>
        </row>
        <row r="16">
          <cell r="A16" t="str">
            <v>MKN 100-554</v>
          </cell>
          <cell r="B16" t="str">
            <v>HYDROXYPROPYL GUAR</v>
          </cell>
          <cell r="C16" t="str">
            <v>LBS</v>
          </cell>
          <cell r="D16">
            <v>19</v>
          </cell>
        </row>
        <row r="17">
          <cell r="A17" t="str">
            <v>MKN 100-555</v>
          </cell>
          <cell r="B17" t="str">
            <v>HYDROXYCELLOUSE</v>
          </cell>
          <cell r="C17" t="str">
            <v>LBS</v>
          </cell>
          <cell r="D17">
            <v>22</v>
          </cell>
        </row>
        <row r="18">
          <cell r="A18" t="str">
            <v>MKN 100-556</v>
          </cell>
          <cell r="B18" t="str">
            <v>XANTHIN GEL SALVESTO</v>
          </cell>
          <cell r="C18" t="str">
            <v>LBS</v>
          </cell>
          <cell r="D18">
            <v>29</v>
          </cell>
        </row>
        <row r="19">
          <cell r="A19" t="str">
            <v>MKN 100-557</v>
          </cell>
          <cell r="B19" t="str">
            <v>HYDROXYPROPYL GUAR WITH BUFFERS</v>
          </cell>
          <cell r="C19" t="str">
            <v>LBS</v>
          </cell>
          <cell r="D19">
            <v>53</v>
          </cell>
        </row>
        <row r="20">
          <cell r="A20" t="str">
            <v>MKN 100-558</v>
          </cell>
          <cell r="B20" t="str">
            <v>POLYCRYALMIDE GELLING AGENT</v>
          </cell>
          <cell r="C20" t="str">
            <v>LBS</v>
          </cell>
          <cell r="D20">
            <v>32</v>
          </cell>
        </row>
        <row r="21">
          <cell r="A21" t="str">
            <v>MKN 100-559</v>
          </cell>
          <cell r="B21" t="str">
            <v>CROSS-LINKER FOR OIL GELLANT</v>
          </cell>
          <cell r="C21" t="str">
            <v>USG</v>
          </cell>
          <cell r="D21">
            <v>113</v>
          </cell>
        </row>
        <row r="22">
          <cell r="A22" t="str">
            <v>MKN 100-560</v>
          </cell>
          <cell r="B22" t="str">
            <v>PHOSPHATE ESTER GELLING AGENT</v>
          </cell>
          <cell r="C22" t="str">
            <v>USG</v>
          </cell>
          <cell r="D22">
            <v>99</v>
          </cell>
        </row>
        <row r="26">
          <cell r="A26" t="str">
            <v>MKN 100-561</v>
          </cell>
          <cell r="B26" t="str">
            <v>CORROSION INHIBITOR MT</v>
          </cell>
          <cell r="C26" t="str">
            <v>USG</v>
          </cell>
          <cell r="D26">
            <v>130</v>
          </cell>
        </row>
        <row r="27">
          <cell r="A27" t="str">
            <v>MKN 100-562</v>
          </cell>
          <cell r="B27" t="str">
            <v>CORROSION INHIBITOR HT</v>
          </cell>
          <cell r="C27" t="str">
            <v>USG</v>
          </cell>
          <cell r="D27">
            <v>129</v>
          </cell>
        </row>
        <row r="31">
          <cell r="A31" t="str">
            <v>MKN 100-563</v>
          </cell>
          <cell r="B31" t="str">
            <v>INHIBITOR INTENSIFIER</v>
          </cell>
          <cell r="C31" t="str">
            <v>USG</v>
          </cell>
          <cell r="D31">
            <v>89</v>
          </cell>
        </row>
        <row r="32">
          <cell r="A32" t="str">
            <v>MKN 100-564</v>
          </cell>
          <cell r="B32" t="str">
            <v>INHIBITOR INTENSIFIER</v>
          </cell>
          <cell r="C32" t="str">
            <v>LBS</v>
          </cell>
          <cell r="D32">
            <v>89</v>
          </cell>
        </row>
        <row r="36">
          <cell r="A36" t="str">
            <v>MKN 100-565</v>
          </cell>
          <cell r="B36" t="str">
            <v>SURFACTANT</v>
          </cell>
          <cell r="C36" t="str">
            <v>USG</v>
          </cell>
          <cell r="D36">
            <v>88.3</v>
          </cell>
        </row>
        <row r="40">
          <cell r="A40" t="str">
            <v>MKN 100-566</v>
          </cell>
          <cell r="B40" t="str">
            <v>OIL SOLUBLE RESIN LIQUID</v>
          </cell>
          <cell r="C40" t="str">
            <v>USG</v>
          </cell>
          <cell r="D40">
            <v>91</v>
          </cell>
        </row>
        <row r="41">
          <cell r="A41" t="str">
            <v>MKN 100-567</v>
          </cell>
          <cell r="B41" t="str">
            <v>OIL SOLUBLE RESIN/NATURAL GUM MIXTURE</v>
          </cell>
          <cell r="C41" t="str">
            <v>LBS</v>
          </cell>
          <cell r="D41">
            <v>13</v>
          </cell>
        </row>
        <row r="42">
          <cell r="A42" t="str">
            <v>MKN 100-568</v>
          </cell>
          <cell r="B42" t="str">
            <v>PARTICULATE FLUID LOSS</v>
          </cell>
          <cell r="C42" t="str">
            <v>LBS</v>
          </cell>
          <cell r="D42">
            <v>44</v>
          </cell>
        </row>
      </sheetData>
      <sheetData sheetId="14">
        <row r="4">
          <cell r="A4" t="str">
            <v>MKN 100-526</v>
          </cell>
          <cell r="B4" t="str">
            <v>12-3 MUD ACID</v>
          </cell>
          <cell r="C4" t="str">
            <v>USG</v>
          </cell>
          <cell r="D4">
            <v>11</v>
          </cell>
        </row>
        <row r="5">
          <cell r="A5" t="str">
            <v>MKN 100-527</v>
          </cell>
          <cell r="B5" t="str">
            <v>6-15 MUD ACID</v>
          </cell>
          <cell r="C5" t="str">
            <v>USG</v>
          </cell>
          <cell r="D5">
            <v>6.3</v>
          </cell>
        </row>
        <row r="6">
          <cell r="A6" t="str">
            <v>MKN 100-528</v>
          </cell>
          <cell r="B6" t="str">
            <v>12-6 MUD ACID</v>
          </cell>
          <cell r="C6" t="str">
            <v>USG</v>
          </cell>
          <cell r="D6">
            <v>14</v>
          </cell>
        </row>
        <row r="10">
          <cell r="A10" t="str">
            <v>MKN 100-529</v>
          </cell>
          <cell r="B10" t="str">
            <v>ACETIC ACID</v>
          </cell>
          <cell r="C10" t="str">
            <v>USG</v>
          </cell>
          <cell r="D10">
            <v>19</v>
          </cell>
        </row>
        <row r="11">
          <cell r="A11" t="str">
            <v>MKN 100-530</v>
          </cell>
          <cell r="B11" t="str">
            <v>FORMIC ACID</v>
          </cell>
          <cell r="C11" t="str">
            <v>USG</v>
          </cell>
          <cell r="D11">
            <v>32</v>
          </cell>
        </row>
        <row r="12">
          <cell r="A12" t="str">
            <v>MKN 100-531</v>
          </cell>
          <cell r="B12" t="str">
            <v>ALCOHOLIC ACID</v>
          </cell>
          <cell r="C12" t="str">
            <v>USG</v>
          </cell>
          <cell r="D12">
            <v>65</v>
          </cell>
        </row>
        <row r="13">
          <cell r="A13" t="str">
            <v>MKN 100-532</v>
          </cell>
          <cell r="B13" t="str">
            <v>OIL MISCIBLE ACID</v>
          </cell>
          <cell r="C13" t="str">
            <v>USG</v>
          </cell>
          <cell r="D13">
            <v>83</v>
          </cell>
        </row>
        <row r="17">
          <cell r="A17" t="str">
            <v>MKN 100-533</v>
          </cell>
          <cell r="B17" t="str">
            <v>OXIDIZING BREAKER</v>
          </cell>
          <cell r="C17" t="str">
            <v>LBS</v>
          </cell>
          <cell r="D17">
            <v>22</v>
          </cell>
        </row>
        <row r="18">
          <cell r="A18" t="str">
            <v>MKN 100-534</v>
          </cell>
          <cell r="B18" t="str">
            <v>ENZYME BREAKER</v>
          </cell>
          <cell r="C18" t="str">
            <v>USG</v>
          </cell>
          <cell r="D18">
            <v>86</v>
          </cell>
        </row>
        <row r="19">
          <cell r="A19" t="str">
            <v>MKN 100-535</v>
          </cell>
          <cell r="B19" t="str">
            <v>ANME BREAKER CATYLIST</v>
          </cell>
          <cell r="C19" t="str">
            <v>USG</v>
          </cell>
          <cell r="D19">
            <v>73</v>
          </cell>
        </row>
        <row r="20">
          <cell r="A20" t="str">
            <v>MKN 100-536</v>
          </cell>
          <cell r="B20" t="str">
            <v>GEL BREAKING</v>
          </cell>
          <cell r="C20" t="str">
            <v>USG</v>
          </cell>
          <cell r="D20">
            <v>73</v>
          </cell>
        </row>
        <row r="24">
          <cell r="A24" t="str">
            <v>MKN 100-537</v>
          </cell>
          <cell r="B24" t="str">
            <v>LOW TEMPERATURE PLUG</v>
          </cell>
          <cell r="C24" t="str">
            <v>USG</v>
          </cell>
          <cell r="D24">
            <v>83</v>
          </cell>
        </row>
        <row r="28">
          <cell r="A28" t="str">
            <v>MKN 100-538</v>
          </cell>
          <cell r="B28" t="str">
            <v>AMMONIUM CHLORIDE</v>
          </cell>
          <cell r="C28" t="str">
            <v>LBS</v>
          </cell>
          <cell r="D28">
            <v>7</v>
          </cell>
        </row>
        <row r="29">
          <cell r="A29" t="str">
            <v>MKN 100-539</v>
          </cell>
          <cell r="B29" t="str">
            <v>POTASSIUM CHLORIDE</v>
          </cell>
          <cell r="C29" t="str">
            <v>LBS</v>
          </cell>
          <cell r="D29">
            <v>7</v>
          </cell>
        </row>
        <row r="30">
          <cell r="A30" t="str">
            <v>MKN - 100-540</v>
          </cell>
          <cell r="B30" t="str">
            <v>SODIUM CHLORIDE</v>
          </cell>
          <cell r="C30" t="str">
            <v>LBS</v>
          </cell>
          <cell r="D30">
            <v>2</v>
          </cell>
        </row>
        <row r="31">
          <cell r="A31" t="str">
            <v>MKN 100-541</v>
          </cell>
          <cell r="B31" t="str">
            <v>AMMONIUM BIFLUORIDE</v>
          </cell>
          <cell r="C31" t="str">
            <v>LBS</v>
          </cell>
          <cell r="D31">
            <v>12</v>
          </cell>
        </row>
        <row r="32">
          <cell r="A32" t="str">
            <v>MKN 100-542</v>
          </cell>
          <cell r="B32" t="str">
            <v>CALCIUM CHLORIDE</v>
          </cell>
          <cell r="C32" t="str">
            <v>LBS</v>
          </cell>
          <cell r="D32">
            <v>3</v>
          </cell>
        </row>
        <row r="33">
          <cell r="A33" t="str">
            <v>MKN 100-543</v>
          </cell>
          <cell r="B33" t="str">
            <v>AMMONIUM PROSULPHATE</v>
          </cell>
          <cell r="C33" t="str">
            <v>LBS</v>
          </cell>
          <cell r="D33">
            <v>28</v>
          </cell>
        </row>
        <row r="34">
          <cell r="A34" t="str">
            <v>MKN 100-544</v>
          </cell>
          <cell r="B34" t="str">
            <v>SODA ASH</v>
          </cell>
          <cell r="C34" t="str">
            <v>LBS</v>
          </cell>
          <cell r="D34">
            <v>9</v>
          </cell>
        </row>
        <row r="35">
          <cell r="A35" t="str">
            <v>MKN 100-545</v>
          </cell>
          <cell r="B35" t="str">
            <v>CAUSTIC SODA</v>
          </cell>
          <cell r="C35" t="str">
            <v>LBS</v>
          </cell>
          <cell r="D35">
            <v>9</v>
          </cell>
        </row>
        <row r="39">
          <cell r="A39" t="str">
            <v>MKN 100-546</v>
          </cell>
          <cell r="B39" t="str">
            <v>FOAMING AGENT</v>
          </cell>
          <cell r="C39" t="str">
            <v>USG</v>
          </cell>
          <cell r="D39">
            <v>63</v>
          </cell>
        </row>
        <row r="40">
          <cell r="A40" t="str">
            <v>MKN 100-547</v>
          </cell>
          <cell r="B40" t="str">
            <v>FOAMER</v>
          </cell>
          <cell r="C40" t="str">
            <v>USG</v>
          </cell>
          <cell r="D40">
            <v>74</v>
          </cell>
        </row>
      </sheetData>
      <sheetData sheetId="15"/>
      <sheetData sheetId="16">
        <row r="6">
          <cell r="A6" t="str">
            <v>MKN 100-498</v>
          </cell>
          <cell r="B6" t="str">
            <v>LOW TEMP RETARDER - POWDER</v>
          </cell>
          <cell r="C6" t="str">
            <v>LBS</v>
          </cell>
          <cell r="D6">
            <v>33</v>
          </cell>
        </row>
        <row r="7">
          <cell r="A7" t="str">
            <v>MKN 100-499</v>
          </cell>
          <cell r="B7" t="str">
            <v>LOW TEMP RETARDER - LIQUID</v>
          </cell>
          <cell r="C7" t="str">
            <v>GAL</v>
          </cell>
          <cell r="D7">
            <v>58</v>
          </cell>
        </row>
        <row r="8">
          <cell r="A8" t="str">
            <v>MKN 100-500</v>
          </cell>
          <cell r="B8" t="str">
            <v>MODERATE TEMP RETARDER - POWDER</v>
          </cell>
          <cell r="C8" t="str">
            <v>LBS</v>
          </cell>
          <cell r="D8">
            <v>36</v>
          </cell>
        </row>
        <row r="9">
          <cell r="A9" t="str">
            <v>MKN 100-501</v>
          </cell>
          <cell r="B9" t="str">
            <v>MODERATE TEMP RETARDER - LIQUID</v>
          </cell>
          <cell r="C9" t="str">
            <v>GAL</v>
          </cell>
          <cell r="D9">
            <v>96</v>
          </cell>
        </row>
        <row r="10">
          <cell r="A10" t="str">
            <v>MKN 100-502</v>
          </cell>
          <cell r="B10" t="str">
            <v>HIGH TEMP RETARDER - POWDER</v>
          </cell>
          <cell r="C10" t="str">
            <v>LBS</v>
          </cell>
          <cell r="D10">
            <v>58</v>
          </cell>
        </row>
        <row r="11">
          <cell r="A11" t="str">
            <v>MKN 100-503</v>
          </cell>
          <cell r="B11" t="str">
            <v>HIGH TEMP RETARDER - LIQUID</v>
          </cell>
          <cell r="C11" t="str">
            <v>GAL</v>
          </cell>
          <cell r="D11">
            <v>111</v>
          </cell>
        </row>
        <row r="14">
          <cell r="A14" t="str">
            <v>MKN 100-504</v>
          </cell>
          <cell r="B14" t="str">
            <v>ANTIFOAM - LIQUID</v>
          </cell>
          <cell r="C14" t="str">
            <v>Gal</v>
          </cell>
          <cell r="D14">
            <v>110</v>
          </cell>
        </row>
        <row r="15">
          <cell r="A15" t="str">
            <v>MKN 100-505</v>
          </cell>
          <cell r="B15" t="str">
            <v>DEFOAMER - LIQUID</v>
          </cell>
          <cell r="C15" t="str">
            <v>Gal</v>
          </cell>
          <cell r="D15">
            <v>109</v>
          </cell>
        </row>
        <row r="16">
          <cell r="A16" t="str">
            <v>MKN 100-406</v>
          </cell>
          <cell r="B16" t="str">
            <v>DEFOAMER - POWDER</v>
          </cell>
          <cell r="C16" t="str">
            <v>LBS</v>
          </cell>
          <cell r="D16">
            <v>57</v>
          </cell>
        </row>
        <row r="17">
          <cell r="A17" t="str">
            <v>MKN 100-507</v>
          </cell>
          <cell r="B17" t="str">
            <v>ANTIFOAM - POWDER</v>
          </cell>
          <cell r="C17" t="str">
            <v>LBS</v>
          </cell>
          <cell r="D17">
            <v>39</v>
          </cell>
        </row>
        <row r="20">
          <cell r="A20" t="str">
            <v>MKN 100-508</v>
          </cell>
          <cell r="B20" t="str">
            <v>THIXOTROPIC AID - LIQUID</v>
          </cell>
          <cell r="C20" t="str">
            <v>GAL</v>
          </cell>
          <cell r="D20">
            <v>57</v>
          </cell>
        </row>
        <row r="21">
          <cell r="A21" t="str">
            <v>MKN 100-509</v>
          </cell>
          <cell r="B21" t="str">
            <v>THIXOTROPIC - LIQUID</v>
          </cell>
          <cell r="C21" t="str">
            <v>GAL</v>
          </cell>
          <cell r="D21">
            <v>49</v>
          </cell>
        </row>
        <row r="22">
          <cell r="A22" t="str">
            <v>MKN 100-510</v>
          </cell>
          <cell r="B22" t="str">
            <v>GAS BLOCK ADDITIVES</v>
          </cell>
          <cell r="C22" t="str">
            <v>GAL</v>
          </cell>
          <cell r="D22">
            <v>63</v>
          </cell>
        </row>
        <row r="23">
          <cell r="A23" t="str">
            <v>MKN 100-511</v>
          </cell>
          <cell r="B23" t="str">
            <v>HIGH TEMP GAS BLOCK ADDITIVES</v>
          </cell>
          <cell r="C23" t="str">
            <v>GAL</v>
          </cell>
          <cell r="D23">
            <v>103</v>
          </cell>
        </row>
        <row r="24">
          <cell r="A24" t="str">
            <v>MKN 100-512</v>
          </cell>
          <cell r="B24" t="str">
            <v>SLURRY BOND ADDITIVES</v>
          </cell>
          <cell r="C24" t="str">
            <v>GAL</v>
          </cell>
          <cell r="D24">
            <v>68</v>
          </cell>
        </row>
        <row r="27">
          <cell r="A27" t="str">
            <v>MKN 100-513</v>
          </cell>
          <cell r="B27" t="str">
            <v>FIBER - CEMENT</v>
          </cell>
          <cell r="C27" t="str">
            <v>LBS</v>
          </cell>
          <cell r="D27">
            <v>42</v>
          </cell>
        </row>
        <row r="28">
          <cell r="A28" t="str">
            <v>MKN 100-514</v>
          </cell>
          <cell r="B28" t="str">
            <v>SPACER - POWDER</v>
          </cell>
          <cell r="C28" t="str">
            <v>LBS</v>
          </cell>
          <cell r="D28">
            <v>62</v>
          </cell>
        </row>
        <row r="29">
          <cell r="A29" t="str">
            <v>MKN 100-515</v>
          </cell>
          <cell r="B29" t="str">
            <v>SPACER CONCENTRATE - LIQUID</v>
          </cell>
          <cell r="C29" t="str">
            <v>GAL</v>
          </cell>
          <cell r="D29">
            <v>63</v>
          </cell>
        </row>
        <row r="30">
          <cell r="A30" t="str">
            <v>MKN 100-516</v>
          </cell>
          <cell r="B30" t="str">
            <v>SILICA FLOUR</v>
          </cell>
          <cell r="C30" t="str">
            <v>LBS</v>
          </cell>
          <cell r="D30">
            <v>3</v>
          </cell>
        </row>
        <row r="31">
          <cell r="A31" t="str">
            <v>MKN 100-517</v>
          </cell>
          <cell r="B31" t="str">
            <v>CHEMICAL WASH CONCENTRATE - LIQUID</v>
          </cell>
          <cell r="C31" t="str">
            <v>GAL</v>
          </cell>
          <cell r="D31">
            <v>67</v>
          </cell>
        </row>
        <row r="32">
          <cell r="A32" t="str">
            <v>MKN 100-518</v>
          </cell>
          <cell r="B32" t="str">
            <v>WEIGHTING AGENT</v>
          </cell>
          <cell r="C32" t="str">
            <v>LBS</v>
          </cell>
          <cell r="D32">
            <v>5</v>
          </cell>
        </row>
        <row r="33">
          <cell r="A33" t="str">
            <v>MKN 100-519</v>
          </cell>
          <cell r="B33" t="str">
            <v>HEMATITE WEIGHTING AGENT</v>
          </cell>
          <cell r="C33" t="str">
            <v>LBS</v>
          </cell>
          <cell r="D33">
            <v>14</v>
          </cell>
        </row>
        <row r="34">
          <cell r="A34" t="str">
            <v>MKN 100-520</v>
          </cell>
          <cell r="B34" t="str">
            <v>SODIUM CHLORIDE</v>
          </cell>
          <cell r="C34" t="str">
            <v>LBS</v>
          </cell>
          <cell r="D34">
            <v>9</v>
          </cell>
        </row>
        <row r="37">
          <cell r="A37" t="str">
            <v>MKN 100-521</v>
          </cell>
          <cell r="B37" t="str">
            <v>28% HCL</v>
          </cell>
          <cell r="C37" t="str">
            <v>USG</v>
          </cell>
          <cell r="D37">
            <v>11</v>
          </cell>
        </row>
        <row r="38">
          <cell r="A38" t="str">
            <v>MKN 100-522</v>
          </cell>
          <cell r="B38" t="str">
            <v>15% HCL</v>
          </cell>
          <cell r="C38" t="str">
            <v>USG</v>
          </cell>
          <cell r="D38">
            <v>6.2</v>
          </cell>
        </row>
        <row r="39">
          <cell r="A39" t="str">
            <v>MKN 100-523</v>
          </cell>
          <cell r="B39" t="str">
            <v>10% HCL</v>
          </cell>
          <cell r="C39" t="str">
            <v>USG</v>
          </cell>
          <cell r="D39">
            <v>4.2</v>
          </cell>
        </row>
        <row r="40">
          <cell r="A40" t="str">
            <v>MKN 100-524</v>
          </cell>
          <cell r="B40" t="str">
            <v>7.5% HCL</v>
          </cell>
          <cell r="C40" t="str">
            <v>USG</v>
          </cell>
          <cell r="D40">
            <v>3.93</v>
          </cell>
        </row>
        <row r="41">
          <cell r="A41" t="str">
            <v>MKN 100-525</v>
          </cell>
          <cell r="B41" t="str">
            <v>5% HCL</v>
          </cell>
          <cell r="C41" t="str">
            <v>USG</v>
          </cell>
          <cell r="D41">
            <v>3.4</v>
          </cell>
        </row>
      </sheetData>
      <sheetData sheetId="17">
        <row r="9">
          <cell r="A9" t="str">
            <v>MKN 100-482</v>
          </cell>
          <cell r="B9" t="str">
            <v>103A, Gialo, Nafoora, Amal</v>
          </cell>
          <cell r="C9" t="str">
            <v>per cubic foot</v>
          </cell>
          <cell r="D9">
            <v>30</v>
          </cell>
        </row>
        <row r="10">
          <cell r="A10" t="str">
            <v>MKN 100-483</v>
          </cell>
          <cell r="B10" t="str">
            <v>Waha, Samah, Sarir, Zelten, Tibesti,beda</v>
          </cell>
          <cell r="C10" t="str">
            <v>per cubic foot</v>
          </cell>
          <cell r="D10">
            <v>32</v>
          </cell>
        </row>
        <row r="11">
          <cell r="A11" t="str">
            <v>MKN 100-484</v>
          </cell>
          <cell r="B11" t="str">
            <v>Zella</v>
          </cell>
          <cell r="C11" t="str">
            <v>per cubic foot</v>
          </cell>
          <cell r="D11">
            <v>33.299999999999997</v>
          </cell>
        </row>
        <row r="12">
          <cell r="A12" t="str">
            <v>MKN 100-485</v>
          </cell>
          <cell r="B12" t="str">
            <v>Dahra</v>
          </cell>
          <cell r="C12" t="str">
            <v>per cubic foot</v>
          </cell>
          <cell r="D12">
            <v>30</v>
          </cell>
        </row>
        <row r="13">
          <cell r="A13" t="str">
            <v>MKN 100-486</v>
          </cell>
          <cell r="B13" t="str">
            <v>Hamada</v>
          </cell>
          <cell r="C13" t="str">
            <v>per cubic foot</v>
          </cell>
          <cell r="D13">
            <v>45</v>
          </cell>
        </row>
        <row r="18">
          <cell r="A18" t="str">
            <v>MKN 100-487</v>
          </cell>
          <cell r="B18" t="str">
            <v>LightWight high CS Cement 10 - 12.5 ppg</v>
          </cell>
          <cell r="C18" t="str">
            <v>per cubic foot</v>
          </cell>
          <cell r="D18">
            <v>45</v>
          </cell>
        </row>
        <row r="19">
          <cell r="A19" t="str">
            <v>MKN 100-488</v>
          </cell>
          <cell r="B19" t="str">
            <v>Heavyweight high CS Cement 17 - 22 ppg</v>
          </cell>
          <cell r="C19" t="str">
            <v>per cubic foot</v>
          </cell>
          <cell r="D19">
            <v>55</v>
          </cell>
        </row>
        <row r="20">
          <cell r="A20" t="str">
            <v>MKN 100-489</v>
          </cell>
          <cell r="B20" t="str">
            <v>Microfine Cement - Squeeze Cement</v>
          </cell>
          <cell r="C20" t="str">
            <v>per cubic foot</v>
          </cell>
          <cell r="D20">
            <v>45</v>
          </cell>
        </row>
        <row r="25">
          <cell r="A25" t="str">
            <v>MKN 100-490</v>
          </cell>
          <cell r="B25" t="str">
            <v>Powder Accelerator</v>
          </cell>
          <cell r="C25" t="str">
            <v>LBS</v>
          </cell>
          <cell r="D25">
            <v>3</v>
          </cell>
        </row>
        <row r="26">
          <cell r="A26" t="str">
            <v>MKN 100-491</v>
          </cell>
          <cell r="B26" t="str">
            <v>Liquid Accelerator</v>
          </cell>
          <cell r="C26" t="str">
            <v>GAL</v>
          </cell>
          <cell r="D26">
            <v>34</v>
          </cell>
        </row>
        <row r="30">
          <cell r="A30" t="str">
            <v>MKN 100-492</v>
          </cell>
          <cell r="B30" t="str">
            <v>LOW TEMPERATURE FLUID LOSS - POWDER</v>
          </cell>
          <cell r="C30" t="str">
            <v>LBS</v>
          </cell>
          <cell r="D30">
            <v>55</v>
          </cell>
        </row>
        <row r="31">
          <cell r="A31" t="str">
            <v>MKN 100-493</v>
          </cell>
          <cell r="B31" t="str">
            <v>LOW TEMPERATURE FLUID LOSS - LIQUID</v>
          </cell>
          <cell r="C31" t="str">
            <v>GAL</v>
          </cell>
          <cell r="D31">
            <v>53</v>
          </cell>
        </row>
        <row r="32">
          <cell r="A32" t="str">
            <v>MKN 100-494</v>
          </cell>
          <cell r="B32" t="str">
            <v>WIDE RANGE FLUID LOSS - POWDER</v>
          </cell>
          <cell r="C32" t="str">
            <v>LBS</v>
          </cell>
          <cell r="D32">
            <v>66</v>
          </cell>
        </row>
        <row r="33">
          <cell r="A33" t="str">
            <v>MKN 100-495</v>
          </cell>
          <cell r="B33" t="str">
            <v>WIDE RANGE FLUID LOSS - LIQUID</v>
          </cell>
          <cell r="C33" t="str">
            <v>GAL</v>
          </cell>
          <cell r="D33">
            <v>73</v>
          </cell>
        </row>
        <row r="37">
          <cell r="A37" t="str">
            <v>MKN 100-496</v>
          </cell>
          <cell r="B37" t="str">
            <v>DISPERSANT - POWDER</v>
          </cell>
          <cell r="C37" t="str">
            <v>LBS</v>
          </cell>
          <cell r="D37">
            <v>62</v>
          </cell>
        </row>
        <row r="38">
          <cell r="A38" t="str">
            <v>MKN 100-497</v>
          </cell>
          <cell r="B38" t="str">
            <v>DISPERSANT - LIQUID</v>
          </cell>
          <cell r="C38" t="str">
            <v>GAL</v>
          </cell>
          <cell r="D38">
            <v>89</v>
          </cell>
        </row>
      </sheetData>
      <sheetData sheetId="18">
        <row r="7">
          <cell r="A7" t="str">
            <v>MKN 100-397</v>
          </cell>
          <cell r="B7" t="str">
            <v>Unconsolidated core plugging (rental charge)</v>
          </cell>
          <cell r="C7" t="str">
            <v>day</v>
          </cell>
          <cell r="D7">
            <v>1100</v>
          </cell>
        </row>
        <row r="8">
          <cell r="A8" t="str">
            <v>MKN 100-398</v>
          </cell>
          <cell r="B8" t="str">
            <v>Unconsolidated Plugging (1" or 1 1/2" Diameter)</v>
          </cell>
          <cell r="C8" t="str">
            <v>sample</v>
          </cell>
          <cell r="D8">
            <v>100</v>
          </cell>
        </row>
        <row r="9">
          <cell r="A9" t="str">
            <v>MKN 100-399</v>
          </cell>
          <cell r="B9" t="str">
            <v>Unconsolidated Plug Taker Core Head</v>
          </cell>
          <cell r="C9" t="str">
            <v>each</v>
          </cell>
          <cell r="D9">
            <v>150</v>
          </cell>
        </row>
        <row r="10">
          <cell r="A10" t="str">
            <v>MKN 100-400</v>
          </cell>
          <cell r="B10" t="str">
            <v>Heat Shrinkable tube (Viton)</v>
          </cell>
          <cell r="C10" t="str">
            <v>each</v>
          </cell>
          <cell r="D10">
            <v>95</v>
          </cell>
        </row>
        <row r="14">
          <cell r="A14" t="str">
            <v>MKN 100-401</v>
          </cell>
          <cell r="B14" t="str">
            <v>Dry Ice</v>
          </cell>
          <cell r="C14" t="str">
            <v>Kg</v>
          </cell>
          <cell r="D14">
            <v>8</v>
          </cell>
        </row>
        <row r="15">
          <cell r="A15" t="str">
            <v>MKN 100-402</v>
          </cell>
          <cell r="B15" t="str">
            <v>Liquid Nitrogen</v>
          </cell>
          <cell r="C15" t="str">
            <v>Gal</v>
          </cell>
          <cell r="D15">
            <v>4.5</v>
          </cell>
        </row>
        <row r="16">
          <cell r="A16" t="str">
            <v>MKN 100-403</v>
          </cell>
          <cell r="B16" t="str">
            <v>LN2 Tanker</v>
          </cell>
          <cell r="C16" t="str">
            <v>day</v>
          </cell>
          <cell r="D16">
            <v>500</v>
          </cell>
        </row>
        <row r="17">
          <cell r="A17" t="str">
            <v>MKN 100-404</v>
          </cell>
          <cell r="B17" t="str">
            <v>Core Freezing</v>
          </cell>
          <cell r="C17" t="str">
            <v>meter</v>
          </cell>
          <cell r="D17">
            <v>80</v>
          </cell>
        </row>
        <row r="18">
          <cell r="A18" t="str">
            <v>MKN 100-405</v>
          </cell>
          <cell r="B18" t="str">
            <v>Onsite Chiller Truck</v>
          </cell>
          <cell r="C18" t="str">
            <v>day</v>
          </cell>
          <cell r="D18">
            <v>600</v>
          </cell>
        </row>
        <row r="19">
          <cell r="A19" t="str">
            <v>MKN 100-406</v>
          </cell>
          <cell r="B19" t="str">
            <v>Insulated Box</v>
          </cell>
          <cell r="C19" t="str">
            <v>day</v>
          </cell>
          <cell r="D19">
            <v>150</v>
          </cell>
        </row>
        <row r="20">
          <cell r="A20" t="str">
            <v>MKN 100-407</v>
          </cell>
          <cell r="B20" t="str">
            <v>Transportation</v>
          </cell>
          <cell r="C20" t="str">
            <v>each</v>
          </cell>
          <cell r="D20">
            <v>2600</v>
          </cell>
        </row>
        <row r="24">
          <cell r="A24" t="str">
            <v>MKN 100-408</v>
          </cell>
          <cell r="B24" t="str">
            <v>Tracer Invasion Analysis</v>
          </cell>
          <cell r="C24" t="str">
            <v>sample</v>
          </cell>
          <cell r="D24">
            <v>300</v>
          </cell>
        </row>
        <row r="25">
          <cell r="A25" t="str">
            <v>MKN 100-409</v>
          </cell>
          <cell r="B25" t="str">
            <v>BHA Analysis</v>
          </cell>
          <cell r="C25" t="str">
            <v>report</v>
          </cell>
          <cell r="D25">
            <v>1500</v>
          </cell>
        </row>
        <row r="28">
          <cell r="A28" t="str">
            <v>Footage rates apply for footage of core cut.</v>
          </cell>
        </row>
        <row r="29">
          <cell r="A29" t="str">
            <v>Daily rates apply from the day equipment or personnel leaves MAKAMAN LIBYA COMPANY base to the date equipment or personnel return to MAKAMAN LIBYA COMPANY base.</v>
          </cell>
        </row>
        <row r="30">
          <cell r="A30" t="str">
            <v>Tools which are damaged beyond repair are priced as lost in hole value. Standard MAKAMAN LIBYA COMPANY terms and conditions for products and services are applicable.</v>
          </cell>
        </row>
      </sheetData>
      <sheetData sheetId="19">
        <row r="3">
          <cell r="A3" t="str">
            <v>Note:</v>
          </cell>
        </row>
        <row r="4">
          <cell r="A4" t="str">
            <v>More Core Head design are available upon request.</v>
          </cell>
        </row>
        <row r="5">
          <cell r="A5" t="str">
            <v>Damaged Core Head would be charge as per price list. Core head should core minimum of 90 ft or will be charge as per price list.</v>
          </cell>
        </row>
        <row r="7">
          <cell r="A7" t="str">
            <v>Clarifications:-</v>
          </cell>
        </row>
        <row r="8">
          <cell r="A8" t="str">
            <v>1. Impregnated Core Heads for :- Very Hard to extremely Hard Quartzitic Sandstone, Volcanic Rock, Schist with occasional stringers of hard dense shales, Siltsone</v>
          </cell>
        </row>
        <row r="9">
          <cell r="A9" t="str">
            <v>2. Thermo Stable Diamond Core Heads (TSP) for :- Medium Hard to Hard Dense Siltstone, Shale, Dolomite</v>
          </cell>
        </row>
        <row r="10">
          <cell r="A10" t="str">
            <v>3. PDC Core Heads for:- Soft to Medium Hard Formation, such as Sand, Clay, Salt, Anhydrite, Limestone, medium hard Limestone, Dolomite and Shale.</v>
          </cell>
        </row>
        <row r="11">
          <cell r="A11" t="str">
            <v>4. Natural Diamond Core Heads for : Hard to very hard abrasive quartzitic Sandstone, Intercalated Hard Shale / Claystone / Siltstone, Schist, Volcanic Rocks</v>
          </cell>
        </row>
        <row r="17">
          <cell r="A17" t="str">
            <v>MKN 100-372</v>
          </cell>
          <cell r="B17" t="str">
            <v>Gypsum Stabilization (rental)</v>
          </cell>
          <cell r="C17" t="str">
            <v>day</v>
          </cell>
          <cell r="D17">
            <v>250</v>
          </cell>
        </row>
        <row r="18">
          <cell r="A18" t="str">
            <v>MKN 100-373</v>
          </cell>
          <cell r="B18" t="str">
            <v>Gypsum Stabilization</v>
          </cell>
          <cell r="C18" t="str">
            <v>foot</v>
          </cell>
          <cell r="D18">
            <v>85</v>
          </cell>
        </row>
        <row r="19">
          <cell r="A19" t="str">
            <v>MKN 100-374</v>
          </cell>
          <cell r="B19" t="str">
            <v>Resin Stabilization</v>
          </cell>
        </row>
        <row r="20">
          <cell r="A20" t="str">
            <v>MKN 100-375</v>
          </cell>
          <cell r="B20" t="str">
            <v>Resin Stabilization (rental)</v>
          </cell>
          <cell r="C20" t="str">
            <v>day</v>
          </cell>
          <cell r="D20">
            <v>250</v>
          </cell>
        </row>
        <row r="21">
          <cell r="A21" t="str">
            <v>MKN 100-376</v>
          </cell>
          <cell r="B21" t="str">
            <v>Resin Stabilization</v>
          </cell>
          <cell r="C21" t="str">
            <v>foot</v>
          </cell>
          <cell r="D21">
            <v>85</v>
          </cell>
        </row>
        <row r="22">
          <cell r="A22" t="str">
            <v>MKN 100-377</v>
          </cell>
          <cell r="B22" t="str">
            <v>Foam Stabilization</v>
          </cell>
        </row>
        <row r="23">
          <cell r="A23" t="str">
            <v>MKN 100-378</v>
          </cell>
          <cell r="B23" t="str">
            <v>Foam Stabilization (rental)</v>
          </cell>
          <cell r="C23" t="str">
            <v>day</v>
          </cell>
          <cell r="D23">
            <v>250</v>
          </cell>
        </row>
        <row r="24">
          <cell r="A24" t="str">
            <v>MKN 100-379</v>
          </cell>
          <cell r="B24" t="str">
            <v>Foam Stabilization</v>
          </cell>
          <cell r="C24" t="str">
            <v>foot</v>
          </cell>
          <cell r="D24">
            <v>85</v>
          </cell>
        </row>
        <row r="28">
          <cell r="A28" t="str">
            <v>MKN 100-380</v>
          </cell>
          <cell r="B28" t="str">
            <v>Gamma Logger (rental) - 7 days minimum</v>
          </cell>
          <cell r="C28" t="str">
            <v>day</v>
          </cell>
          <cell r="D28">
            <v>200</v>
          </cell>
        </row>
        <row r="29">
          <cell r="A29" t="str">
            <v>MKN 100-381</v>
          </cell>
          <cell r="B29" t="str">
            <v>Gamma Ray Logging</v>
          </cell>
          <cell r="C29" t="str">
            <v>foot</v>
          </cell>
          <cell r="D29">
            <v>75</v>
          </cell>
        </row>
        <row r="30">
          <cell r="A30" t="str">
            <v>MKN 100-382</v>
          </cell>
          <cell r="B30" t="str">
            <v>Core Gamma Logger (damage Beyond repair charge)</v>
          </cell>
          <cell r="C30" t="str">
            <v>each</v>
          </cell>
          <cell r="D30">
            <v>70000</v>
          </cell>
        </row>
        <row r="34">
          <cell r="A34" t="str">
            <v>MKN 100-388</v>
          </cell>
          <cell r="B34" t="str">
            <v>On site Core Sampling and Evaluation Module (rental)</v>
          </cell>
          <cell r="C34" t="str">
            <v>day</v>
          </cell>
          <cell r="D34">
            <v>550</v>
          </cell>
        </row>
        <row r="35">
          <cell r="A35" t="str">
            <v>MKN 100-389</v>
          </cell>
          <cell r="B35" t="str">
            <v>Wax Bath (rental)</v>
          </cell>
          <cell r="C35" t="str">
            <v>day</v>
          </cell>
          <cell r="D35">
            <v>400</v>
          </cell>
        </row>
        <row r="36">
          <cell r="A36" t="str">
            <v>MKN 100-390</v>
          </cell>
          <cell r="B36" t="str">
            <v>Wax Preserved Sample (30cm or 1ft)</v>
          </cell>
          <cell r="C36" t="str">
            <v>each</v>
          </cell>
          <cell r="D36">
            <v>150</v>
          </cell>
        </row>
        <row r="37">
          <cell r="A37" t="str">
            <v>MKN 100-391</v>
          </cell>
          <cell r="B37" t="str">
            <v>Plug Taker &amp; Trimmer (rental)</v>
          </cell>
          <cell r="C37" t="str">
            <v>day</v>
          </cell>
          <cell r="D37">
            <v>550</v>
          </cell>
        </row>
        <row r="38">
          <cell r="A38" t="str">
            <v>MKN 100-392</v>
          </cell>
          <cell r="B38" t="str">
            <v>Plugging (1" or 1 1/2" Diameter)</v>
          </cell>
          <cell r="C38" t="str">
            <v>per/sample</v>
          </cell>
          <cell r="D38">
            <v>120</v>
          </cell>
        </row>
        <row r="39">
          <cell r="A39" t="str">
            <v>MKN 100-393</v>
          </cell>
          <cell r="B39" t="str">
            <v>Plug Taker Core Head</v>
          </cell>
          <cell r="C39" t="str">
            <v>each</v>
          </cell>
          <cell r="D39">
            <v>250</v>
          </cell>
        </row>
        <row r="40">
          <cell r="A40" t="str">
            <v>MKN 100-394</v>
          </cell>
          <cell r="B40" t="str">
            <v>Nitrogen Cooling system</v>
          </cell>
          <cell r="C40" t="str">
            <v>each</v>
          </cell>
          <cell r="D40">
            <v>490</v>
          </cell>
        </row>
        <row r="41">
          <cell r="A41" t="str">
            <v>MKN 100-395</v>
          </cell>
          <cell r="B41" t="str">
            <v>Non damaging oil for plug taker cooling</v>
          </cell>
          <cell r="C41" t="str">
            <v>liter</v>
          </cell>
          <cell r="D41">
            <v>20</v>
          </cell>
        </row>
        <row r="42">
          <cell r="A42" t="str">
            <v>MKN 100-396</v>
          </cell>
          <cell r="B42" t="str">
            <v>Air tight Seal Rubber End caps &amp; clips</v>
          </cell>
          <cell r="C42" t="str">
            <v>set</v>
          </cell>
          <cell r="D42">
            <v>15</v>
          </cell>
        </row>
      </sheetData>
      <sheetData sheetId="20">
        <row r="6">
          <cell r="A6" t="str">
            <v>MKN 100-348</v>
          </cell>
          <cell r="B6" t="str">
            <v>Coring Engineer (rig site)</v>
          </cell>
          <cell r="C6" t="str">
            <v>day</v>
          </cell>
          <cell r="D6">
            <v>1010</v>
          </cell>
        </row>
        <row r="7">
          <cell r="A7" t="str">
            <v>MKN 100-349</v>
          </cell>
          <cell r="B7" t="str">
            <v>CGL Engineer (rig site)</v>
          </cell>
          <cell r="C7" t="str">
            <v>day</v>
          </cell>
          <cell r="D7">
            <v>1150</v>
          </cell>
        </row>
        <row r="8">
          <cell r="A8" t="str">
            <v>MKN 100-350</v>
          </cell>
          <cell r="B8" t="str">
            <v>Preservation Engineer (rig site)</v>
          </cell>
          <cell r="C8" t="str">
            <v>day</v>
          </cell>
          <cell r="D8">
            <v>1150</v>
          </cell>
        </row>
        <row r="9">
          <cell r="A9" t="str">
            <v>MKN 100-351</v>
          </cell>
          <cell r="B9" t="str">
            <v>Coring Technician (rig site)</v>
          </cell>
          <cell r="C9" t="str">
            <v>day</v>
          </cell>
          <cell r="D9">
            <v>550</v>
          </cell>
        </row>
        <row r="10">
          <cell r="A10" t="str">
            <v>MKN 100-352</v>
          </cell>
          <cell r="B10" t="str">
            <v>Special Services Coring Engineer (rig site)</v>
          </cell>
          <cell r="C10" t="str">
            <v>day</v>
          </cell>
          <cell r="D10">
            <v>1500</v>
          </cell>
        </row>
        <row r="11">
          <cell r="A11" t="str">
            <v>MKN 100-353</v>
          </cell>
          <cell r="B11" t="str">
            <v>Coring Engineer (Stand by in town)</v>
          </cell>
          <cell r="C11" t="str">
            <v>day</v>
          </cell>
          <cell r="D11">
            <v>790</v>
          </cell>
        </row>
        <row r="12">
          <cell r="A12" t="str">
            <v>MKN 100-354</v>
          </cell>
          <cell r="B12" t="str">
            <v>CGL Engineer (Stand by in town)</v>
          </cell>
          <cell r="C12" t="str">
            <v>day</v>
          </cell>
          <cell r="D12">
            <v>790</v>
          </cell>
        </row>
        <row r="13">
          <cell r="A13" t="str">
            <v>MKN 100-355</v>
          </cell>
          <cell r="B13" t="str">
            <v>Preservation Engineer (Stand by in town)</v>
          </cell>
          <cell r="C13" t="str">
            <v>day</v>
          </cell>
          <cell r="D13">
            <v>790</v>
          </cell>
        </row>
        <row r="14">
          <cell r="A14" t="str">
            <v>MKN 100-356</v>
          </cell>
          <cell r="B14" t="str">
            <v>Coring Technician (Stand by in town)</v>
          </cell>
          <cell r="C14" t="str">
            <v>day</v>
          </cell>
          <cell r="D14">
            <v>430</v>
          </cell>
        </row>
        <row r="15">
          <cell r="A15" t="str">
            <v>MKN 100-357</v>
          </cell>
          <cell r="B15" t="str">
            <v>Special Services Coring Engineer (Stand by in town)</v>
          </cell>
          <cell r="C15" t="str">
            <v>day</v>
          </cell>
          <cell r="D15">
            <v>900</v>
          </cell>
        </row>
        <row r="16">
          <cell r="A16" t="str">
            <v>MKN 100-358</v>
          </cell>
          <cell r="B16" t="str">
            <v>Mobilization / Demobilization Charge for Personnel</v>
          </cell>
          <cell r="C16" t="str">
            <v>person</v>
          </cell>
          <cell r="D16">
            <v>1100</v>
          </cell>
        </row>
        <row r="17">
          <cell r="A17" t="str">
            <v>MKN 100-359</v>
          </cell>
          <cell r="B17" t="str">
            <v>Special Services Coring Engineer</v>
          </cell>
          <cell r="C17" t="str">
            <v>day</v>
          </cell>
          <cell r="D17">
            <v>1400</v>
          </cell>
        </row>
        <row r="19">
          <cell r="B19" t="str">
            <v>Note: (core head charge not included in the above prices)</v>
          </cell>
        </row>
        <row r="22">
          <cell r="A22" t="str">
            <v>MKN 100-360</v>
          </cell>
          <cell r="B22" t="str">
            <v>Safety Joint Assembly</v>
          </cell>
          <cell r="C22">
            <v>5920</v>
          </cell>
          <cell r="D22">
            <v>4920</v>
          </cell>
          <cell r="E22">
            <v>3990</v>
          </cell>
        </row>
        <row r="23">
          <cell r="A23" t="str">
            <v>MKN 100-361</v>
          </cell>
          <cell r="B23" t="str">
            <v>Stabilizer</v>
          </cell>
          <cell r="C23">
            <v>20000</v>
          </cell>
          <cell r="D23">
            <v>19000</v>
          </cell>
          <cell r="E23">
            <v>18000</v>
          </cell>
        </row>
        <row r="24">
          <cell r="A24" t="str">
            <v>MKN 100-362</v>
          </cell>
          <cell r="B24" t="str">
            <v>Outer Tube</v>
          </cell>
          <cell r="C24">
            <v>25225</v>
          </cell>
          <cell r="D24">
            <v>21225</v>
          </cell>
          <cell r="E24">
            <v>16225</v>
          </cell>
        </row>
        <row r="25">
          <cell r="A25" t="str">
            <v>MKN 100-363</v>
          </cell>
          <cell r="B25" t="str">
            <v>Swivel Assembly</v>
          </cell>
          <cell r="C25">
            <v>5000</v>
          </cell>
          <cell r="D25">
            <v>4000</v>
          </cell>
          <cell r="E25">
            <v>3000</v>
          </cell>
        </row>
        <row r="26">
          <cell r="A26" t="str">
            <v>MKN 100-364</v>
          </cell>
          <cell r="B26" t="str">
            <v>Upper Half Shoe</v>
          </cell>
          <cell r="C26">
            <v>1200</v>
          </cell>
          <cell r="D26">
            <v>1000</v>
          </cell>
          <cell r="E26">
            <v>800</v>
          </cell>
        </row>
        <row r="27">
          <cell r="A27" t="str">
            <v>MKN 100-365</v>
          </cell>
          <cell r="B27" t="str">
            <v>Lower Half Shoe</v>
          </cell>
          <cell r="C27">
            <v>800</v>
          </cell>
          <cell r="D27">
            <v>700</v>
          </cell>
          <cell r="E27">
            <v>600</v>
          </cell>
        </row>
        <row r="28">
          <cell r="A28" t="str">
            <v>MKN 100-366</v>
          </cell>
          <cell r="B28" t="str">
            <v>Standard Core Catcher</v>
          </cell>
          <cell r="C28">
            <v>740</v>
          </cell>
          <cell r="D28">
            <v>640</v>
          </cell>
          <cell r="E28">
            <v>540</v>
          </cell>
        </row>
        <row r="29">
          <cell r="A29" t="str">
            <v>MKN 100-367</v>
          </cell>
          <cell r="B29" t="str">
            <v>Heavy Duty Core Catcher</v>
          </cell>
          <cell r="C29">
            <v>900</v>
          </cell>
          <cell r="D29">
            <v>800</v>
          </cell>
          <cell r="E29">
            <v>700</v>
          </cell>
        </row>
        <row r="34">
          <cell r="B34" t="str">
            <v>CORE HEAD TYPE</v>
          </cell>
          <cell r="C34" t="str">
            <v>12 1/4" x 5 1/4"</v>
          </cell>
          <cell r="D34" t="str">
            <v>8 1/2" &amp; 8 3/8" x 4"</v>
          </cell>
          <cell r="E34" t="str">
            <v>5 7/8"; 6" &amp; 6 1/8" x 2 5/8"</v>
          </cell>
        </row>
        <row r="35">
          <cell r="A35" t="str">
            <v>MKN 100-368</v>
          </cell>
          <cell r="B35" t="str">
            <v>Impregnated Core Heads</v>
          </cell>
          <cell r="C35">
            <v>53942</v>
          </cell>
          <cell r="D35">
            <v>43942</v>
          </cell>
          <cell r="E35">
            <v>33942</v>
          </cell>
        </row>
        <row r="36">
          <cell r="A36" t="str">
            <v>MKN 100-369</v>
          </cell>
          <cell r="B36" t="str">
            <v>Thermo Stable Diamond Core (TSP)</v>
          </cell>
          <cell r="C36">
            <v>54987</v>
          </cell>
          <cell r="D36">
            <v>44987</v>
          </cell>
          <cell r="E36">
            <v>34987</v>
          </cell>
        </row>
        <row r="37">
          <cell r="A37" t="str">
            <v>MKN 100-370</v>
          </cell>
          <cell r="B37" t="str">
            <v>PDC Core Heads</v>
          </cell>
          <cell r="C37">
            <v>41000</v>
          </cell>
          <cell r="D37">
            <v>31000</v>
          </cell>
          <cell r="E37">
            <v>21000</v>
          </cell>
        </row>
        <row r="38">
          <cell r="A38" t="str">
            <v>MKN 100-371</v>
          </cell>
          <cell r="B38" t="str">
            <v>Natural Diamond Core Heads</v>
          </cell>
          <cell r="C38">
            <v>45000</v>
          </cell>
          <cell r="D38">
            <v>35028</v>
          </cell>
          <cell r="E38">
            <v>25000</v>
          </cell>
        </row>
      </sheetData>
      <sheetData sheetId="21">
        <row r="7">
          <cell r="A7" t="str">
            <v>MKN 100-325</v>
          </cell>
          <cell r="B7" t="str">
            <v>8" 30ft Core Barrel (with handling tools &amp; Stab) rental charge</v>
          </cell>
          <cell r="C7" t="str">
            <v>section/day</v>
          </cell>
          <cell r="D7">
            <v>400</v>
          </cell>
        </row>
        <row r="8">
          <cell r="A8" t="str">
            <v>MKN 100-326</v>
          </cell>
          <cell r="B8" t="str">
            <v>6 3/4" 30ft Core Barrel (with handling tools &amp; Stab) rental charge</v>
          </cell>
          <cell r="C8" t="str">
            <v>section/day</v>
          </cell>
          <cell r="D8">
            <v>350</v>
          </cell>
        </row>
        <row r="9">
          <cell r="A9" t="str">
            <v>MKN 100-327</v>
          </cell>
          <cell r="B9" t="str">
            <v>4 3/4" 30ft Core Barrel (with handling tools &amp; Stab) rental charge</v>
          </cell>
          <cell r="C9" t="str">
            <v>section/day</v>
          </cell>
          <cell r="D9">
            <v>300</v>
          </cell>
        </row>
        <row r="10">
          <cell r="A10" t="str">
            <v>MKN 100-328</v>
          </cell>
          <cell r="B10" t="str">
            <v>Restocking charge (apply if tool return unused)</v>
          </cell>
          <cell r="C10" t="str">
            <v>section</v>
          </cell>
          <cell r="D10">
            <v>2500</v>
          </cell>
        </row>
        <row r="11">
          <cell r="A11" t="str">
            <v>MKN 100-329</v>
          </cell>
          <cell r="B11" t="str">
            <v>Coring charge for 12 1/4" hole</v>
          </cell>
          <cell r="C11" t="str">
            <v>foot</v>
          </cell>
          <cell r="D11">
            <v>200</v>
          </cell>
        </row>
        <row r="12">
          <cell r="A12" t="str">
            <v>MKN 100-330</v>
          </cell>
          <cell r="B12" t="str">
            <v>Coring charge for 8 1/2" or 8 3/8" hole</v>
          </cell>
          <cell r="C12" t="str">
            <v>foot</v>
          </cell>
          <cell r="D12">
            <v>175</v>
          </cell>
        </row>
        <row r="13">
          <cell r="A13" t="str">
            <v>MKN 100-331</v>
          </cell>
          <cell r="B13" t="str">
            <v>Coring charge for 5 7/8"; 6" or 6 1/8" hole</v>
          </cell>
          <cell r="C13" t="str">
            <v>foot</v>
          </cell>
          <cell r="D13">
            <v>150</v>
          </cell>
        </row>
        <row r="14">
          <cell r="A14" t="str">
            <v>MKN 100-332</v>
          </cell>
          <cell r="B14" t="str">
            <v>Conventional Coring Mobilization Charge</v>
          </cell>
          <cell r="C14" t="str">
            <v>each</v>
          </cell>
          <cell r="D14">
            <v>6000</v>
          </cell>
        </row>
        <row r="15">
          <cell r="A15" t="str">
            <v>MKN 100-333</v>
          </cell>
          <cell r="B15" t="str">
            <v>Job Cancellation Charges</v>
          </cell>
          <cell r="C15" t="str">
            <v>each</v>
          </cell>
          <cell r="D15">
            <v>25000</v>
          </cell>
        </row>
        <row r="20">
          <cell r="A20" t="str">
            <v>MKN 100-334</v>
          </cell>
          <cell r="B20" t="str">
            <v>Fiber Glass Inner Tube (30ft x 5 1/4")</v>
          </cell>
          <cell r="C20" t="str">
            <v>each</v>
          </cell>
          <cell r="D20">
            <v>2500</v>
          </cell>
        </row>
        <row r="21">
          <cell r="A21" t="str">
            <v>MKN 100-335</v>
          </cell>
          <cell r="B21" t="str">
            <v>Fiber Glass Inner Tube (30ft x 4")</v>
          </cell>
          <cell r="C21" t="str">
            <v>each</v>
          </cell>
          <cell r="D21">
            <v>2250</v>
          </cell>
        </row>
        <row r="22">
          <cell r="A22" t="str">
            <v>MKN 100-336</v>
          </cell>
          <cell r="B22" t="str">
            <v>Fiber Glass Inner Tube (30ft x 2 5/8")</v>
          </cell>
          <cell r="C22" t="str">
            <v>each</v>
          </cell>
          <cell r="D22">
            <v>2225</v>
          </cell>
        </row>
        <row r="23">
          <cell r="A23" t="str">
            <v>MKN 100-337</v>
          </cell>
          <cell r="B23" t="str">
            <v>Aluminum Inner Tube (30ft x 5 1/4")</v>
          </cell>
          <cell r="C23" t="str">
            <v>each</v>
          </cell>
          <cell r="D23">
            <v>2250</v>
          </cell>
        </row>
        <row r="24">
          <cell r="A24" t="str">
            <v>MKN 100-338</v>
          </cell>
          <cell r="B24" t="str">
            <v>Aluminum Inner Tube (30ft x 4")</v>
          </cell>
          <cell r="C24" t="str">
            <v>each</v>
          </cell>
          <cell r="D24">
            <v>2150</v>
          </cell>
        </row>
        <row r="25">
          <cell r="A25" t="str">
            <v>MKN 100-339</v>
          </cell>
          <cell r="B25" t="str">
            <v>Aluminum Inner Tube (30ft x 2 5/8")</v>
          </cell>
          <cell r="C25" t="str">
            <v>each</v>
          </cell>
          <cell r="D25">
            <v>2000</v>
          </cell>
        </row>
        <row r="26">
          <cell r="A26" t="str">
            <v>MKN 100-340</v>
          </cell>
          <cell r="B26" t="str">
            <v>Pressure Relief Valve for inner tube</v>
          </cell>
          <cell r="C26" t="str">
            <v>tube</v>
          </cell>
          <cell r="D26">
            <v>200</v>
          </cell>
        </row>
        <row r="27">
          <cell r="A27" t="str">
            <v>MKN 100-341</v>
          </cell>
          <cell r="B27" t="str">
            <v>Aluminum Fluted Inner Tube (30ft x 5 1/4")</v>
          </cell>
          <cell r="C27" t="str">
            <v>each</v>
          </cell>
          <cell r="D27">
            <v>2500</v>
          </cell>
        </row>
        <row r="28">
          <cell r="A28" t="str">
            <v>MKN 100-342</v>
          </cell>
          <cell r="B28" t="str">
            <v>Aluminum Fluted Inner Tube (30ft x 4")</v>
          </cell>
          <cell r="C28" t="str">
            <v>each</v>
          </cell>
          <cell r="D28">
            <v>2250</v>
          </cell>
        </row>
        <row r="29">
          <cell r="A29" t="str">
            <v>MKN 100-343</v>
          </cell>
          <cell r="B29" t="str">
            <v>Aluminum Fluted Inner Tube (30ft x 2 5/8")</v>
          </cell>
          <cell r="C29" t="str">
            <v>each</v>
          </cell>
          <cell r="D29">
            <v>2225</v>
          </cell>
        </row>
        <row r="34">
          <cell r="A34" t="str">
            <v>MKN 100-344</v>
          </cell>
          <cell r="B34" t="str">
            <v>Core Lay Down Cradle</v>
          </cell>
          <cell r="C34" t="str">
            <v>day</v>
          </cell>
          <cell r="D34">
            <v>300</v>
          </cell>
        </row>
        <row r="35">
          <cell r="A35" t="str">
            <v>MKN 100-345</v>
          </cell>
          <cell r="B35" t="str">
            <v>Coring Cutting Machine</v>
          </cell>
          <cell r="C35" t="str">
            <v>day</v>
          </cell>
          <cell r="D35">
            <v>300</v>
          </cell>
        </row>
        <row r="36">
          <cell r="A36" t="str">
            <v>MKN 100-346</v>
          </cell>
          <cell r="B36" t="str">
            <v>Wooden core box with sponge liner (1m or 3ft)</v>
          </cell>
          <cell r="C36" t="str">
            <v>each</v>
          </cell>
          <cell r="D36">
            <v>70</v>
          </cell>
        </row>
        <row r="37">
          <cell r="A37" t="str">
            <v>MKN 100-347</v>
          </cell>
          <cell r="B37" t="str">
            <v>Core Transportation</v>
          </cell>
          <cell r="C37" t="str">
            <v>each</v>
          </cell>
          <cell r="D37">
            <v>3000</v>
          </cell>
        </row>
      </sheetData>
      <sheetData sheetId="22">
        <row r="8">
          <cell r="A8" t="str">
            <v>MKN 100-305</v>
          </cell>
          <cell r="B8" t="str">
            <v>4-3/4 inch</v>
          </cell>
          <cell r="C8">
            <v>195</v>
          </cell>
          <cell r="D8">
            <v>20</v>
          </cell>
          <cell r="E8">
            <v>95</v>
          </cell>
          <cell r="F8">
            <v>1950</v>
          </cell>
        </row>
        <row r="9">
          <cell r="A9" t="str">
            <v>MKN 100-306</v>
          </cell>
          <cell r="B9" t="str">
            <v>6-3/4 inch</v>
          </cell>
          <cell r="C9">
            <v>220</v>
          </cell>
          <cell r="D9">
            <v>22</v>
          </cell>
          <cell r="E9">
            <v>110</v>
          </cell>
          <cell r="F9">
            <v>2150</v>
          </cell>
        </row>
        <row r="10">
          <cell r="A10" t="str">
            <v>MKN 100-307</v>
          </cell>
          <cell r="B10" t="str">
            <v>thru 6 3/4" inch</v>
          </cell>
          <cell r="C10">
            <v>245</v>
          </cell>
          <cell r="D10">
            <v>23</v>
          </cell>
          <cell r="E10">
            <v>115</v>
          </cell>
          <cell r="F10">
            <v>2650</v>
          </cell>
        </row>
        <row r="11">
          <cell r="A11" t="str">
            <v>MKN 100-308</v>
          </cell>
          <cell r="B11" t="str">
            <v>thru 9 5/8 inch</v>
          </cell>
          <cell r="C11">
            <v>260</v>
          </cell>
          <cell r="D11">
            <v>25</v>
          </cell>
          <cell r="E11">
            <v>120</v>
          </cell>
          <cell r="F11">
            <v>2650</v>
          </cell>
        </row>
        <row r="12">
          <cell r="A12" t="str">
            <v>MKN 100-309</v>
          </cell>
          <cell r="B12" t="str">
            <v>thru 17-1/2 inch</v>
          </cell>
          <cell r="C12">
            <v>310</v>
          </cell>
          <cell r="D12">
            <v>28</v>
          </cell>
          <cell r="E12">
            <v>145</v>
          </cell>
          <cell r="F12">
            <v>2850</v>
          </cell>
        </row>
        <row r="17">
          <cell r="A17" t="str">
            <v>MKN 100-310</v>
          </cell>
          <cell r="B17" t="str">
            <v>Up to 2-3/8 inch</v>
          </cell>
          <cell r="C17" t="str">
            <v>Per Day</v>
          </cell>
          <cell r="D17">
            <v>55</v>
          </cell>
          <cell r="E17">
            <v>22</v>
          </cell>
        </row>
        <row r="18">
          <cell r="A18" t="str">
            <v>MKN 100-311</v>
          </cell>
          <cell r="B18" t="str">
            <v>Up to 2-7/8 inch</v>
          </cell>
          <cell r="C18" t="str">
            <v>Per Day</v>
          </cell>
          <cell r="D18">
            <v>65</v>
          </cell>
          <cell r="E18">
            <v>27</v>
          </cell>
        </row>
        <row r="19">
          <cell r="A19" t="str">
            <v>MKN 100-312</v>
          </cell>
          <cell r="B19" t="str">
            <v>Up to 3-1/2 inch</v>
          </cell>
          <cell r="C19" t="str">
            <v>Per Day</v>
          </cell>
          <cell r="D19">
            <v>69</v>
          </cell>
          <cell r="E19">
            <v>29</v>
          </cell>
        </row>
        <row r="20">
          <cell r="A20" t="str">
            <v>MKN 100-313</v>
          </cell>
          <cell r="B20" t="str">
            <v>Up to 4-1/2 inch</v>
          </cell>
          <cell r="C20" t="str">
            <v>Per Day</v>
          </cell>
          <cell r="D20">
            <v>75</v>
          </cell>
          <cell r="E20">
            <v>30</v>
          </cell>
        </row>
        <row r="21">
          <cell r="A21" t="str">
            <v>MKN 100-314</v>
          </cell>
          <cell r="B21" t="str">
            <v>Up to 5-1/2 inch</v>
          </cell>
          <cell r="C21" t="str">
            <v>Per Day</v>
          </cell>
          <cell r="D21">
            <v>79</v>
          </cell>
          <cell r="E21">
            <v>33</v>
          </cell>
        </row>
        <row r="22">
          <cell r="A22" t="str">
            <v>MKN 100-315</v>
          </cell>
          <cell r="B22" t="str">
            <v>Up to 6-5/8 inch</v>
          </cell>
          <cell r="C22" t="str">
            <v>Per Day</v>
          </cell>
          <cell r="D22">
            <v>85</v>
          </cell>
          <cell r="E22">
            <v>35</v>
          </cell>
        </row>
        <row r="23">
          <cell r="A23" t="str">
            <v>MKN 100-316</v>
          </cell>
          <cell r="B23" t="str">
            <v>Up to 7-5/8 inch</v>
          </cell>
          <cell r="C23" t="str">
            <v>Per Day</v>
          </cell>
          <cell r="D23">
            <v>90</v>
          </cell>
          <cell r="E23">
            <v>45</v>
          </cell>
        </row>
        <row r="24">
          <cell r="A24" t="str">
            <v>MKN 100-317</v>
          </cell>
          <cell r="B24" t="str">
            <v>Up to 8-5/8 inch</v>
          </cell>
          <cell r="C24" t="str">
            <v>Per Day</v>
          </cell>
          <cell r="D24">
            <v>150</v>
          </cell>
          <cell r="E24">
            <v>60</v>
          </cell>
        </row>
        <row r="29">
          <cell r="A29" t="str">
            <v>MKN 100-318</v>
          </cell>
          <cell r="B29" t="str">
            <v>4-1/2 or 4-3/4 inch</v>
          </cell>
          <cell r="C29" t="str">
            <v>Per Day</v>
          </cell>
          <cell r="D29">
            <v>1092</v>
          </cell>
          <cell r="E29">
            <v>98</v>
          </cell>
          <cell r="F29">
            <v>45</v>
          </cell>
        </row>
        <row r="30">
          <cell r="A30" t="str">
            <v>MKN 100-319</v>
          </cell>
          <cell r="B30" t="str">
            <v>6-1/2 or 6-3/4 inch</v>
          </cell>
          <cell r="C30" t="str">
            <v>Per Day</v>
          </cell>
          <cell r="D30">
            <v>1092</v>
          </cell>
          <cell r="E30">
            <v>106</v>
          </cell>
          <cell r="F30">
            <v>45</v>
          </cell>
        </row>
        <row r="31">
          <cell r="A31" t="str">
            <v>MKN 100-320</v>
          </cell>
          <cell r="B31" t="str">
            <v>8-1/2 inch</v>
          </cell>
          <cell r="C31" t="str">
            <v>Per Day</v>
          </cell>
          <cell r="D31">
            <v>1495</v>
          </cell>
          <cell r="E31">
            <v>119</v>
          </cell>
          <cell r="F31">
            <v>65</v>
          </cell>
        </row>
        <row r="32">
          <cell r="A32" t="str">
            <v>MKN 100-321</v>
          </cell>
          <cell r="B32" t="str">
            <v>9-7/8 inch</v>
          </cell>
          <cell r="C32" t="str">
            <v>Per Day</v>
          </cell>
          <cell r="D32">
            <v>1558</v>
          </cell>
          <cell r="E32">
            <v>125</v>
          </cell>
          <cell r="F32">
            <v>65</v>
          </cell>
        </row>
        <row r="33">
          <cell r="A33" t="str">
            <v>MKN 100-322</v>
          </cell>
          <cell r="B33" t="str">
            <v>12-1/4 inch</v>
          </cell>
          <cell r="C33" t="str">
            <v>Per Day</v>
          </cell>
          <cell r="D33">
            <v>1707</v>
          </cell>
          <cell r="E33">
            <v>135</v>
          </cell>
          <cell r="F33">
            <v>75</v>
          </cell>
        </row>
        <row r="34">
          <cell r="A34" t="str">
            <v>MKN 100-323</v>
          </cell>
          <cell r="B34" t="str">
            <v>15 inch</v>
          </cell>
          <cell r="C34" t="str">
            <v>Per Day</v>
          </cell>
          <cell r="D34">
            <v>2185</v>
          </cell>
          <cell r="E34">
            <v>169</v>
          </cell>
          <cell r="F34">
            <v>85</v>
          </cell>
        </row>
        <row r="35">
          <cell r="A35" t="str">
            <v>MKN 100-324</v>
          </cell>
          <cell r="B35" t="str">
            <v>17-1/2 inch</v>
          </cell>
          <cell r="C35" t="str">
            <v>Per Day</v>
          </cell>
          <cell r="D35">
            <v>3737</v>
          </cell>
          <cell r="E35">
            <v>262</v>
          </cell>
          <cell r="F35">
            <v>105</v>
          </cell>
        </row>
      </sheetData>
      <sheetData sheetId="23">
        <row r="7">
          <cell r="A7" t="str">
            <v>MKN 100-278</v>
          </cell>
          <cell r="B7" t="str">
            <v>Through 6” OD</v>
          </cell>
          <cell r="C7">
            <v>380</v>
          </cell>
          <cell r="D7">
            <v>140</v>
          </cell>
        </row>
        <row r="8">
          <cell r="A8" t="str">
            <v>MKN 100-279</v>
          </cell>
          <cell r="B8" t="str">
            <v>Through 8 1/2” OD</v>
          </cell>
          <cell r="C8">
            <v>500</v>
          </cell>
          <cell r="D8">
            <v>170</v>
          </cell>
        </row>
        <row r="9">
          <cell r="A9" t="str">
            <v>MKN 100-280</v>
          </cell>
          <cell r="B9" t="str">
            <v>Through 12 1/4” OD</v>
          </cell>
          <cell r="C9">
            <v>600</v>
          </cell>
          <cell r="D9">
            <v>225</v>
          </cell>
        </row>
        <row r="10">
          <cell r="A10" t="str">
            <v>MKN 100-281</v>
          </cell>
          <cell r="B10" t="str">
            <v>Through 17 1/2” OD</v>
          </cell>
          <cell r="C10">
            <v>600</v>
          </cell>
          <cell r="D10">
            <v>225</v>
          </cell>
        </row>
        <row r="11">
          <cell r="A11" t="str">
            <v>MKN 100-282</v>
          </cell>
          <cell r="B11" t="str">
            <v>For stabilizers redress charge, as per machine shop + 20%</v>
          </cell>
        </row>
        <row r="16">
          <cell r="A16" t="str">
            <v>MKN 100-283</v>
          </cell>
          <cell r="B16" t="str">
            <v>2 3/8" Connection</v>
          </cell>
          <cell r="C16">
            <v>30</v>
          </cell>
          <cell r="D16">
            <v>10</v>
          </cell>
        </row>
        <row r="17">
          <cell r="A17" t="str">
            <v>MKN 100-284</v>
          </cell>
          <cell r="B17" t="str">
            <v>2 7/8" Connection</v>
          </cell>
          <cell r="C17">
            <v>30</v>
          </cell>
          <cell r="D17">
            <v>10</v>
          </cell>
        </row>
        <row r="18">
          <cell r="A18" t="str">
            <v>MKN 100-285</v>
          </cell>
          <cell r="B18" t="str">
            <v>3 1/2" Connection</v>
          </cell>
          <cell r="C18">
            <v>30</v>
          </cell>
          <cell r="D18">
            <v>10</v>
          </cell>
        </row>
        <row r="19">
          <cell r="A19" t="str">
            <v>MKN 100-286</v>
          </cell>
          <cell r="B19" t="str">
            <v>4 1/2" Connection</v>
          </cell>
          <cell r="C19">
            <v>60</v>
          </cell>
          <cell r="D19">
            <v>10</v>
          </cell>
        </row>
        <row r="20">
          <cell r="A20" t="str">
            <v>MKN 100-287</v>
          </cell>
          <cell r="B20" t="str">
            <v>5 1/2" Connection</v>
          </cell>
          <cell r="C20">
            <v>60</v>
          </cell>
          <cell r="D20">
            <v>10</v>
          </cell>
        </row>
        <row r="21">
          <cell r="A21" t="str">
            <v>MKN 100-288</v>
          </cell>
          <cell r="B21" t="str">
            <v>6 5/8" Connection</v>
          </cell>
          <cell r="C21">
            <v>85</v>
          </cell>
          <cell r="D21">
            <v>10</v>
          </cell>
        </row>
        <row r="22">
          <cell r="A22" t="str">
            <v>MKN 100-289</v>
          </cell>
          <cell r="B22" t="str">
            <v>7 5/8" Connection</v>
          </cell>
          <cell r="C22">
            <v>110</v>
          </cell>
          <cell r="D22">
            <v>10</v>
          </cell>
        </row>
        <row r="23">
          <cell r="A23" t="str">
            <v>MKN 100-290</v>
          </cell>
          <cell r="B23" t="str">
            <v>8 5/8" Connection</v>
          </cell>
          <cell r="C23">
            <v>150</v>
          </cell>
          <cell r="D23">
            <v>15</v>
          </cell>
        </row>
        <row r="24">
          <cell r="A24" t="str">
            <v>MKN 100-291</v>
          </cell>
          <cell r="B24" t="str">
            <v>All Drain Subs (Ported Nipples)</v>
          </cell>
          <cell r="C24" t="str">
            <v>Add 25% to above prices</v>
          </cell>
        </row>
        <row r="30">
          <cell r="A30" t="str">
            <v>MKN 100-300</v>
          </cell>
          <cell r="B30" t="str">
            <v>4 3/4" OD</v>
          </cell>
          <cell r="C30">
            <v>190</v>
          </cell>
          <cell r="D30">
            <v>1900</v>
          </cell>
        </row>
        <row r="31">
          <cell r="A31" t="str">
            <v>MKN 100-301</v>
          </cell>
          <cell r="B31" t="str">
            <v>6 1/2" OD</v>
          </cell>
          <cell r="C31">
            <v>230</v>
          </cell>
          <cell r="D31">
            <v>1900</v>
          </cell>
        </row>
        <row r="32">
          <cell r="A32" t="str">
            <v>MKN 100-302</v>
          </cell>
          <cell r="B32" t="str">
            <v>8" OD</v>
          </cell>
          <cell r="C32">
            <v>240</v>
          </cell>
          <cell r="D32">
            <v>2000</v>
          </cell>
        </row>
        <row r="33">
          <cell r="A33" t="str">
            <v>MKN 100-303</v>
          </cell>
          <cell r="B33" t="str">
            <v>9 1/2" OD</v>
          </cell>
          <cell r="C33">
            <v>260</v>
          </cell>
          <cell r="D33">
            <v>2000</v>
          </cell>
        </row>
        <row r="38">
          <cell r="A38" t="str">
            <v>MKN 100-304</v>
          </cell>
          <cell r="B38" t="str">
            <v>Directional Driller</v>
          </cell>
          <cell r="C38" t="str">
            <v>Per Day</v>
          </cell>
          <cell r="D38">
            <v>1350</v>
          </cell>
        </row>
      </sheetData>
      <sheetData sheetId="24">
        <row r="7">
          <cell r="A7" t="str">
            <v>MKN 100-261</v>
          </cell>
          <cell r="B7" t="str">
            <v>Thru 4 3/4" OD</v>
          </cell>
          <cell r="C7">
            <v>190</v>
          </cell>
          <cell r="D7">
            <v>1950</v>
          </cell>
        </row>
        <row r="8">
          <cell r="A8" t="str">
            <v>MKN 100-262</v>
          </cell>
          <cell r="B8" t="str">
            <v>Thru 6 1/2" OD</v>
          </cell>
          <cell r="C8">
            <v>220</v>
          </cell>
          <cell r="D8">
            <v>2100</v>
          </cell>
        </row>
        <row r="9">
          <cell r="A9" t="str">
            <v>MKN 100-263</v>
          </cell>
          <cell r="B9" t="str">
            <v>Thru 8" OD</v>
          </cell>
          <cell r="C9">
            <v>250</v>
          </cell>
          <cell r="D9">
            <v>2100</v>
          </cell>
        </row>
        <row r="10">
          <cell r="A10" t="str">
            <v>MKN 100-264</v>
          </cell>
          <cell r="B10" t="str">
            <v>Thru 9 1/2" OD</v>
          </cell>
          <cell r="C10">
            <v>260</v>
          </cell>
          <cell r="D10">
            <v>2250</v>
          </cell>
        </row>
        <row r="15">
          <cell r="A15" t="str">
            <v>MKN 100-265</v>
          </cell>
          <cell r="B15" t="str">
            <v>Thru 6 1/2" OD</v>
          </cell>
          <cell r="C15">
            <v>300</v>
          </cell>
          <cell r="D15">
            <v>110</v>
          </cell>
        </row>
        <row r="16">
          <cell r="A16" t="str">
            <v>MKN 100-266</v>
          </cell>
          <cell r="B16" t="str">
            <v>Thru 8" OD</v>
          </cell>
          <cell r="C16">
            <v>300</v>
          </cell>
          <cell r="D16">
            <v>110</v>
          </cell>
        </row>
        <row r="17">
          <cell r="A17" t="str">
            <v>MKN 100-267</v>
          </cell>
          <cell r="B17" t="str">
            <v>Thru 9 1/2" OD</v>
          </cell>
          <cell r="C17">
            <v>300</v>
          </cell>
          <cell r="D17">
            <v>110</v>
          </cell>
        </row>
        <row r="21">
          <cell r="A21" t="str">
            <v>MKN 100-268</v>
          </cell>
          <cell r="B21" t="str">
            <v>12 1/4" OD</v>
          </cell>
          <cell r="C21">
            <v>845</v>
          </cell>
          <cell r="D21">
            <v>100</v>
          </cell>
        </row>
        <row r="22">
          <cell r="A22" t="str">
            <v>MKN 100-269</v>
          </cell>
          <cell r="B22" t="str">
            <v>17 1/2" OD</v>
          </cell>
          <cell r="C22">
            <v>1170</v>
          </cell>
          <cell r="D22">
            <v>100</v>
          </cell>
        </row>
        <row r="23">
          <cell r="A23" t="str">
            <v>MKN 100-270</v>
          </cell>
          <cell r="B23" t="str">
            <v>26" OD</v>
          </cell>
          <cell r="C23">
            <v>1470</v>
          </cell>
          <cell r="D23">
            <v>100</v>
          </cell>
        </row>
        <row r="24">
          <cell r="A24" t="str">
            <v>MKN 100-271</v>
          </cell>
          <cell r="B24" t="str">
            <v>36" OD</v>
          </cell>
          <cell r="C24">
            <v>1920</v>
          </cell>
          <cell r="D24">
            <v>100</v>
          </cell>
        </row>
        <row r="29">
          <cell r="A29" t="str">
            <v>MKN 100-272</v>
          </cell>
          <cell r="B29" t="str">
            <v>Through 6" OD</v>
          </cell>
          <cell r="C29">
            <v>245</v>
          </cell>
          <cell r="D29">
            <v>100</v>
          </cell>
        </row>
        <row r="30">
          <cell r="A30" t="str">
            <v>MKN 100-273</v>
          </cell>
          <cell r="B30" t="str">
            <v>Through 8 1/2" OD</v>
          </cell>
          <cell r="C30">
            <v>245</v>
          </cell>
          <cell r="D30">
            <v>100</v>
          </cell>
        </row>
        <row r="31">
          <cell r="A31" t="str">
            <v>MKN 100-274</v>
          </cell>
          <cell r="B31" t="str">
            <v>Through 12 1/4" OD</v>
          </cell>
          <cell r="C31">
            <v>245</v>
          </cell>
          <cell r="D31">
            <v>115</v>
          </cell>
        </row>
        <row r="32">
          <cell r="A32" t="str">
            <v>MKN 100-275</v>
          </cell>
          <cell r="B32" t="str">
            <v>Through 17 1/2" OD</v>
          </cell>
          <cell r="C32">
            <v>445</v>
          </cell>
          <cell r="D32">
            <v>215</v>
          </cell>
        </row>
        <row r="33">
          <cell r="A33" t="str">
            <v>MKN 100-276</v>
          </cell>
          <cell r="B33" t="str">
            <v>Through 26" OD</v>
          </cell>
          <cell r="C33">
            <v>545</v>
          </cell>
          <cell r="D33">
            <v>215</v>
          </cell>
        </row>
        <row r="34">
          <cell r="A34" t="str">
            <v>MKN 100-277</v>
          </cell>
          <cell r="B34" t="str">
            <v>For stabilizers redress charge, as per machine shop + 20%</v>
          </cell>
        </row>
      </sheetData>
      <sheetData sheetId="25">
        <row r="5">
          <cell r="A5" t="str">
            <v>MKN 100-240</v>
          </cell>
          <cell r="B5" t="str">
            <v>Completion Engineer</v>
          </cell>
          <cell r="C5" t="str">
            <v>Per Day</v>
          </cell>
          <cell r="D5">
            <v>1250</v>
          </cell>
        </row>
        <row r="6">
          <cell r="A6" t="str">
            <v>MKN 100-241</v>
          </cell>
          <cell r="B6" t="str">
            <v>Drilling Engineer</v>
          </cell>
          <cell r="C6" t="str">
            <v>Per Day</v>
          </cell>
          <cell r="D6">
            <v>1300</v>
          </cell>
        </row>
        <row r="7">
          <cell r="A7" t="str">
            <v>MKN 100-242</v>
          </cell>
          <cell r="B7" t="str">
            <v>Work over Engineers</v>
          </cell>
          <cell r="C7" t="str">
            <v>Per Day</v>
          </cell>
          <cell r="D7">
            <v>1200</v>
          </cell>
        </row>
        <row r="8">
          <cell r="A8" t="str">
            <v>MKN 100-243</v>
          </cell>
          <cell r="B8" t="str">
            <v>ESP completion Engineers</v>
          </cell>
          <cell r="C8" t="str">
            <v>Per Day</v>
          </cell>
          <cell r="D8">
            <v>1250</v>
          </cell>
        </row>
        <row r="9">
          <cell r="A9" t="str">
            <v>MKN 100-244</v>
          </cell>
          <cell r="B9" t="str">
            <v>Well site Geologist</v>
          </cell>
          <cell r="C9" t="str">
            <v>Per Day</v>
          </cell>
          <cell r="D9">
            <v>1300</v>
          </cell>
        </row>
        <row r="10">
          <cell r="A10" t="str">
            <v>MKN 100-245</v>
          </cell>
          <cell r="B10" t="str">
            <v>Open hole &amp; cased hole DST Engineers</v>
          </cell>
          <cell r="C10" t="str">
            <v>Per Day</v>
          </cell>
          <cell r="D10">
            <v>1150</v>
          </cell>
        </row>
        <row r="11">
          <cell r="A11" t="str">
            <v>MKN 100-246</v>
          </cell>
          <cell r="B11" t="str">
            <v>Petroleum Engineers</v>
          </cell>
          <cell r="C11" t="str">
            <v>Per Day</v>
          </cell>
          <cell r="D11">
            <v>1200</v>
          </cell>
        </row>
        <row r="12">
          <cell r="A12" t="str">
            <v>MKN 100-247</v>
          </cell>
          <cell r="B12" t="str">
            <v>Reservoir Engineers</v>
          </cell>
          <cell r="C12" t="str">
            <v>Per Day</v>
          </cell>
          <cell r="D12">
            <v>1200</v>
          </cell>
        </row>
        <row r="13">
          <cell r="A13" t="str">
            <v>MKN 100-248</v>
          </cell>
          <cell r="B13" t="str">
            <v>Petro physicists</v>
          </cell>
          <cell r="C13" t="str">
            <v>Per Day</v>
          </cell>
          <cell r="D13">
            <v>1200</v>
          </cell>
        </row>
        <row r="14">
          <cell r="A14" t="str">
            <v>MKN 100-249</v>
          </cell>
          <cell r="B14" t="str">
            <v>Coring engineer</v>
          </cell>
          <cell r="C14" t="str">
            <v>Per Day</v>
          </cell>
          <cell r="D14">
            <v>1100</v>
          </cell>
        </row>
        <row r="15">
          <cell r="A15" t="str">
            <v>MKN 100-250</v>
          </cell>
          <cell r="B15" t="str">
            <v>Logging Engineers</v>
          </cell>
          <cell r="C15" t="str">
            <v>Per Day</v>
          </cell>
          <cell r="D15">
            <v>1250</v>
          </cell>
        </row>
        <row r="16">
          <cell r="A16" t="str">
            <v>MKN 100-251</v>
          </cell>
          <cell r="B16" t="str">
            <v>MWD Engineers</v>
          </cell>
          <cell r="C16" t="str">
            <v>Per Day</v>
          </cell>
          <cell r="D16">
            <v>1400</v>
          </cell>
        </row>
        <row r="17">
          <cell r="A17" t="str">
            <v>MKN 100-252</v>
          </cell>
          <cell r="B17" t="str">
            <v>Company Man</v>
          </cell>
          <cell r="C17" t="str">
            <v>Per Day</v>
          </cell>
          <cell r="D17">
            <v>1350</v>
          </cell>
        </row>
        <row r="21">
          <cell r="A21" t="str">
            <v>MKN 100-253</v>
          </cell>
          <cell r="B21" t="str">
            <v>Size 3 ½” Swab cup each</v>
          </cell>
          <cell r="C21" t="str">
            <v>Each</v>
          </cell>
          <cell r="D21">
            <v>58</v>
          </cell>
        </row>
        <row r="22">
          <cell r="A22" t="str">
            <v>MKN 100-254</v>
          </cell>
          <cell r="B22" t="str">
            <v>Size 2 3/8” -2 7/8” swab cup each</v>
          </cell>
          <cell r="C22" t="str">
            <v>EACH</v>
          </cell>
          <cell r="D22">
            <v>50</v>
          </cell>
        </row>
        <row r="23">
          <cell r="A23" t="str">
            <v>MKN 100-255</v>
          </cell>
          <cell r="B23" t="str">
            <v>Down hole redress charge for all size</v>
          </cell>
          <cell r="C23" t="str">
            <v>Per Hour</v>
          </cell>
          <cell r="D23">
            <v>60</v>
          </cell>
        </row>
        <row r="24">
          <cell r="A24" t="str">
            <v>MKN 100-256</v>
          </cell>
          <cell r="B24" t="str">
            <v>Breakout Machine Rental</v>
          </cell>
          <cell r="C24" t="str">
            <v>Per Connection</v>
          </cell>
          <cell r="D24">
            <v>115</v>
          </cell>
        </row>
        <row r="25">
          <cell r="A25" t="str">
            <v>MKN 100-257</v>
          </cell>
          <cell r="B25" t="str">
            <v>Grinding Machine</v>
          </cell>
          <cell r="C25" t="str">
            <v>Per Hour</v>
          </cell>
          <cell r="D25">
            <v>200</v>
          </cell>
        </row>
        <row r="26">
          <cell r="A26" t="str">
            <v>MKN 100-258</v>
          </cell>
          <cell r="B26" t="str">
            <v>Pipe dope CMPD</v>
          </cell>
          <cell r="C26" t="str">
            <v>Per Rail</v>
          </cell>
          <cell r="D26">
            <v>350</v>
          </cell>
        </row>
        <row r="27">
          <cell r="A27" t="str">
            <v>MKN 100-259</v>
          </cell>
          <cell r="B27" t="str">
            <v>Welding Machine</v>
          </cell>
          <cell r="C27" t="str">
            <v>Per Hour</v>
          </cell>
          <cell r="D27">
            <v>115</v>
          </cell>
        </row>
        <row r="28">
          <cell r="A28" t="str">
            <v>MKN 100-260</v>
          </cell>
          <cell r="B28" t="str">
            <v>Hydraulic jar test all size</v>
          </cell>
          <cell r="C28" t="str">
            <v>Per Test</v>
          </cell>
          <cell r="D28">
            <v>100</v>
          </cell>
        </row>
      </sheetData>
      <sheetData sheetId="26">
        <row r="6">
          <cell r="A6" t="str">
            <v>MKN 100-222</v>
          </cell>
          <cell r="B6" t="str">
            <v>Bailer or sand pump all sizes</v>
          </cell>
          <cell r="C6" t="str">
            <v>Per day</v>
          </cell>
          <cell r="D6">
            <v>950</v>
          </cell>
          <cell r="E6">
            <v>385</v>
          </cell>
        </row>
        <row r="7">
          <cell r="A7" t="str">
            <v>MKN 100-223</v>
          </cell>
          <cell r="B7" t="str">
            <v>Bailer or sand pump redress charge will be 50% from</v>
          </cell>
          <cell r="C7" t="str">
            <v>50% F.Day</v>
          </cell>
          <cell r="D7">
            <v>475</v>
          </cell>
        </row>
        <row r="8">
          <cell r="A8" t="str">
            <v>MKN 100-224</v>
          </cell>
          <cell r="B8" t="str">
            <v>Safety clamps all sizes</v>
          </cell>
          <cell r="C8" t="str">
            <v>Per run</v>
          </cell>
          <cell r="D8">
            <v>40</v>
          </cell>
        </row>
        <row r="9">
          <cell r="A9" t="str">
            <v>MKN 100-225</v>
          </cell>
          <cell r="B9" t="str">
            <v>Elevators charge all sizes</v>
          </cell>
          <cell r="C9" t="str">
            <v>Per day</v>
          </cell>
          <cell r="D9">
            <v>65</v>
          </cell>
        </row>
        <row r="10">
          <cell r="A10" t="str">
            <v>MKN 100-226</v>
          </cell>
          <cell r="B10" t="str">
            <v>Safety joint charge all sizes</v>
          </cell>
          <cell r="C10" t="str">
            <v>Per run</v>
          </cell>
          <cell r="D10">
            <v>1850</v>
          </cell>
        </row>
        <row r="11">
          <cell r="A11" t="str">
            <v>MKN 100-227</v>
          </cell>
          <cell r="B11" t="str">
            <v>Workshop redressing technician rate</v>
          </cell>
          <cell r="C11" t="str">
            <v>Per day</v>
          </cell>
          <cell r="D11">
            <v>750</v>
          </cell>
        </row>
        <row r="12">
          <cell r="D12" t="str">
            <v>(minimum 2days)</v>
          </cell>
        </row>
        <row r="15">
          <cell r="A15" t="str">
            <v>MKN 100-228</v>
          </cell>
          <cell r="B15" t="str">
            <v>Magnet Thru 4 ½” OD</v>
          </cell>
          <cell r="C15" t="str">
            <v>Per run</v>
          </cell>
          <cell r="D15">
            <v>1650</v>
          </cell>
        </row>
        <row r="16">
          <cell r="A16" t="str">
            <v>MKN 100-229</v>
          </cell>
          <cell r="B16" t="str">
            <v>Magnet Thru 9 ½” OD</v>
          </cell>
          <cell r="C16" t="str">
            <v>Per run</v>
          </cell>
          <cell r="D16">
            <v>1850</v>
          </cell>
        </row>
        <row r="17">
          <cell r="A17" t="str">
            <v>MKN 100-230</v>
          </cell>
          <cell r="B17" t="str">
            <v>Magnet Type Ditch</v>
          </cell>
          <cell r="C17" t="str">
            <v>Per day</v>
          </cell>
          <cell r="D17">
            <v>250</v>
          </cell>
        </row>
        <row r="18">
          <cell r="A18" t="str">
            <v>MKN 100-231</v>
          </cell>
          <cell r="B18" t="str">
            <v>All grapples and controls for all sizes will be charged 50% from</v>
          </cell>
          <cell r="C18" t="str">
            <v>50% F.Day</v>
          </cell>
        </row>
        <row r="19">
          <cell r="A19" t="str">
            <v>MKN 100-232</v>
          </cell>
          <cell r="B19" t="str">
            <v>Near bit stabilizer thru 7”</v>
          </cell>
          <cell r="C19" t="str">
            <v>Per run</v>
          </cell>
          <cell r="D19">
            <v>2200</v>
          </cell>
        </row>
        <row r="20">
          <cell r="A20" t="str">
            <v>MKN 100-233</v>
          </cell>
          <cell r="B20" t="str">
            <v>Near bit stabilizer thru 9 5/8”</v>
          </cell>
          <cell r="C20" t="str">
            <v>Per run</v>
          </cell>
          <cell r="D20">
            <v>2500</v>
          </cell>
        </row>
        <row r="23">
          <cell r="A23" t="str">
            <v>MKN 100-234</v>
          </cell>
          <cell r="B23" t="str">
            <v>Jar intensifier all size per day</v>
          </cell>
          <cell r="C23" t="str">
            <v>Per day</v>
          </cell>
          <cell r="D23">
            <v>750</v>
          </cell>
        </row>
        <row r="24">
          <cell r="A24" t="str">
            <v>MKN 100-235</v>
          </cell>
          <cell r="B24" t="str">
            <v>Releasing spear thru 7”</v>
          </cell>
          <cell r="C24" t="str">
            <v>Per run</v>
          </cell>
          <cell r="D24">
            <v>1900</v>
          </cell>
        </row>
        <row r="25">
          <cell r="A25" t="str">
            <v>MKN 100-236</v>
          </cell>
          <cell r="B25" t="str">
            <v>Releasing Spear thru 9 5/8”</v>
          </cell>
          <cell r="C25" t="str">
            <v>Per run</v>
          </cell>
          <cell r="D25">
            <v>2200</v>
          </cell>
        </row>
        <row r="26">
          <cell r="A26" t="str">
            <v>MKN 100-237</v>
          </cell>
          <cell r="B26" t="str">
            <v>Taper mill for thru 7”</v>
          </cell>
          <cell r="C26" t="str">
            <v>Per day</v>
          </cell>
          <cell r="D26">
            <v>500</v>
          </cell>
        </row>
        <row r="27">
          <cell r="A27" t="str">
            <v>MKN 100-238</v>
          </cell>
          <cell r="B27" t="str">
            <v>Taper mill thru 9 5/8”</v>
          </cell>
          <cell r="C27" t="str">
            <v>Per day</v>
          </cell>
          <cell r="D27">
            <v>650</v>
          </cell>
        </row>
        <row r="28">
          <cell r="A28" t="str">
            <v>MKN 100-239</v>
          </cell>
          <cell r="B28" t="str">
            <v>Refill taper mill for all size</v>
          </cell>
          <cell r="C28" t="str">
            <v>Per job</v>
          </cell>
          <cell r="D28">
            <v>1350</v>
          </cell>
        </row>
      </sheetData>
      <sheetData sheetId="27">
        <row r="5">
          <cell r="A5" t="str">
            <v>MKN 100-203</v>
          </cell>
          <cell r="B5" t="str">
            <v>Redress charge for fishing jar thru 6 ½” OD</v>
          </cell>
          <cell r="C5" t="str">
            <v>Per run</v>
          </cell>
          <cell r="D5">
            <v>800</v>
          </cell>
        </row>
        <row r="6">
          <cell r="A6" t="str">
            <v>MKN 100-204</v>
          </cell>
          <cell r="B6" t="str">
            <v>Redress charge for fishing jar thru 8 ¾” OD</v>
          </cell>
          <cell r="C6" t="str">
            <v>Per run</v>
          </cell>
          <cell r="D6">
            <v>900</v>
          </cell>
        </row>
        <row r="7">
          <cell r="A7" t="str">
            <v>MKN 100-205</v>
          </cell>
          <cell r="B7" t="str">
            <v>Redress charge for bumper sub thru 6 ¼” OD</v>
          </cell>
          <cell r="C7" t="str">
            <v>Per run</v>
          </cell>
          <cell r="D7">
            <v>600</v>
          </cell>
        </row>
        <row r="8">
          <cell r="A8" t="str">
            <v>MKN 100-206</v>
          </cell>
          <cell r="B8" t="str">
            <v>Redress charge for bumper sub thru 8 ¾” OD</v>
          </cell>
          <cell r="C8" t="str">
            <v>Per run</v>
          </cell>
          <cell r="D8">
            <v>700</v>
          </cell>
        </row>
        <row r="12">
          <cell r="A12" t="str">
            <v>MKN 100-207</v>
          </cell>
          <cell r="B12" t="str">
            <v>Refill impression block thru 8” OD</v>
          </cell>
          <cell r="C12" t="str">
            <v>Per run</v>
          </cell>
          <cell r="D12">
            <v>910</v>
          </cell>
        </row>
        <row r="13">
          <cell r="A13" t="str">
            <v>MKN 100-208</v>
          </cell>
          <cell r="B13" t="str">
            <v>Refill impression block thru 13 3/8” OD</v>
          </cell>
          <cell r="C13" t="str">
            <v>Per run</v>
          </cell>
          <cell r="D13">
            <v>990</v>
          </cell>
        </row>
        <row r="14">
          <cell r="A14" t="str">
            <v>MKN 100-209</v>
          </cell>
          <cell r="B14" t="str">
            <v>Redress junk basket with tungsten carbide thru 8 ¾” OD</v>
          </cell>
          <cell r="C14" t="str">
            <v>Per run</v>
          </cell>
          <cell r="D14">
            <v>760</v>
          </cell>
        </row>
        <row r="15">
          <cell r="A15" t="str">
            <v>MKN 100-210</v>
          </cell>
          <cell r="B15" t="str">
            <v>Redress junk basket with tungsten carbide thru 13 3/8” OD</v>
          </cell>
          <cell r="C15" t="str">
            <v>Per run</v>
          </cell>
          <cell r="D15">
            <v>885</v>
          </cell>
        </row>
        <row r="16">
          <cell r="A16" t="str">
            <v>MKN 100-211</v>
          </cell>
          <cell r="B16" t="str">
            <v>Redress charge for washover pipe all sizes</v>
          </cell>
          <cell r="C16" t="str">
            <v>…..</v>
          </cell>
          <cell r="D16">
            <v>2750</v>
          </cell>
        </row>
        <row r="21">
          <cell r="A21" t="str">
            <v>MKN 100-212</v>
          </cell>
          <cell r="B21" t="str">
            <v>Skirted mill thru 8 ¾” OD</v>
          </cell>
          <cell r="D21">
            <v>1350</v>
          </cell>
          <cell r="E21">
            <v>500</v>
          </cell>
        </row>
        <row r="22">
          <cell r="A22" t="str">
            <v>MKN 100-213</v>
          </cell>
          <cell r="B22" t="str">
            <v>Skirted mill thru 13 3/8” OD</v>
          </cell>
          <cell r="D22">
            <v>1550</v>
          </cell>
          <cell r="E22">
            <v>600</v>
          </cell>
        </row>
        <row r="23">
          <cell r="A23" t="str">
            <v>MKN 100-214</v>
          </cell>
          <cell r="B23" t="str">
            <v>Refill washover pipe dressed with crushed carbide for skirted mill all</v>
          </cell>
          <cell r="D23">
            <v>1250</v>
          </cell>
        </row>
        <row r="24">
          <cell r="A24" t="str">
            <v>MKN 100-215</v>
          </cell>
          <cell r="B24" t="str">
            <v>Refill junk mill with crushed carbide for skirted mill all sizes</v>
          </cell>
          <cell r="D24">
            <v>1350</v>
          </cell>
        </row>
        <row r="25">
          <cell r="A25" t="str">
            <v>MKN 100-216</v>
          </cell>
          <cell r="B25" t="str">
            <v>Flat bottom Mill all size</v>
          </cell>
          <cell r="D25">
            <v>385</v>
          </cell>
        </row>
        <row r="26">
          <cell r="A26" t="str">
            <v>MKN 100-217</v>
          </cell>
          <cell r="B26" t="str">
            <v>Refill flat bottom mill all size</v>
          </cell>
          <cell r="D26">
            <v>575</v>
          </cell>
        </row>
        <row r="30">
          <cell r="A30" t="str">
            <v>MKN 100-218</v>
          </cell>
          <cell r="B30" t="str">
            <v>Cable spear thru 8 ¾” OD</v>
          </cell>
          <cell r="C30" t="str">
            <v>Per run</v>
          </cell>
          <cell r="D30">
            <v>1650</v>
          </cell>
        </row>
        <row r="31">
          <cell r="A31" t="str">
            <v>MKN 100-219</v>
          </cell>
          <cell r="B31" t="str">
            <v>Cable spear thru 13 3/8” OD</v>
          </cell>
          <cell r="C31" t="str">
            <v>Per run</v>
          </cell>
          <cell r="D31">
            <v>1850</v>
          </cell>
        </row>
        <row r="32">
          <cell r="A32" t="str">
            <v>MKN 100-220</v>
          </cell>
          <cell r="B32" t="str">
            <v>Redress kit overshot wide range for all sizes</v>
          </cell>
          <cell r="D32">
            <v>2850</v>
          </cell>
        </row>
        <row r="33">
          <cell r="A33" t="str">
            <v>MKN 100-221</v>
          </cell>
          <cell r="B33" t="str">
            <v>Inspection charge for all tools as per third party company invoice</v>
          </cell>
          <cell r="C33" t="str">
            <v>Per tool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GOCO Price List"/>
      <sheetName val="31"/>
      <sheetName val="30"/>
      <sheetName val="29"/>
      <sheetName val="28"/>
      <sheetName val="27"/>
      <sheetName val="26"/>
      <sheetName val="25"/>
      <sheetName val="24"/>
      <sheetName val="23"/>
      <sheetName val="22"/>
      <sheetName val="21"/>
      <sheetName val="20"/>
      <sheetName val="19"/>
      <sheetName val="18"/>
      <sheetName val="16"/>
      <sheetName val="17"/>
      <sheetName val="15"/>
      <sheetName val="14"/>
      <sheetName val="13"/>
      <sheetName val="12"/>
      <sheetName val="11"/>
      <sheetName val="10"/>
      <sheetName val="9"/>
      <sheetName val="8"/>
      <sheetName val="7"/>
      <sheetName val="6"/>
      <sheetName val="5"/>
      <sheetName val="4"/>
      <sheetName val="3"/>
      <sheetName val="2"/>
      <sheetName val="1"/>
    </sheetNames>
    <sheetDataSet>
      <sheetData sheetId="0"/>
      <sheetData sheetId="1"/>
      <sheetData sheetId="2">
        <row r="7">
          <cell r="A7" t="str">
            <v>MKN 100-0194</v>
          </cell>
          <cell r="B7" t="str">
            <v>All Sizes</v>
          </cell>
          <cell r="C7" t="str">
            <v>Per Run</v>
          </cell>
          <cell r="D7">
            <v>110</v>
          </cell>
        </row>
        <row r="9">
          <cell r="A9" t="str">
            <v>MKN 100-0195</v>
          </cell>
          <cell r="B9" t="str">
            <v>Thru 2 1/2" OD</v>
          </cell>
          <cell r="C9" t="str">
            <v>Per Run</v>
          </cell>
          <cell r="D9">
            <v>130</v>
          </cell>
        </row>
        <row r="10">
          <cell r="A10" t="str">
            <v>MKN 100-0196</v>
          </cell>
          <cell r="B10" t="str">
            <v>Thru 3 3/4" OD</v>
          </cell>
          <cell r="C10" t="str">
            <v>Per Run</v>
          </cell>
          <cell r="D10">
            <v>330</v>
          </cell>
        </row>
        <row r="11">
          <cell r="A11" t="str">
            <v>MKN 100-0197</v>
          </cell>
          <cell r="B11" t="str">
            <v>Thru 4 3/4" OD</v>
          </cell>
          <cell r="C11" t="str">
            <v>Per Run</v>
          </cell>
          <cell r="D11">
            <v>320</v>
          </cell>
        </row>
        <row r="12">
          <cell r="A12" t="str">
            <v>MKN 100-0198</v>
          </cell>
          <cell r="B12" t="str">
            <v>Thru 5 3/4" OD</v>
          </cell>
          <cell r="C12" t="str">
            <v>Per Run</v>
          </cell>
          <cell r="D12">
            <v>500</v>
          </cell>
        </row>
        <row r="13">
          <cell r="A13" t="str">
            <v>MKN 100-0199</v>
          </cell>
          <cell r="B13" t="str">
            <v>Thru 6 3/4" OD</v>
          </cell>
          <cell r="C13" t="str">
            <v>Per Run</v>
          </cell>
          <cell r="D13">
            <v>590</v>
          </cell>
        </row>
        <row r="14">
          <cell r="A14" t="str">
            <v>MKN 100-0200</v>
          </cell>
          <cell r="B14" t="str">
            <v>Thru 7 5/8" OD</v>
          </cell>
          <cell r="C14" t="str">
            <v>Per Run</v>
          </cell>
          <cell r="D14">
            <v>850</v>
          </cell>
        </row>
        <row r="15">
          <cell r="A15" t="str">
            <v>MKN 100-0201</v>
          </cell>
          <cell r="B15" t="str">
            <v>Thru 9 5/8" OD</v>
          </cell>
          <cell r="C15" t="str">
            <v>Per Run</v>
          </cell>
          <cell r="D15">
            <v>1010</v>
          </cell>
        </row>
        <row r="16">
          <cell r="A16" t="str">
            <v>MKN 100-0202</v>
          </cell>
          <cell r="B16" t="str">
            <v>Thru 10 3/4" OD</v>
          </cell>
          <cell r="C16" t="str">
            <v>Per Run</v>
          </cell>
          <cell r="D16">
            <v>1500</v>
          </cell>
        </row>
      </sheetData>
      <sheetData sheetId="3">
        <row r="7">
          <cell r="A7" t="str">
            <v>MKN 100-0188</v>
          </cell>
          <cell r="B7" t="str">
            <v>2 7/8" Connection &amp;</v>
          </cell>
          <cell r="C7" t="str">
            <v>Per Day</v>
          </cell>
          <cell r="D7">
            <v>55</v>
          </cell>
        </row>
        <row r="8">
          <cell r="A8" t="str">
            <v>MKN 100-0189</v>
          </cell>
          <cell r="B8" t="str">
            <v>3-1/2" Connection &amp;</v>
          </cell>
          <cell r="C8" t="str">
            <v>Per Day</v>
          </cell>
          <cell r="D8">
            <v>70</v>
          </cell>
        </row>
        <row r="9">
          <cell r="A9" t="str">
            <v>MKN 100-0190</v>
          </cell>
          <cell r="B9" t="str">
            <v>4-1/2" Connection</v>
          </cell>
          <cell r="C9" t="str">
            <v>Per Day</v>
          </cell>
          <cell r="D9">
            <v>70</v>
          </cell>
        </row>
        <row r="10">
          <cell r="A10" t="str">
            <v>MKN 100-0191</v>
          </cell>
          <cell r="B10" t="str">
            <v>5-1/2" Connection</v>
          </cell>
          <cell r="C10" t="str">
            <v>Per Day</v>
          </cell>
          <cell r="D10">
            <v>85</v>
          </cell>
        </row>
        <row r="11">
          <cell r="A11" t="str">
            <v>MKN 100-0192</v>
          </cell>
          <cell r="B11" t="str">
            <v>6 5/8" Connection</v>
          </cell>
          <cell r="C11" t="str">
            <v>Per Day</v>
          </cell>
          <cell r="D11">
            <v>85</v>
          </cell>
        </row>
        <row r="12">
          <cell r="A12" t="str">
            <v>MKN 100-0193</v>
          </cell>
          <cell r="B12" t="str">
            <v>7 5/8" Connection</v>
          </cell>
          <cell r="C12" t="str">
            <v>Per Day</v>
          </cell>
          <cell r="D12">
            <v>130</v>
          </cell>
        </row>
      </sheetData>
      <sheetData sheetId="4">
        <row r="8">
          <cell r="A8" t="str">
            <v>MKN 100-0182</v>
          </cell>
          <cell r="B8" t="str">
            <v>Sucker Rod CONN.</v>
          </cell>
          <cell r="C8" t="str">
            <v>$/day</v>
          </cell>
          <cell r="D8">
            <v>20</v>
          </cell>
          <cell r="E8">
            <v>7</v>
          </cell>
        </row>
        <row r="9">
          <cell r="A9" t="str">
            <v>MKN 100-0183</v>
          </cell>
          <cell r="B9" t="str">
            <v>2 7/8" CONN.</v>
          </cell>
          <cell r="C9" t="str">
            <v>$/day</v>
          </cell>
          <cell r="D9">
            <v>35</v>
          </cell>
          <cell r="E9">
            <v>15</v>
          </cell>
        </row>
        <row r="10">
          <cell r="A10" t="str">
            <v>MKN 100-0184</v>
          </cell>
          <cell r="B10" t="str">
            <v>3 1/2" CONN.</v>
          </cell>
          <cell r="C10" t="str">
            <v>$/day</v>
          </cell>
          <cell r="D10">
            <v>35</v>
          </cell>
          <cell r="E10">
            <v>15</v>
          </cell>
        </row>
        <row r="11">
          <cell r="A11" t="str">
            <v>MKN 100-0185</v>
          </cell>
          <cell r="B11" t="str">
            <v>4 1/2" CONN.</v>
          </cell>
          <cell r="C11" t="str">
            <v>$/day</v>
          </cell>
          <cell r="D11">
            <v>40</v>
          </cell>
          <cell r="E11">
            <v>18</v>
          </cell>
        </row>
        <row r="12">
          <cell r="A12" t="str">
            <v>MKN 100-0186</v>
          </cell>
          <cell r="B12" t="str">
            <v>6 5/8" CONN.</v>
          </cell>
          <cell r="C12" t="str">
            <v>$/day</v>
          </cell>
          <cell r="D12">
            <v>85</v>
          </cell>
          <cell r="E12">
            <v>20</v>
          </cell>
        </row>
        <row r="13">
          <cell r="A13" t="str">
            <v>MKN 100-0187</v>
          </cell>
          <cell r="B13" t="str">
            <v>7 5/8" CONN.</v>
          </cell>
          <cell r="C13" t="str">
            <v>$/day</v>
          </cell>
          <cell r="D13">
            <v>85</v>
          </cell>
          <cell r="E13">
            <v>20</v>
          </cell>
        </row>
      </sheetData>
      <sheetData sheetId="5">
        <row r="7">
          <cell r="A7" t="str">
            <v>MKN 100-0174</v>
          </cell>
          <cell r="B7" t="str">
            <v>2-7/8" Connection size</v>
          </cell>
          <cell r="C7" t="str">
            <v>Per Day</v>
          </cell>
          <cell r="D7">
            <v>70</v>
          </cell>
        </row>
        <row r="8">
          <cell r="A8" t="str">
            <v>MKN 100-0175</v>
          </cell>
          <cell r="B8" t="str">
            <v>4-1/2" Connection size</v>
          </cell>
          <cell r="C8" t="str">
            <v>Per Day</v>
          </cell>
          <cell r="D8">
            <v>120</v>
          </cell>
        </row>
        <row r="9">
          <cell r="A9" t="str">
            <v>MKN 100-0176</v>
          </cell>
          <cell r="B9" t="str">
            <v>6-5/8" Connection size</v>
          </cell>
          <cell r="C9" t="str">
            <v>Per Day</v>
          </cell>
          <cell r="D9">
            <v>300</v>
          </cell>
        </row>
        <row r="10">
          <cell r="A10" t="str">
            <v>MKN 100-0177</v>
          </cell>
          <cell r="B10" t="str">
            <v>7-5/8" Connection size</v>
          </cell>
          <cell r="C10" t="str">
            <v>Per Day</v>
          </cell>
          <cell r="D10">
            <v>320</v>
          </cell>
        </row>
        <row r="11">
          <cell r="A11" t="str">
            <v>MKN 100-0178</v>
          </cell>
          <cell r="B11" t="str">
            <v>8-5/8" Connection size</v>
          </cell>
          <cell r="C11" t="str">
            <v>Per Day</v>
          </cell>
          <cell r="D11">
            <v>480</v>
          </cell>
        </row>
        <row r="14">
          <cell r="A14" t="str">
            <v>MKN 100-0179</v>
          </cell>
          <cell r="B14" t="str">
            <v>Thru 7-3/8"OD</v>
          </cell>
          <cell r="C14" t="str">
            <v>Per Job</v>
          </cell>
          <cell r="D14">
            <v>70</v>
          </cell>
        </row>
        <row r="15">
          <cell r="A15" t="str">
            <v>MKN 100-0180</v>
          </cell>
          <cell r="B15" t="str">
            <v>Thru 13-3/8"OD</v>
          </cell>
          <cell r="C15" t="str">
            <v>Per Job</v>
          </cell>
          <cell r="D15">
            <v>80</v>
          </cell>
        </row>
        <row r="16">
          <cell r="A16" t="str">
            <v>MKN 100-0181</v>
          </cell>
          <cell r="B16" t="str">
            <v>Thru 18"OD</v>
          </cell>
          <cell r="C16" t="str">
            <v>Per Job</v>
          </cell>
          <cell r="D16">
            <v>75</v>
          </cell>
        </row>
      </sheetData>
      <sheetData sheetId="6">
        <row r="8">
          <cell r="A8" t="str">
            <v>MKN 100-0172</v>
          </cell>
          <cell r="B8" t="str">
            <v>4 1/2" CONN.</v>
          </cell>
          <cell r="C8" t="str">
            <v>$/day</v>
          </cell>
          <cell r="D8">
            <v>75</v>
          </cell>
          <cell r="E8">
            <v>15</v>
          </cell>
        </row>
        <row r="9">
          <cell r="A9" t="str">
            <v>MKN 100-0173</v>
          </cell>
          <cell r="B9" t="str">
            <v>6 5/8" CONN.</v>
          </cell>
          <cell r="C9" t="str">
            <v>$/day</v>
          </cell>
          <cell r="D9">
            <v>100</v>
          </cell>
          <cell r="E9">
            <v>25</v>
          </cell>
        </row>
      </sheetData>
      <sheetData sheetId="7">
        <row r="7">
          <cell r="A7" t="str">
            <v>MKN 100-0161</v>
          </cell>
          <cell r="B7" t="str">
            <v>2 7/8" CONN.</v>
          </cell>
          <cell r="C7" t="str">
            <v>Per Day</v>
          </cell>
          <cell r="D7">
            <v>75</v>
          </cell>
        </row>
        <row r="8">
          <cell r="A8" t="str">
            <v>MKN 100-0162</v>
          </cell>
          <cell r="B8" t="str">
            <v>3 1/2" CONN.</v>
          </cell>
          <cell r="C8" t="str">
            <v>Per Day</v>
          </cell>
          <cell r="D8">
            <v>75</v>
          </cell>
        </row>
        <row r="9">
          <cell r="A9" t="str">
            <v>MKN 100-0163</v>
          </cell>
          <cell r="B9" t="str">
            <v>4 1/2" CONN.</v>
          </cell>
          <cell r="C9" t="str">
            <v>Per Day</v>
          </cell>
          <cell r="D9">
            <v>95</v>
          </cell>
        </row>
        <row r="10">
          <cell r="A10" t="str">
            <v>MKN 100-0164</v>
          </cell>
          <cell r="B10" t="str">
            <v>6 5/8" CONN.</v>
          </cell>
          <cell r="C10" t="str">
            <v>Per Day</v>
          </cell>
          <cell r="D10">
            <v>95</v>
          </cell>
        </row>
        <row r="12">
          <cell r="A12" t="str">
            <v>MKN 100-0165</v>
          </cell>
          <cell r="B12" t="str">
            <v>2 7/8" OD</v>
          </cell>
          <cell r="C12" t="str">
            <v>Per Day</v>
          </cell>
          <cell r="D12">
            <v>140</v>
          </cell>
        </row>
        <row r="13">
          <cell r="A13" t="str">
            <v>MKN 100-0166</v>
          </cell>
          <cell r="B13" t="str">
            <v>4" OD</v>
          </cell>
          <cell r="C13" t="str">
            <v>Per Day</v>
          </cell>
          <cell r="D13">
            <v>230</v>
          </cell>
        </row>
        <row r="14">
          <cell r="A14" t="str">
            <v>MKN 100-0167</v>
          </cell>
          <cell r="B14" t="str">
            <v>5" OD</v>
          </cell>
          <cell r="C14" t="str">
            <v>Per Day</v>
          </cell>
          <cell r="D14">
            <v>340</v>
          </cell>
        </row>
        <row r="15">
          <cell r="A15" t="str">
            <v>MKN 100-0168</v>
          </cell>
          <cell r="B15" t="str">
            <v>7" OD</v>
          </cell>
          <cell r="C15" t="str">
            <v>Per Day</v>
          </cell>
          <cell r="D15">
            <v>340</v>
          </cell>
        </row>
        <row r="16">
          <cell r="A16" t="str">
            <v>MKN 100-0169</v>
          </cell>
          <cell r="B16" t="str">
            <v>9 5/8" OD</v>
          </cell>
          <cell r="C16" t="str">
            <v>Per Day</v>
          </cell>
          <cell r="D16">
            <v>400</v>
          </cell>
        </row>
        <row r="17">
          <cell r="A17" t="str">
            <v>MKN 100-0170</v>
          </cell>
          <cell r="B17" t="str">
            <v>13 3/8" OD</v>
          </cell>
          <cell r="C17" t="str">
            <v>Per Day</v>
          </cell>
          <cell r="D17">
            <v>720</v>
          </cell>
        </row>
        <row r="18">
          <cell r="A18" t="str">
            <v>MKN 100-0171</v>
          </cell>
          <cell r="B18" t="str">
            <v>16" OD</v>
          </cell>
          <cell r="C18" t="str">
            <v>Per Day</v>
          </cell>
          <cell r="D18">
            <v>900</v>
          </cell>
        </row>
      </sheetData>
      <sheetData sheetId="8">
        <row r="7">
          <cell r="A7" t="str">
            <v>MKN 100-0146</v>
          </cell>
          <cell r="B7" t="str">
            <v>SUCKER ROD CONN.</v>
          </cell>
          <cell r="C7" t="str">
            <v>Per Day</v>
          </cell>
          <cell r="D7">
            <v>100</v>
          </cell>
        </row>
        <row r="8">
          <cell r="A8" t="str">
            <v>MKN 100-0147</v>
          </cell>
          <cell r="B8" t="str">
            <v>2 7/8" CONN.</v>
          </cell>
          <cell r="C8" t="str">
            <v>Per Day</v>
          </cell>
          <cell r="D8">
            <v>210</v>
          </cell>
        </row>
        <row r="9">
          <cell r="A9" t="str">
            <v>MKN 100-0148</v>
          </cell>
          <cell r="B9" t="str">
            <v>3 1/2" CONN.</v>
          </cell>
          <cell r="C9" t="str">
            <v>Per Day</v>
          </cell>
          <cell r="D9">
            <v>300</v>
          </cell>
        </row>
        <row r="10">
          <cell r="A10" t="str">
            <v>MKN 100-0149</v>
          </cell>
          <cell r="B10" t="str">
            <v>4 1/2" CONN.</v>
          </cell>
          <cell r="C10" t="str">
            <v>Per Day</v>
          </cell>
          <cell r="D10">
            <v>420</v>
          </cell>
        </row>
        <row r="11">
          <cell r="A11" t="str">
            <v>MKN 100-0150</v>
          </cell>
          <cell r="B11" t="str">
            <v>5 1/2" CONN.</v>
          </cell>
          <cell r="C11" t="str">
            <v>Per Day</v>
          </cell>
          <cell r="D11">
            <v>420</v>
          </cell>
        </row>
        <row r="12">
          <cell r="A12" t="str">
            <v>MKN 100-0151</v>
          </cell>
          <cell r="B12" t="str">
            <v>6 5/8" CONN.</v>
          </cell>
          <cell r="C12" t="str">
            <v>Per Day</v>
          </cell>
          <cell r="D12">
            <v>420</v>
          </cell>
        </row>
        <row r="13">
          <cell r="A13" t="str">
            <v>MKN 100-0152</v>
          </cell>
          <cell r="B13" t="str">
            <v>7 5/8" CONN.</v>
          </cell>
          <cell r="C13" t="str">
            <v>Per Day</v>
          </cell>
          <cell r="D13">
            <v>450</v>
          </cell>
        </row>
        <row r="15">
          <cell r="A15" t="str">
            <v>MKN 100-0153</v>
          </cell>
          <cell r="B15" t="str">
            <v>2 7/8" O.D</v>
          </cell>
          <cell r="C15" t="str">
            <v>Per Day</v>
          </cell>
          <cell r="D15">
            <v>360</v>
          </cell>
        </row>
        <row r="16">
          <cell r="A16" t="str">
            <v>MKN 100-0154</v>
          </cell>
          <cell r="B16" t="str">
            <v>5" O.D</v>
          </cell>
          <cell r="C16" t="str">
            <v>Per Day</v>
          </cell>
          <cell r="D16">
            <v>500</v>
          </cell>
        </row>
        <row r="17">
          <cell r="A17" t="str">
            <v>MKN 100-0155</v>
          </cell>
          <cell r="B17" t="str">
            <v>6 5/8" O.D</v>
          </cell>
          <cell r="C17" t="str">
            <v>Per Day</v>
          </cell>
          <cell r="D17">
            <v>650</v>
          </cell>
        </row>
        <row r="18">
          <cell r="A18" t="str">
            <v>MKN 100-0156</v>
          </cell>
          <cell r="B18" t="str">
            <v>8 5/8" O.D</v>
          </cell>
          <cell r="C18" t="str">
            <v>Per Day</v>
          </cell>
          <cell r="D18">
            <v>870</v>
          </cell>
        </row>
        <row r="19">
          <cell r="A19" t="str">
            <v>MKN 100-0157</v>
          </cell>
          <cell r="B19" t="str">
            <v>13 3/8" O.D</v>
          </cell>
          <cell r="C19" t="str">
            <v>Per Day</v>
          </cell>
          <cell r="D19">
            <v>1300</v>
          </cell>
        </row>
        <row r="20">
          <cell r="A20" t="str">
            <v>MKN 100-0158</v>
          </cell>
          <cell r="B20" t="str">
            <v>16" O.D</v>
          </cell>
          <cell r="C20" t="str">
            <v>Per Day</v>
          </cell>
          <cell r="D20">
            <v>2100</v>
          </cell>
        </row>
        <row r="21">
          <cell r="A21" t="str">
            <v>MKN 100-0159</v>
          </cell>
          <cell r="B21" t="str">
            <v>20" O.D</v>
          </cell>
          <cell r="C21" t="str">
            <v>Per Day</v>
          </cell>
          <cell r="D21">
            <v>2600</v>
          </cell>
        </row>
        <row r="22">
          <cell r="A22" t="str">
            <v>MKN 100-0160</v>
          </cell>
          <cell r="B22" t="str">
            <v>36" O.D</v>
          </cell>
          <cell r="C22" t="str">
            <v>Per Day</v>
          </cell>
          <cell r="D22">
            <v>1580</v>
          </cell>
        </row>
      </sheetData>
      <sheetData sheetId="9">
        <row r="8">
          <cell r="A8" t="str">
            <v>MKN 100-0142</v>
          </cell>
          <cell r="B8" t="str">
            <v>4 3/4" OD</v>
          </cell>
          <cell r="C8" t="str">
            <v>Per Rental</v>
          </cell>
          <cell r="D8">
            <v>1300</v>
          </cell>
          <cell r="E8">
            <v>340</v>
          </cell>
        </row>
        <row r="9">
          <cell r="A9" t="str">
            <v>MKN 100-0143</v>
          </cell>
          <cell r="B9" t="str">
            <v>6 1/2" OD</v>
          </cell>
          <cell r="C9" t="str">
            <v>Per Rental</v>
          </cell>
          <cell r="D9">
            <v>1300</v>
          </cell>
          <cell r="E9">
            <v>340</v>
          </cell>
        </row>
        <row r="10">
          <cell r="A10" t="str">
            <v>MKN 100-0144</v>
          </cell>
          <cell r="B10" t="str">
            <v>8" OD</v>
          </cell>
          <cell r="C10" t="str">
            <v>Per Rental</v>
          </cell>
          <cell r="D10">
            <v>1300</v>
          </cell>
          <cell r="E10">
            <v>340</v>
          </cell>
        </row>
        <row r="11">
          <cell r="A11" t="str">
            <v>MKN 100-0145</v>
          </cell>
          <cell r="B11" t="str">
            <v>9 1/2" OD</v>
          </cell>
          <cell r="C11" t="str">
            <v>Per Rental</v>
          </cell>
          <cell r="D11">
            <v>1300</v>
          </cell>
          <cell r="E11">
            <v>340</v>
          </cell>
        </row>
      </sheetData>
      <sheetData sheetId="10">
        <row r="8">
          <cell r="A8" t="str">
            <v>MKN 100-0135</v>
          </cell>
          <cell r="B8" t="str">
            <v>Thru 4-1/2"OD Casing</v>
          </cell>
          <cell r="C8" t="str">
            <v>Per Day</v>
          </cell>
          <cell r="D8">
            <v>950</v>
          </cell>
          <cell r="E8">
            <v>500</v>
          </cell>
        </row>
        <row r="9">
          <cell r="A9" t="str">
            <v>MKN 100-0136</v>
          </cell>
          <cell r="B9" t="str">
            <v>Thru 5-1/2"OD Casing</v>
          </cell>
          <cell r="C9" t="str">
            <v>Per Day</v>
          </cell>
          <cell r="D9">
            <v>1120</v>
          </cell>
          <cell r="E9">
            <v>530</v>
          </cell>
        </row>
        <row r="10">
          <cell r="A10" t="str">
            <v>MKN 100-0137</v>
          </cell>
          <cell r="B10" t="str">
            <v>Thru 7-5/8"OD Casing</v>
          </cell>
          <cell r="C10" t="str">
            <v>Per Day</v>
          </cell>
          <cell r="D10">
            <v>1200</v>
          </cell>
          <cell r="E10">
            <v>600</v>
          </cell>
        </row>
        <row r="11">
          <cell r="A11" t="str">
            <v>MKN 100-0138</v>
          </cell>
          <cell r="B11" t="str">
            <v>Thru 9-5/8"OD Casing</v>
          </cell>
          <cell r="C11" t="str">
            <v>Per Day</v>
          </cell>
          <cell r="D11">
            <v>1590</v>
          </cell>
          <cell r="E11">
            <v>815</v>
          </cell>
        </row>
        <row r="12">
          <cell r="A12" t="str">
            <v>MKN 100-0139</v>
          </cell>
          <cell r="B12" t="str">
            <v>Thru 10 3/4"OD Casing</v>
          </cell>
          <cell r="C12" t="str">
            <v>Per Day</v>
          </cell>
          <cell r="D12">
            <v>1690</v>
          </cell>
          <cell r="E12">
            <v>850</v>
          </cell>
        </row>
        <row r="13">
          <cell r="A13" t="str">
            <v>MKN 100-0140</v>
          </cell>
          <cell r="B13" t="str">
            <v>Thru 11 3/4"OD Casing</v>
          </cell>
          <cell r="C13" t="str">
            <v>Per Day</v>
          </cell>
          <cell r="D13">
            <v>1850</v>
          </cell>
          <cell r="E13">
            <v>900</v>
          </cell>
        </row>
        <row r="14">
          <cell r="A14" t="str">
            <v>MKN 100-0141</v>
          </cell>
          <cell r="B14" t="str">
            <v>Thru 13-3/8"OD Casing</v>
          </cell>
          <cell r="C14" t="str">
            <v>Per Day</v>
          </cell>
          <cell r="D14">
            <v>1850</v>
          </cell>
          <cell r="E14">
            <v>920</v>
          </cell>
        </row>
      </sheetData>
      <sheetData sheetId="11">
        <row r="8">
          <cell r="A8" t="str">
            <v>MKN 100-0122</v>
          </cell>
          <cell r="B8" t="str">
            <v>Thru 15"OD</v>
          </cell>
          <cell r="C8" t="str">
            <v>Per Job</v>
          </cell>
          <cell r="D8">
            <v>280</v>
          </cell>
        </row>
        <row r="9">
          <cell r="A9" t="str">
            <v>MKN 100-0123</v>
          </cell>
          <cell r="B9" t="str">
            <v>Thru 24"OD</v>
          </cell>
          <cell r="C9" t="str">
            <v>Per Job</v>
          </cell>
          <cell r="D9">
            <v>320</v>
          </cell>
        </row>
        <row r="10">
          <cell r="A10" t="str">
            <v>MKN 100-0124</v>
          </cell>
          <cell r="B10" t="str">
            <v>Thru 30"OD</v>
          </cell>
          <cell r="C10" t="str">
            <v>Per Job</v>
          </cell>
          <cell r="D10">
            <v>670</v>
          </cell>
        </row>
        <row r="12">
          <cell r="A12" t="str">
            <v>MKN 100-0125</v>
          </cell>
          <cell r="B12" t="str">
            <v>Pneumatic Casing Saw - 4" to 12"</v>
          </cell>
          <cell r="C12" t="str">
            <v>Per CUT</v>
          </cell>
          <cell r="D12">
            <v>650</v>
          </cell>
        </row>
        <row r="14">
          <cell r="A14" t="str">
            <v>MKN 100-0126</v>
          </cell>
          <cell r="B14" t="str">
            <v>Thru 5"OD</v>
          </cell>
          <cell r="C14" t="str">
            <v>Per Run</v>
          </cell>
          <cell r="D14">
            <v>495</v>
          </cell>
        </row>
        <row r="15">
          <cell r="A15" t="str">
            <v>MKN 100-0127</v>
          </cell>
          <cell r="B15" t="str">
            <v>Thru 7"OD</v>
          </cell>
          <cell r="C15" t="str">
            <v>Per Run</v>
          </cell>
          <cell r="D15">
            <v>580</v>
          </cell>
        </row>
        <row r="16">
          <cell r="A16" t="str">
            <v>MKN 100-0128</v>
          </cell>
          <cell r="B16" t="str">
            <v>Thru 9 5/8"OD</v>
          </cell>
          <cell r="C16" t="str">
            <v>Per Run</v>
          </cell>
          <cell r="D16">
            <v>780</v>
          </cell>
        </row>
        <row r="17">
          <cell r="A17" t="str">
            <v>MKN 100-0129</v>
          </cell>
          <cell r="B17" t="str">
            <v>Thru 10 3/4"OD</v>
          </cell>
          <cell r="C17" t="str">
            <v>Per Run</v>
          </cell>
          <cell r="D17">
            <v>1150</v>
          </cell>
        </row>
        <row r="18">
          <cell r="A18" t="str">
            <v>MKN 100-0130</v>
          </cell>
          <cell r="B18" t="str">
            <v>Thru 13 3/8"OD</v>
          </cell>
          <cell r="C18" t="str">
            <v>Per Run</v>
          </cell>
          <cell r="D18">
            <v>1450</v>
          </cell>
        </row>
        <row r="19">
          <cell r="A19" t="str">
            <v>MKN 100-0131</v>
          </cell>
          <cell r="B19" t="str">
            <v>Thru 16"OD</v>
          </cell>
          <cell r="C19" t="str">
            <v>Per Run</v>
          </cell>
          <cell r="D19">
            <v>1720</v>
          </cell>
        </row>
        <row r="20">
          <cell r="A20" t="str">
            <v>MKN 100-0132</v>
          </cell>
          <cell r="B20" t="str">
            <v>Thru 20"OD</v>
          </cell>
          <cell r="C20" t="str">
            <v>Per Run</v>
          </cell>
          <cell r="D20">
            <v>1950</v>
          </cell>
        </row>
        <row r="23">
          <cell r="A23" t="str">
            <v>MKN 100-0133</v>
          </cell>
          <cell r="B23" t="str">
            <v>Thru 7 1/2"OD</v>
          </cell>
          <cell r="C23" t="str">
            <v>Per Job</v>
          </cell>
          <cell r="D23">
            <v>210</v>
          </cell>
        </row>
        <row r="24">
          <cell r="A24" t="str">
            <v>MKN 100-0134</v>
          </cell>
          <cell r="B24" t="str">
            <v>Thru 12 3/4"OD</v>
          </cell>
          <cell r="C24" t="str">
            <v>Per Job</v>
          </cell>
          <cell r="D24">
            <v>280</v>
          </cell>
        </row>
      </sheetData>
      <sheetData sheetId="12">
        <row r="7">
          <cell r="A7" t="str">
            <v>MKN 100-0115</v>
          </cell>
          <cell r="B7" t="str">
            <v>Thru 3-1/2" Joint size</v>
          </cell>
          <cell r="C7" t="str">
            <v>Per Day</v>
          </cell>
          <cell r="D7">
            <v>40</v>
          </cell>
        </row>
        <row r="8">
          <cell r="A8" t="str">
            <v>MKN 100-0116</v>
          </cell>
          <cell r="B8" t="str">
            <v>Thru 4-1/2" Joint size</v>
          </cell>
          <cell r="C8" t="str">
            <v>Per Day</v>
          </cell>
          <cell r="D8">
            <v>45</v>
          </cell>
        </row>
        <row r="9">
          <cell r="A9" t="str">
            <v>MKN 100-0117</v>
          </cell>
          <cell r="B9" t="str">
            <v>Thru 5-1/2" Joint size</v>
          </cell>
          <cell r="C9" t="str">
            <v>Per Day</v>
          </cell>
          <cell r="D9">
            <v>45</v>
          </cell>
        </row>
        <row r="10">
          <cell r="A10" t="str">
            <v>MKN 100-0118</v>
          </cell>
          <cell r="B10" t="str">
            <v>Thru 6-5/8" Joint size</v>
          </cell>
          <cell r="C10" t="str">
            <v>Per Day</v>
          </cell>
          <cell r="D10">
            <v>80</v>
          </cell>
        </row>
        <row r="12">
          <cell r="A12" t="str">
            <v>MKN 100-0119</v>
          </cell>
          <cell r="B12" t="str">
            <v>Thru 5-3/4" OD pipe</v>
          </cell>
          <cell r="C12" t="str">
            <v>Per Day</v>
          </cell>
          <cell r="D12">
            <v>17</v>
          </cell>
        </row>
        <row r="13">
          <cell r="A13" t="str">
            <v>MKN 100-0120</v>
          </cell>
          <cell r="B13" t="str">
            <v>Thru 10-3/4" OD pipe</v>
          </cell>
          <cell r="C13" t="str">
            <v>Per Day</v>
          </cell>
          <cell r="D13">
            <v>30</v>
          </cell>
        </row>
        <row r="14">
          <cell r="A14" t="str">
            <v>MKN 100-0121</v>
          </cell>
          <cell r="B14" t="str">
            <v>Thru 20" OD pipe</v>
          </cell>
          <cell r="C14" t="str">
            <v>Per Day</v>
          </cell>
          <cell r="D14">
            <v>45</v>
          </cell>
        </row>
      </sheetData>
      <sheetData sheetId="13">
        <row r="8">
          <cell r="A8" t="str">
            <v>MKN 100-0109</v>
          </cell>
          <cell r="B8" t="str">
            <v>Thru 5 1/2"OD</v>
          </cell>
          <cell r="C8" t="str">
            <v>$/day</v>
          </cell>
          <cell r="D8">
            <v>260</v>
          </cell>
          <cell r="E8">
            <v>110</v>
          </cell>
        </row>
        <row r="9">
          <cell r="A9" t="str">
            <v>MKN 100-0110</v>
          </cell>
          <cell r="B9" t="str">
            <v>Thru 9 1/4"OD</v>
          </cell>
          <cell r="C9" t="str">
            <v>$/day</v>
          </cell>
          <cell r="D9">
            <v>350</v>
          </cell>
          <cell r="E9">
            <v>145</v>
          </cell>
        </row>
        <row r="10">
          <cell r="A10" t="str">
            <v>MKN 100-0111</v>
          </cell>
          <cell r="B10" t="str">
            <v>Thru 10 3/4"OD</v>
          </cell>
          <cell r="C10" t="str">
            <v>$/day</v>
          </cell>
          <cell r="D10">
            <v>500</v>
          </cell>
          <cell r="E10">
            <v>195</v>
          </cell>
        </row>
        <row r="11">
          <cell r="A11" t="str">
            <v>MKN 100-0112</v>
          </cell>
          <cell r="B11" t="str">
            <v>Thru 13 3/8"OD</v>
          </cell>
          <cell r="C11" t="str">
            <v>$/day</v>
          </cell>
          <cell r="D11">
            <v>445</v>
          </cell>
          <cell r="E11">
            <v>300</v>
          </cell>
        </row>
        <row r="12">
          <cell r="A12" t="str">
            <v>MKN 100-0113</v>
          </cell>
          <cell r="B12" t="str">
            <v>Thru 16"OD</v>
          </cell>
          <cell r="C12" t="str">
            <v>$/day</v>
          </cell>
          <cell r="D12">
            <v>1020</v>
          </cell>
          <cell r="E12">
            <v>470</v>
          </cell>
        </row>
        <row r="13">
          <cell r="A13" t="str">
            <v>MKN 100-0114</v>
          </cell>
          <cell r="B13" t="str">
            <v>Thru 20"OD</v>
          </cell>
          <cell r="C13" t="str">
            <v>$/day</v>
          </cell>
          <cell r="D13">
            <v>1130</v>
          </cell>
          <cell r="E13">
            <v>480</v>
          </cell>
        </row>
      </sheetData>
      <sheetData sheetId="14">
        <row r="8">
          <cell r="A8" t="str">
            <v>MKN 100-096</v>
          </cell>
          <cell r="B8" t="str">
            <v>Thru 7"OD</v>
          </cell>
          <cell r="C8" t="str">
            <v>$/day</v>
          </cell>
          <cell r="D8">
            <v>150</v>
          </cell>
          <cell r="E8">
            <v>70</v>
          </cell>
        </row>
        <row r="9">
          <cell r="A9" t="str">
            <v>MKN 100-097</v>
          </cell>
          <cell r="B9" t="str">
            <v>Thru 11"OD</v>
          </cell>
          <cell r="C9" t="str">
            <v>$/day</v>
          </cell>
          <cell r="D9">
            <v>260</v>
          </cell>
          <cell r="E9">
            <v>120</v>
          </cell>
        </row>
        <row r="10">
          <cell r="A10" t="str">
            <v>MKN 100-098</v>
          </cell>
          <cell r="B10" t="str">
            <v>Thru 16-18"OD</v>
          </cell>
          <cell r="C10" t="str">
            <v>$/day</v>
          </cell>
          <cell r="D10">
            <v>560</v>
          </cell>
          <cell r="E10">
            <v>230</v>
          </cell>
        </row>
        <row r="11">
          <cell r="A11" t="str">
            <v>MKN 100-099</v>
          </cell>
          <cell r="B11" t="str">
            <v>Thru 20"OD</v>
          </cell>
          <cell r="C11" t="str">
            <v>$/day</v>
          </cell>
          <cell r="D11">
            <v>920</v>
          </cell>
          <cell r="E11">
            <v>410</v>
          </cell>
        </row>
        <row r="12">
          <cell r="A12" t="str">
            <v>MKN 100-0100</v>
          </cell>
          <cell r="B12" t="str">
            <v>Thru 24"OD</v>
          </cell>
          <cell r="C12" t="str">
            <v>$/day</v>
          </cell>
          <cell r="D12">
            <v>920</v>
          </cell>
          <cell r="E12">
            <v>430</v>
          </cell>
        </row>
        <row r="14">
          <cell r="A14" t="str">
            <v>MKN 100-0101</v>
          </cell>
          <cell r="B14" t="str">
            <v>Thru 7-7/8"OD</v>
          </cell>
          <cell r="C14" t="str">
            <v>$/day</v>
          </cell>
          <cell r="D14">
            <v>370</v>
          </cell>
          <cell r="E14">
            <v>160</v>
          </cell>
        </row>
        <row r="15">
          <cell r="A15" t="str">
            <v>MKN 100-0102</v>
          </cell>
          <cell r="B15" t="str">
            <v>Thru 20-3/4"OD</v>
          </cell>
          <cell r="C15" t="str">
            <v>$/day</v>
          </cell>
          <cell r="D15">
            <v>1100</v>
          </cell>
          <cell r="E15">
            <v>550</v>
          </cell>
        </row>
        <row r="17">
          <cell r="A17" t="str">
            <v>MKN 100-0103</v>
          </cell>
          <cell r="B17" t="str">
            <v>4-1/2"OD</v>
          </cell>
          <cell r="C17" t="str">
            <v>$/FT</v>
          </cell>
          <cell r="D17">
            <v>7</v>
          </cell>
          <cell r="E17">
            <v>5</v>
          </cell>
        </row>
        <row r="18">
          <cell r="A18" t="str">
            <v>MKN 100-0104</v>
          </cell>
          <cell r="B18" t="str">
            <v>4-3/4"OD</v>
          </cell>
          <cell r="C18" t="str">
            <v>$/FT</v>
          </cell>
          <cell r="D18">
            <v>7</v>
          </cell>
          <cell r="E18">
            <v>5</v>
          </cell>
        </row>
        <row r="19">
          <cell r="A19" t="str">
            <v>MKN 100-0105</v>
          </cell>
          <cell r="B19" t="str">
            <v>5"OD</v>
          </cell>
          <cell r="C19" t="str">
            <v>$/FT</v>
          </cell>
          <cell r="D19">
            <v>7</v>
          </cell>
          <cell r="E19">
            <v>5</v>
          </cell>
        </row>
        <row r="20">
          <cell r="A20" t="str">
            <v>MKN 100-0106</v>
          </cell>
          <cell r="B20" t="str">
            <v>5-3/8"OD</v>
          </cell>
          <cell r="C20" t="str">
            <v>$/FT</v>
          </cell>
          <cell r="D20">
            <v>7</v>
          </cell>
          <cell r="E20">
            <v>5</v>
          </cell>
        </row>
        <row r="21">
          <cell r="A21" t="str">
            <v>MKN 100-0107</v>
          </cell>
          <cell r="B21" t="str">
            <v>5-3/4"OD</v>
          </cell>
          <cell r="C21" t="str">
            <v>$/FT</v>
          </cell>
          <cell r="D21">
            <v>10</v>
          </cell>
          <cell r="E21">
            <v>7</v>
          </cell>
        </row>
        <row r="22">
          <cell r="A22" t="str">
            <v>MKN 100-0108</v>
          </cell>
          <cell r="B22" t="str">
            <v>7-5/8"OD</v>
          </cell>
          <cell r="C22" t="str">
            <v>$/FT</v>
          </cell>
          <cell r="D22">
            <v>11</v>
          </cell>
          <cell r="E22">
            <v>7</v>
          </cell>
        </row>
      </sheetData>
      <sheetData sheetId="15">
        <row r="8">
          <cell r="A8" t="str">
            <v>MKN 100-091</v>
          </cell>
          <cell r="B8" t="str">
            <v>Thru 4-1/8"OD</v>
          </cell>
          <cell r="C8" t="str">
            <v>S/day</v>
          </cell>
          <cell r="D8">
            <v>190</v>
          </cell>
          <cell r="E8">
            <v>100</v>
          </cell>
        </row>
        <row r="9">
          <cell r="A9" t="str">
            <v>MKN 100-092</v>
          </cell>
          <cell r="B9" t="str">
            <v>Thru 5-3/4"OD</v>
          </cell>
          <cell r="C9" t="str">
            <v>S/day</v>
          </cell>
          <cell r="D9">
            <v>275</v>
          </cell>
          <cell r="E9">
            <v>110</v>
          </cell>
        </row>
        <row r="10">
          <cell r="A10" t="str">
            <v>MKN 100-093</v>
          </cell>
          <cell r="B10" t="str">
            <v>Thru 8"OD</v>
          </cell>
          <cell r="C10" t="str">
            <v>S/day</v>
          </cell>
          <cell r="D10">
            <v>275</v>
          </cell>
          <cell r="E10">
            <v>110</v>
          </cell>
        </row>
        <row r="11">
          <cell r="A11" t="str">
            <v>MKN 100-094</v>
          </cell>
          <cell r="B11" t="str">
            <v>Thru 10-3/4"OD</v>
          </cell>
          <cell r="C11" t="str">
            <v>S/day</v>
          </cell>
          <cell r="D11">
            <v>490</v>
          </cell>
          <cell r="E11">
            <v>180</v>
          </cell>
        </row>
        <row r="12">
          <cell r="A12" t="str">
            <v>MKN 100-095</v>
          </cell>
          <cell r="B12" t="str">
            <v>Thru 13 3/4"OD</v>
          </cell>
          <cell r="C12" t="str">
            <v>S/day</v>
          </cell>
          <cell r="D12">
            <v>650</v>
          </cell>
          <cell r="E12">
            <v>230</v>
          </cell>
        </row>
      </sheetData>
      <sheetData sheetId="16">
        <row r="9">
          <cell r="A9" t="str">
            <v>MKN 100-079</v>
          </cell>
          <cell r="B9" t="str">
            <v>Thru 4 3/4"OD</v>
          </cell>
          <cell r="C9" t="str">
            <v>$/day</v>
          </cell>
          <cell r="D9">
            <v>800</v>
          </cell>
          <cell r="E9">
            <v>310</v>
          </cell>
        </row>
        <row r="10">
          <cell r="A10" t="str">
            <v>MKN 100-080</v>
          </cell>
          <cell r="B10" t="str">
            <v>Thru 6 1/4"OD</v>
          </cell>
          <cell r="C10" t="str">
            <v>$/day</v>
          </cell>
          <cell r="D10">
            <v>890</v>
          </cell>
          <cell r="E10">
            <v>380</v>
          </cell>
        </row>
        <row r="11">
          <cell r="A11" t="str">
            <v>MKN 100-081</v>
          </cell>
          <cell r="B11" t="str">
            <v>Thru 9 5/8"OD</v>
          </cell>
          <cell r="C11" t="str">
            <v>$/day</v>
          </cell>
          <cell r="D11">
            <v>1100</v>
          </cell>
          <cell r="E11">
            <v>485</v>
          </cell>
        </row>
        <row r="12">
          <cell r="A12" t="str">
            <v>MKN 100-082</v>
          </cell>
          <cell r="B12" t="str">
            <v>Thru 12 3/4"OD</v>
          </cell>
          <cell r="C12" t="str">
            <v>$/day</v>
          </cell>
          <cell r="D12">
            <v>1570</v>
          </cell>
          <cell r="E12">
            <v>860</v>
          </cell>
        </row>
      </sheetData>
      <sheetData sheetId="17">
        <row r="8">
          <cell r="A8" t="str">
            <v>MKN 100-083</v>
          </cell>
          <cell r="B8" t="str">
            <v>Thru 4-3/8"OD</v>
          </cell>
          <cell r="C8" t="str">
            <v>Per Job</v>
          </cell>
          <cell r="D8">
            <v>210</v>
          </cell>
        </row>
        <row r="9">
          <cell r="A9" t="str">
            <v>MKN 100-084</v>
          </cell>
          <cell r="B9" t="str">
            <v>Thru 5-3/4"OD</v>
          </cell>
          <cell r="C9" t="str">
            <v>Per Job</v>
          </cell>
          <cell r="D9">
            <v>210</v>
          </cell>
        </row>
        <row r="10">
          <cell r="A10" t="str">
            <v>MKN 100-085</v>
          </cell>
          <cell r="B10" t="str">
            <v>Thru 8"OD</v>
          </cell>
          <cell r="C10" t="str">
            <v>Per Job</v>
          </cell>
          <cell r="D10">
            <v>280</v>
          </cell>
        </row>
        <row r="11">
          <cell r="A11" t="str">
            <v>MKN 100-086</v>
          </cell>
          <cell r="B11" t="str">
            <v>Thru 12"OD</v>
          </cell>
          <cell r="C11" t="str">
            <v>Per Job</v>
          </cell>
          <cell r="D11">
            <v>280</v>
          </cell>
        </row>
        <row r="12">
          <cell r="A12" t="str">
            <v>MKN 100-087</v>
          </cell>
          <cell r="B12" t="str">
            <v>Thru 15"OD</v>
          </cell>
          <cell r="C12" t="str">
            <v>Per Job</v>
          </cell>
          <cell r="D12">
            <v>360</v>
          </cell>
        </row>
        <row r="13">
          <cell r="A13" t="str">
            <v>MKN 100-088</v>
          </cell>
          <cell r="B13" t="str">
            <v>Thru 20"OD</v>
          </cell>
          <cell r="C13" t="str">
            <v>Per Job</v>
          </cell>
          <cell r="D13">
            <v>360</v>
          </cell>
        </row>
        <row r="14">
          <cell r="A14" t="str">
            <v>MKN 100-089</v>
          </cell>
          <cell r="B14" t="str">
            <v>Thru 24"OD</v>
          </cell>
          <cell r="C14" t="str">
            <v>Per Job</v>
          </cell>
          <cell r="D14">
            <v>475</v>
          </cell>
        </row>
        <row r="15">
          <cell r="A15" t="str">
            <v>MKN 100-090</v>
          </cell>
          <cell r="B15" t="str">
            <v>Thru 26"OD</v>
          </cell>
          <cell r="C15" t="str">
            <v>Per Job</v>
          </cell>
          <cell r="D15">
            <v>475</v>
          </cell>
        </row>
      </sheetData>
      <sheetData sheetId="18">
        <row r="9">
          <cell r="A9" t="str">
            <v>MKN 100-075</v>
          </cell>
          <cell r="B9" t="str">
            <v>Thru 4-1/8"OD</v>
          </cell>
          <cell r="C9" t="str">
            <v>S/day</v>
          </cell>
          <cell r="E9">
            <v>500</v>
          </cell>
          <cell r="F9">
            <v>200</v>
          </cell>
        </row>
        <row r="10">
          <cell r="A10" t="str">
            <v>MKN 100-076</v>
          </cell>
          <cell r="B10" t="str">
            <v>Thru 5-3/8"OD</v>
          </cell>
          <cell r="C10" t="str">
            <v>S/day</v>
          </cell>
          <cell r="E10">
            <v>570</v>
          </cell>
          <cell r="F10">
            <v>220</v>
          </cell>
        </row>
        <row r="11">
          <cell r="A11" t="str">
            <v>MKN 100-077</v>
          </cell>
          <cell r="B11" t="str">
            <v>Thru 8-7/8"OD</v>
          </cell>
          <cell r="C11" t="str">
            <v>S/day</v>
          </cell>
          <cell r="E11">
            <v>800</v>
          </cell>
          <cell r="F11">
            <v>330</v>
          </cell>
        </row>
        <row r="12">
          <cell r="A12" t="str">
            <v>MKN 100-078</v>
          </cell>
          <cell r="B12" t="str">
            <v>Thru 11-3/4"OD</v>
          </cell>
          <cell r="C12" t="str">
            <v>S/day</v>
          </cell>
          <cell r="E12">
            <v>1150</v>
          </cell>
          <cell r="F12">
            <v>585</v>
          </cell>
        </row>
      </sheetData>
      <sheetData sheetId="19">
        <row r="6">
          <cell r="C6" t="str">
            <v>PER RUN</v>
          </cell>
          <cell r="D6">
            <v>600</v>
          </cell>
        </row>
        <row r="7">
          <cell r="A7" t="str">
            <v>MKN 100-064</v>
          </cell>
          <cell r="B7" t="str">
            <v>ALL Sizes</v>
          </cell>
        </row>
        <row r="10">
          <cell r="A10" t="str">
            <v>MKN 100-065</v>
          </cell>
          <cell r="B10" t="str">
            <v>Thru 12"OD</v>
          </cell>
          <cell r="C10" t="str">
            <v>PER RUN</v>
          </cell>
          <cell r="D10">
            <v>310</v>
          </cell>
        </row>
        <row r="11">
          <cell r="A11" t="str">
            <v>MKN 100-066</v>
          </cell>
          <cell r="B11" t="str">
            <v>Thru 15"OD</v>
          </cell>
          <cell r="C11" t="str">
            <v>PER RUN</v>
          </cell>
          <cell r="D11">
            <v>350</v>
          </cell>
        </row>
        <row r="12">
          <cell r="A12" t="str">
            <v>MKN 100-067</v>
          </cell>
          <cell r="B12" t="str">
            <v>Thru 20"OD</v>
          </cell>
          <cell r="C12" t="str">
            <v>PER RUN</v>
          </cell>
          <cell r="D12">
            <v>350</v>
          </cell>
        </row>
        <row r="13">
          <cell r="A13" t="str">
            <v>MKN 100-068</v>
          </cell>
          <cell r="B13" t="str">
            <v>Thru 24"OD</v>
          </cell>
          <cell r="C13" t="str">
            <v>PER RUN</v>
          </cell>
          <cell r="D13">
            <v>510</v>
          </cell>
        </row>
        <row r="14">
          <cell r="A14" t="str">
            <v>MKN 100-069</v>
          </cell>
          <cell r="B14" t="str">
            <v>Thru 26"OD</v>
          </cell>
          <cell r="C14" t="str">
            <v>PER RUN</v>
          </cell>
          <cell r="D14">
            <v>510</v>
          </cell>
        </row>
        <row r="16">
          <cell r="A16" t="str">
            <v>MKN 100-070</v>
          </cell>
          <cell r="B16" t="str">
            <v>Thru 15"OD</v>
          </cell>
          <cell r="C16" t="str">
            <v>PER RUN</v>
          </cell>
          <cell r="D16">
            <v>420</v>
          </cell>
        </row>
        <row r="17">
          <cell r="A17" t="str">
            <v>MKN 100-071</v>
          </cell>
          <cell r="B17" t="str">
            <v>Thru 20"OD</v>
          </cell>
          <cell r="C17" t="str">
            <v>PER RUN</v>
          </cell>
          <cell r="D17">
            <v>460</v>
          </cell>
        </row>
        <row r="18">
          <cell r="A18" t="str">
            <v>MKN 100-072</v>
          </cell>
          <cell r="B18" t="str">
            <v>Thru 24"OD</v>
          </cell>
          <cell r="C18" t="str">
            <v>PER RUN</v>
          </cell>
          <cell r="D18">
            <v>650</v>
          </cell>
        </row>
        <row r="19">
          <cell r="A19" t="str">
            <v>MKN 100-073</v>
          </cell>
          <cell r="B19" t="str">
            <v>Thru 26"OD</v>
          </cell>
          <cell r="C19" t="str">
            <v>PER RUN</v>
          </cell>
          <cell r="D19">
            <v>670</v>
          </cell>
        </row>
        <row r="20">
          <cell r="A20" t="str">
            <v>MKN 100-074</v>
          </cell>
          <cell r="B20" t="str">
            <v>Thru 30"OD</v>
          </cell>
          <cell r="C20" t="str">
            <v>PER RUN</v>
          </cell>
          <cell r="D20">
            <v>810</v>
          </cell>
        </row>
      </sheetData>
      <sheetData sheetId="20">
        <row r="8">
          <cell r="A8" t="str">
            <v>MKN 100-058</v>
          </cell>
          <cell r="B8" t="str">
            <v>Thru 10 3/4"OD</v>
          </cell>
          <cell r="C8" t="str">
            <v>Per Tool</v>
          </cell>
          <cell r="D8">
            <v>7500</v>
          </cell>
          <cell r="E8">
            <v>55</v>
          </cell>
        </row>
        <row r="9">
          <cell r="A9" t="str">
            <v>MKN 100-059</v>
          </cell>
          <cell r="B9" t="str">
            <v>Thru 13 3/8"OD</v>
          </cell>
          <cell r="C9" t="str">
            <v>Per Tool</v>
          </cell>
          <cell r="D9">
            <v>8150</v>
          </cell>
          <cell r="E9">
            <v>70</v>
          </cell>
        </row>
        <row r="11">
          <cell r="A11" t="str">
            <v>MKN 100-060</v>
          </cell>
          <cell r="B11" t="str">
            <v>Thru 8 5/8"OD</v>
          </cell>
          <cell r="C11" t="str">
            <v>Per Tool</v>
          </cell>
          <cell r="D11">
            <v>5300</v>
          </cell>
          <cell r="E11">
            <v>100</v>
          </cell>
        </row>
        <row r="12">
          <cell r="A12" t="str">
            <v>MKN 100-061</v>
          </cell>
          <cell r="B12" t="str">
            <v>Thru 10 3/4"OD</v>
          </cell>
          <cell r="C12" t="str">
            <v>Per Tool</v>
          </cell>
          <cell r="D12">
            <v>6400</v>
          </cell>
          <cell r="E12">
            <v>130</v>
          </cell>
        </row>
        <row r="13">
          <cell r="A13" t="str">
            <v>MKN 100-062</v>
          </cell>
          <cell r="B13" t="str">
            <v>Thru 13 3/8"OD</v>
          </cell>
          <cell r="C13" t="str">
            <v>Per Tool</v>
          </cell>
          <cell r="D13">
            <v>8300</v>
          </cell>
          <cell r="E13">
            <v>140</v>
          </cell>
        </row>
        <row r="14">
          <cell r="A14" t="str">
            <v>MKN 100-063</v>
          </cell>
          <cell r="B14" t="str">
            <v>Thru 20"OD</v>
          </cell>
          <cell r="C14" t="str">
            <v>Per Tool</v>
          </cell>
          <cell r="D14">
            <v>12350</v>
          </cell>
          <cell r="E14">
            <v>265</v>
          </cell>
        </row>
      </sheetData>
      <sheetData sheetId="21">
        <row r="8">
          <cell r="A8" t="str">
            <v>MKN 100-045</v>
          </cell>
          <cell r="B8" t="str">
            <v>Thru 6-1/2" OD</v>
          </cell>
          <cell r="C8" t="str">
            <v>Per Day</v>
          </cell>
          <cell r="D8">
            <v>1150</v>
          </cell>
          <cell r="E8">
            <v>600</v>
          </cell>
        </row>
        <row r="9">
          <cell r="A9" t="str">
            <v>MKN 100-046</v>
          </cell>
          <cell r="B9" t="str">
            <v>Thru 8" OD</v>
          </cell>
          <cell r="C9" t="str">
            <v>Per Day</v>
          </cell>
          <cell r="D9">
            <v>1350</v>
          </cell>
          <cell r="E9">
            <v>600</v>
          </cell>
        </row>
        <row r="11">
          <cell r="A11" t="str">
            <v>MKN 100-047</v>
          </cell>
          <cell r="B11" t="str">
            <v>4-1/4" OD</v>
          </cell>
          <cell r="C11" t="str">
            <v>Per Day</v>
          </cell>
          <cell r="D11">
            <v>400</v>
          </cell>
          <cell r="E11">
            <v>240</v>
          </cell>
        </row>
        <row r="12">
          <cell r="A12" t="str">
            <v>MKN 100-048</v>
          </cell>
          <cell r="B12" t="str">
            <v>6-1/4" OD</v>
          </cell>
          <cell r="C12" t="str">
            <v>Per Day</v>
          </cell>
          <cell r="D12">
            <v>680</v>
          </cell>
          <cell r="E12">
            <v>330</v>
          </cell>
        </row>
      </sheetData>
      <sheetData sheetId="22">
        <row r="10">
          <cell r="A10" t="str">
            <v>MKN 100-030</v>
          </cell>
          <cell r="B10" t="str">
            <v>Thru 10 segments</v>
          </cell>
          <cell r="C10" t="str">
            <v>$/day</v>
          </cell>
          <cell r="D10">
            <v>150</v>
          </cell>
          <cell r="E10">
            <v>15</v>
          </cell>
        </row>
        <row r="11">
          <cell r="A11" t="str">
            <v>MKN 100-031</v>
          </cell>
          <cell r="B11" t="str">
            <v>Larger than 10 segments</v>
          </cell>
          <cell r="C11" t="str">
            <v>$/day</v>
          </cell>
          <cell r="D11">
            <v>190</v>
          </cell>
          <cell r="E11">
            <v>25</v>
          </cell>
        </row>
      </sheetData>
      <sheetData sheetId="23">
        <row r="9">
          <cell r="A9" t="str">
            <v>MKN 100-027</v>
          </cell>
          <cell r="B9" t="str">
            <v>7 5/8" OD &amp; Smaller</v>
          </cell>
          <cell r="C9" t="str">
            <v>Per Day</v>
          </cell>
          <cell r="D9">
            <v>165</v>
          </cell>
        </row>
        <row r="10">
          <cell r="A10" t="str">
            <v>MKN 100-028</v>
          </cell>
          <cell r="B10" t="str">
            <v>9 5/8" OD &amp; Smaller</v>
          </cell>
          <cell r="C10" t="str">
            <v>Per Day</v>
          </cell>
          <cell r="D10">
            <v>260</v>
          </cell>
        </row>
        <row r="11">
          <cell r="A11" t="str">
            <v>MKN 100-029</v>
          </cell>
          <cell r="B11" t="str">
            <v>11 3/4" OD &amp; Smaller</v>
          </cell>
          <cell r="C11" t="str">
            <v>Per Day</v>
          </cell>
          <cell r="D11">
            <v>300</v>
          </cell>
        </row>
      </sheetData>
      <sheetData sheetId="24">
        <row r="9">
          <cell r="A9" t="str">
            <v>MKN100-020</v>
          </cell>
          <cell r="B9" t="str">
            <v>Thru 4 1/2" Washpipe Pin</v>
          </cell>
          <cell r="C9" t="str">
            <v>$/day</v>
          </cell>
          <cell r="D9">
            <v>300</v>
          </cell>
          <cell r="E9">
            <v>165</v>
          </cell>
        </row>
        <row r="10">
          <cell r="A10" t="str">
            <v>MKN100-021</v>
          </cell>
          <cell r="B10" t="str">
            <v>Thru 5 3/4" Washpipe Pin</v>
          </cell>
          <cell r="C10" t="str">
            <v>$/day</v>
          </cell>
          <cell r="D10">
            <v>360</v>
          </cell>
          <cell r="E10">
            <v>185</v>
          </cell>
        </row>
        <row r="11">
          <cell r="A11" t="str">
            <v>MKN100-022</v>
          </cell>
          <cell r="B11" t="str">
            <v>Thru 8 3/8" Washpipe Pin</v>
          </cell>
          <cell r="C11" t="str">
            <v>$/day</v>
          </cell>
          <cell r="D11">
            <v>460</v>
          </cell>
          <cell r="E11">
            <v>250</v>
          </cell>
        </row>
        <row r="12">
          <cell r="A12" t="str">
            <v>MKN100-023</v>
          </cell>
          <cell r="B12" t="str">
            <v>Thru 10 3/4" Washpipe Pin</v>
          </cell>
          <cell r="C12" t="str">
            <v>$/day</v>
          </cell>
          <cell r="D12">
            <v>490</v>
          </cell>
          <cell r="E12">
            <v>265</v>
          </cell>
        </row>
        <row r="13">
          <cell r="A13" t="str">
            <v>MKN100-024</v>
          </cell>
          <cell r="B13" t="str">
            <v>Thru 13 3/8" Washpipe Pin</v>
          </cell>
          <cell r="C13" t="str">
            <v>$/day</v>
          </cell>
          <cell r="D13">
            <v>680</v>
          </cell>
          <cell r="E13">
            <v>370</v>
          </cell>
        </row>
        <row r="14">
          <cell r="A14" t="str">
            <v>MKN100-025</v>
          </cell>
          <cell r="B14" t="str">
            <v>Thru 16 1/2" Washpipe Pin</v>
          </cell>
          <cell r="C14" t="str">
            <v>$/day</v>
          </cell>
          <cell r="D14">
            <v>760</v>
          </cell>
          <cell r="E14">
            <v>440</v>
          </cell>
        </row>
        <row r="15">
          <cell r="A15" t="str">
            <v>MKN100-026</v>
          </cell>
          <cell r="B15" t="str">
            <v>Thru 20" Washpipe Pin</v>
          </cell>
          <cell r="C15" t="str">
            <v>$/day</v>
          </cell>
          <cell r="D15">
            <v>850</v>
          </cell>
          <cell r="E15">
            <v>475</v>
          </cell>
        </row>
      </sheetData>
      <sheetData sheetId="25">
        <row r="8">
          <cell r="A8" t="str">
            <v>MKN 100-017</v>
          </cell>
          <cell r="B8" t="str">
            <v>8" OD &amp; Smaller</v>
          </cell>
          <cell r="C8" t="str">
            <v>Price/Largest OD in/JOB</v>
          </cell>
          <cell r="D8">
            <v>85</v>
          </cell>
        </row>
        <row r="9">
          <cell r="A9" t="str">
            <v>MKN 100-018</v>
          </cell>
          <cell r="B9" t="str">
            <v>Over 8"</v>
          </cell>
          <cell r="C9" t="str">
            <v>Price/Largest OD in/JOB</v>
          </cell>
          <cell r="D9">
            <v>100</v>
          </cell>
        </row>
        <row r="11">
          <cell r="A11" t="str">
            <v>MKN 100-019</v>
          </cell>
          <cell r="B11" t="str">
            <v>ALL Sizes</v>
          </cell>
          <cell r="C11" t="str">
            <v>Per Job</v>
          </cell>
          <cell r="D11">
            <v>95</v>
          </cell>
        </row>
      </sheetData>
      <sheetData sheetId="26">
        <row r="8">
          <cell r="A8" t="str">
            <v>MKN 100-012</v>
          </cell>
          <cell r="B8" t="str">
            <v>Thru 8-3/4"OD</v>
          </cell>
          <cell r="C8" t="str">
            <v>Price/Largest OD in/Run</v>
          </cell>
          <cell r="D8">
            <v>280</v>
          </cell>
        </row>
        <row r="9">
          <cell r="A9" t="str">
            <v>MKN 100-013</v>
          </cell>
          <cell r="B9" t="str">
            <v>Thru 17-1/2"OD</v>
          </cell>
          <cell r="C9" t="str">
            <v>Price/Largest OD in/Run</v>
          </cell>
          <cell r="D9">
            <v>300</v>
          </cell>
        </row>
        <row r="11">
          <cell r="A11" t="str">
            <v>MKN 100-014</v>
          </cell>
          <cell r="B11" t="str">
            <v>Thru 7" OD</v>
          </cell>
          <cell r="C11" t="str">
            <v>Per Run</v>
          </cell>
          <cell r="D11">
            <v>510</v>
          </cell>
        </row>
        <row r="12">
          <cell r="A12" t="str">
            <v>MKN 100-015</v>
          </cell>
          <cell r="B12" t="str">
            <v>Thru 10-3/4"OD</v>
          </cell>
          <cell r="C12" t="str">
            <v>Per Run</v>
          </cell>
          <cell r="D12">
            <v>820</v>
          </cell>
        </row>
        <row r="13">
          <cell r="A13" t="str">
            <v>MKN 100-016</v>
          </cell>
          <cell r="B13" t="str">
            <v>Thru 13-3/8"OD</v>
          </cell>
          <cell r="C13" t="str">
            <v>Per Run</v>
          </cell>
          <cell r="D13">
            <v>1030</v>
          </cell>
        </row>
      </sheetData>
      <sheetData sheetId="27">
        <row r="10">
          <cell r="A10" t="str">
            <v>MKN 100-001</v>
          </cell>
          <cell r="B10" t="str">
            <v>Thru 3-3/4"OD</v>
          </cell>
          <cell r="C10" t="str">
            <v>$/day</v>
          </cell>
          <cell r="D10">
            <v>270</v>
          </cell>
          <cell r="E10">
            <v>25</v>
          </cell>
        </row>
        <row r="11">
          <cell r="A11" t="str">
            <v>MKN 100-002</v>
          </cell>
          <cell r="B11" t="str">
            <v>Thru 4-1/4"OD</v>
          </cell>
          <cell r="C11" t="str">
            <v>$/day</v>
          </cell>
          <cell r="D11">
            <v>280</v>
          </cell>
          <cell r="E11">
            <v>25</v>
          </cell>
        </row>
        <row r="12">
          <cell r="A12" t="str">
            <v>MKN 100-003</v>
          </cell>
          <cell r="B12" t="str">
            <v>Thru 4-3/4" OD</v>
          </cell>
          <cell r="C12" t="str">
            <v>$/day</v>
          </cell>
          <cell r="D12">
            <v>360</v>
          </cell>
          <cell r="E12">
            <v>35</v>
          </cell>
        </row>
        <row r="13">
          <cell r="A13" t="str">
            <v>MKN 100-004</v>
          </cell>
          <cell r="B13" t="str">
            <v>Thru 5-3/4" OD</v>
          </cell>
          <cell r="C13" t="str">
            <v>$/day</v>
          </cell>
          <cell r="D13">
            <v>400</v>
          </cell>
          <cell r="E13">
            <v>40</v>
          </cell>
        </row>
        <row r="14">
          <cell r="A14" t="str">
            <v>MKN 100-005</v>
          </cell>
          <cell r="B14" t="str">
            <v>Thru 6-1/8"OD</v>
          </cell>
          <cell r="C14" t="str">
            <v>$/day</v>
          </cell>
          <cell r="D14">
            <v>420</v>
          </cell>
          <cell r="E14">
            <v>40</v>
          </cell>
        </row>
        <row r="15">
          <cell r="A15" t="str">
            <v>MKN 100-006</v>
          </cell>
          <cell r="B15" t="str">
            <v>Thru 6-3/4"OD</v>
          </cell>
          <cell r="C15" t="str">
            <v>$/day</v>
          </cell>
          <cell r="D15">
            <v>470</v>
          </cell>
          <cell r="E15">
            <v>45</v>
          </cell>
        </row>
        <row r="16">
          <cell r="A16" t="str">
            <v>MKN 100-007</v>
          </cell>
          <cell r="B16" t="str">
            <v>Thru 7-3/4"OD</v>
          </cell>
          <cell r="C16" t="str">
            <v>$/day</v>
          </cell>
          <cell r="D16">
            <v>490</v>
          </cell>
          <cell r="E16">
            <v>50</v>
          </cell>
        </row>
        <row r="17">
          <cell r="A17" t="str">
            <v>MKN 100-008</v>
          </cell>
          <cell r="B17" t="str">
            <v>Thru 9-3/4"OD</v>
          </cell>
          <cell r="C17" t="str">
            <v>$/day</v>
          </cell>
          <cell r="D17">
            <v>650</v>
          </cell>
          <cell r="E17">
            <v>65</v>
          </cell>
        </row>
        <row r="18">
          <cell r="A18" t="str">
            <v>MKN 100-009</v>
          </cell>
          <cell r="B18" t="str">
            <v>Thru 10-3/4"OD</v>
          </cell>
          <cell r="C18" t="str">
            <v>$/day</v>
          </cell>
          <cell r="D18">
            <v>800</v>
          </cell>
          <cell r="E18">
            <v>85</v>
          </cell>
        </row>
        <row r="19">
          <cell r="A19" t="str">
            <v>MKN 100-011</v>
          </cell>
          <cell r="B19" t="str">
            <v>Thru 12-1/4"OD</v>
          </cell>
          <cell r="C19" t="str">
            <v>$/day</v>
          </cell>
          <cell r="D19">
            <v>1050</v>
          </cell>
          <cell r="E19">
            <v>100</v>
          </cell>
        </row>
      </sheetData>
      <sheetData sheetId="28">
        <row r="7">
          <cell r="A7" t="str">
            <v>MKN 100-0205</v>
          </cell>
          <cell r="B7" t="str">
            <v>Fishing Tool Supervisor</v>
          </cell>
          <cell r="C7" t="str">
            <v>$/day</v>
          </cell>
          <cell r="D7">
            <v>1200</v>
          </cell>
        </row>
        <row r="8">
          <cell r="A8" t="str">
            <v>MKN 100-0210</v>
          </cell>
          <cell r="B8" t="str">
            <v>Tools pick up</v>
          </cell>
          <cell r="C8" t="str">
            <v>$/km</v>
          </cell>
          <cell r="D8">
            <v>2</v>
          </cell>
        </row>
        <row r="9">
          <cell r="A9" t="str">
            <v>MKN 100-0215</v>
          </cell>
          <cell r="B9" t="str">
            <v>Truck</v>
          </cell>
          <cell r="C9" t="str">
            <v>$/km</v>
          </cell>
          <cell r="D9">
            <v>3</v>
          </cell>
        </row>
      </sheetData>
      <sheetData sheetId="29">
        <row r="7">
          <cell r="A7" t="str">
            <v>ST-6649</v>
          </cell>
          <cell r="B7" t="str">
            <v>Drillable CEMENT RETAINERS AND Drillable BRIDGE PLUG PACKER per CSG OD</v>
          </cell>
        </row>
        <row r="8">
          <cell r="A8" t="str">
            <v>ST-6650</v>
          </cell>
          <cell r="B8" t="str">
            <v>4 1/2"</v>
          </cell>
          <cell r="C8">
            <v>3500</v>
          </cell>
        </row>
        <row r="9">
          <cell r="A9" t="str">
            <v>ST-6651</v>
          </cell>
          <cell r="B9" t="str">
            <v>5"</v>
          </cell>
          <cell r="C9">
            <v>3560</v>
          </cell>
        </row>
        <row r="10">
          <cell r="A10" t="str">
            <v>ST-6652</v>
          </cell>
          <cell r="B10" t="str">
            <v>5 1/2"</v>
          </cell>
          <cell r="C10">
            <v>3560</v>
          </cell>
        </row>
        <row r="11">
          <cell r="A11" t="str">
            <v>ST-6653</v>
          </cell>
          <cell r="B11" t="str">
            <v>7"</v>
          </cell>
          <cell r="C11">
            <v>3900</v>
          </cell>
        </row>
        <row r="12">
          <cell r="A12" t="str">
            <v>ST-6654</v>
          </cell>
          <cell r="B12" t="str">
            <v>9 5/8"</v>
          </cell>
          <cell r="C12">
            <v>5200</v>
          </cell>
        </row>
        <row r="13">
          <cell r="A13" t="str">
            <v>ST-6655</v>
          </cell>
          <cell r="B13" t="str">
            <v>13 3/8"</v>
          </cell>
          <cell r="C13">
            <v>8200</v>
          </cell>
        </row>
      </sheetData>
      <sheetData sheetId="30">
        <row r="9">
          <cell r="A9" t="str">
            <v>Tool Services' tools and equipment damaged or lost in the well during Tool Service's operations will be charged for as per the following:</v>
          </cell>
        </row>
        <row r="10">
          <cell r="A10" t="str">
            <v>ST-6644</v>
          </cell>
          <cell r="B10" t="str">
            <v>Damaged or lost Tools</v>
          </cell>
        </row>
        <row r="11">
          <cell r="A11" t="str">
            <v>ST-6644-01</v>
          </cell>
          <cell r="B11" t="str">
            <v>Tools lost or damaged in transit, lost-in-hole or damaged beyond repair will be charged at MAKAMAN LIBYA landed cost plus 50% plus 100% of accrued rental.</v>
          </cell>
        </row>
        <row r="12">
          <cell r="A12" t="str">
            <v>ST-6644-02</v>
          </cell>
          <cell r="B12" t="str">
            <v>Parts required to recondition tool will be charged at landed cost plus 50%.</v>
          </cell>
        </row>
        <row r="13">
          <cell r="A13" t="str">
            <v>ST-6644-03</v>
          </cell>
          <cell r="B13" t="str">
            <v>Tools or parts cut on, welded on or modified at customer's request will be considered damaged beyond repair.</v>
          </cell>
        </row>
        <row r="14">
          <cell r="A14" t="str">
            <v>ST-6644-04</v>
          </cell>
          <cell r="B14" t="str">
            <v>Tools or parts sold to customer as per Ref. No. ST-6644 will be held for the customer for 60 days and if not claimed within that time will be disposed of by MAKAMAN LIBYA CO.</v>
          </cell>
        </row>
        <row r="15">
          <cell r="A15" t="str">
            <v>ST-6644-05</v>
          </cell>
          <cell r="B15" t="str">
            <v>Special tools built at the customer's request will be charged at MAKAMAN LIBYA CO. price including material and labor.</v>
          </cell>
        </row>
        <row r="16">
          <cell r="A16" t="str">
            <v>ST-6644-06</v>
          </cell>
          <cell r="B16" t="str">
            <v>Landed cost means manufacturer's export price plus 35%.</v>
          </cell>
        </row>
        <row r="17">
          <cell r="A17" t="str">
            <v>ST-6644-07</v>
          </cell>
          <cell r="B17" t="str">
            <v>Rental rates and tool charges for tools used in corrosive environment are subject to a corrosive environment surcharge of 50%.</v>
          </cell>
        </row>
        <row r="18">
          <cell r="A18" t="str">
            <v>ST-6644-08</v>
          </cell>
          <cell r="B18" t="str">
            <v>Desert/Marine Surcharge (add to all invoices)</v>
          </cell>
        </row>
        <row r="21">
          <cell r="A21" t="str">
            <v>ST-6645</v>
          </cell>
          <cell r="B21" t="str">
            <v>MECHANICAL SETTING TOOL, per run</v>
          </cell>
          <cell r="C21">
            <v>1850</v>
          </cell>
        </row>
        <row r="22">
          <cell r="A22" t="str">
            <v>ST-6646</v>
          </cell>
          <cell r="B22" t="str">
            <v>Wire line kit for cement Retainer/Bridge plug, Per run</v>
          </cell>
          <cell r="C22">
            <v>300</v>
          </cell>
        </row>
        <row r="23">
          <cell r="A23" t="str">
            <v>ST-6647</v>
          </cell>
          <cell r="B23" t="str">
            <v>Tubing Stinger Coupling/ (SSA), Per job</v>
          </cell>
          <cell r="C23">
            <v>350</v>
          </cell>
        </row>
        <row r="24">
          <cell r="A24" t="str">
            <v>ST-6648</v>
          </cell>
          <cell r="B24" t="str">
            <v>Tubing Centralizer ,Per job</v>
          </cell>
          <cell r="C24">
            <v>300</v>
          </cell>
        </row>
      </sheetData>
      <sheetData sheetId="31">
        <row r="9">
          <cell r="A9" t="str">
            <v>Price is determined by size and depth packer set. Time of job begins when tool starts in well and ends when recovered from well.</v>
          </cell>
        </row>
        <row r="10">
          <cell r="A10" t="str">
            <v>FIRST EIGHT (8) HOURS or Fraction.</v>
          </cell>
        </row>
        <row r="11">
          <cell r="A11" t="str">
            <v>ST-6619</v>
          </cell>
          <cell r="B11" t="str">
            <v>Size thru 7"</v>
          </cell>
          <cell r="C11">
            <v>2200</v>
          </cell>
        </row>
        <row r="12">
          <cell r="A12" t="str">
            <v>ST-6620</v>
          </cell>
          <cell r="B12" t="str">
            <v>Each 1,000 ft. or fraction between 5,000 ft. and 15,000 ft, add:</v>
          </cell>
          <cell r="C12">
            <v>40</v>
          </cell>
        </row>
        <row r="13">
          <cell r="A13" t="str">
            <v>ST-6621</v>
          </cell>
          <cell r="B13" t="str">
            <v>Size thru 9 5/8"</v>
          </cell>
          <cell r="C13">
            <v>2700</v>
          </cell>
        </row>
        <row r="14">
          <cell r="A14" t="str">
            <v>ST-6622</v>
          </cell>
          <cell r="B14" t="str">
            <v>Each 1,000 ft. or fraction between 5,000 ft. and 15,000 ft, add:</v>
          </cell>
          <cell r="C14">
            <v>50</v>
          </cell>
        </row>
        <row r="15">
          <cell r="A15" t="str">
            <v>ST-6623</v>
          </cell>
          <cell r="B15" t="str">
            <v>Size 13 3/8"</v>
          </cell>
          <cell r="C15">
            <v>4500</v>
          </cell>
        </row>
        <row r="16">
          <cell r="A16" t="str">
            <v>ST-6624</v>
          </cell>
          <cell r="B16" t="str">
            <v>Each 1,000 ft. or fraction between 5,000 ft. and 15,000 ft, add:</v>
          </cell>
          <cell r="C16">
            <v>70</v>
          </cell>
        </row>
        <row r="17">
          <cell r="A17" t="str">
            <v>ST-6625</v>
          </cell>
          <cell r="B17" t="str">
            <v>All sizes, below 15,000 ft. per 100 ft. or fraction: add</v>
          </cell>
          <cell r="C17">
            <v>70</v>
          </cell>
        </row>
        <row r="18">
          <cell r="A18" t="str">
            <v>ST-6626</v>
          </cell>
          <cell r="B18" t="str">
            <v>ADDITIONAL TIME. Each additional consecutive 8-hour or fraction.</v>
          </cell>
          <cell r="C18">
            <v>800</v>
          </cell>
        </row>
        <row r="19">
          <cell r="A19" t="str">
            <v>ST-6627</v>
          </cell>
          <cell r="B19" t="str">
            <v>Each reset on ADDITIONAL ZONE.</v>
          </cell>
          <cell r="C19">
            <v>700</v>
          </cell>
        </row>
        <row r="20">
          <cell r="A20" t="str">
            <v>ST-6628</v>
          </cell>
          <cell r="B20" t="str">
            <v>Unsuccessful run.</v>
          </cell>
          <cell r="C20">
            <v>1300</v>
          </cell>
        </row>
        <row r="22">
          <cell r="A22" t="str">
            <v>RETRIEVABLE BRIDGE PLUG. (When run with another MAKAMAN LIBYA CO. packer)</v>
          </cell>
        </row>
        <row r="23">
          <cell r="A23" t="str">
            <v>Price is determined by size and depth packer set. Time of job begins when tool starts in well and time ends when recovered from well.</v>
          </cell>
        </row>
        <row r="24">
          <cell r="A24" t="str">
            <v>FIRST EIGHT (8) HOURS or Fraction.</v>
          </cell>
        </row>
        <row r="26">
          <cell r="A26" t="str">
            <v>ST-6629</v>
          </cell>
          <cell r="B26" t="str">
            <v>Size thru 7"</v>
          </cell>
          <cell r="C26">
            <v>1900</v>
          </cell>
        </row>
        <row r="27">
          <cell r="A27" t="str">
            <v>ST-6630</v>
          </cell>
          <cell r="B27" t="str">
            <v>Each 1,000 ft. or fraction between 5,000 ft. and 15,000 ft, add:</v>
          </cell>
          <cell r="C27">
            <v>40</v>
          </cell>
        </row>
        <row r="28">
          <cell r="A28" t="str">
            <v>ST-6631</v>
          </cell>
          <cell r="B28" t="str">
            <v>Size thru 9 5/8"</v>
          </cell>
          <cell r="C28">
            <v>2700</v>
          </cell>
        </row>
        <row r="29">
          <cell r="A29" t="str">
            <v>ST-6632</v>
          </cell>
          <cell r="B29" t="str">
            <v>Each 1,000 ft. or fraction between 5,000 ft. and 15,000 ft, add:</v>
          </cell>
          <cell r="C29">
            <v>50</v>
          </cell>
        </row>
        <row r="30">
          <cell r="A30" t="str">
            <v>ST-6633</v>
          </cell>
          <cell r="B30" t="str">
            <v>Size 13 3/8"</v>
          </cell>
          <cell r="C30">
            <v>4500</v>
          </cell>
        </row>
        <row r="31">
          <cell r="A31" t="str">
            <v>ST-6634</v>
          </cell>
          <cell r="B31" t="str">
            <v>Each 1,000 ft. or fraction between 5,000 ft. and 15,000 ft, add:</v>
          </cell>
          <cell r="C31">
            <v>70</v>
          </cell>
        </row>
        <row r="32">
          <cell r="A32" t="str">
            <v>ST-6635</v>
          </cell>
          <cell r="B32" t="str">
            <v>All sizes, below 15,000 ft. per 100 ft. or fraction: add</v>
          </cell>
          <cell r="C32">
            <v>70</v>
          </cell>
        </row>
        <row r="33">
          <cell r="A33" t="str">
            <v>ST-6636</v>
          </cell>
          <cell r="B33" t="str">
            <v>Additional time. Each additional consecutive 8-hour or fraction</v>
          </cell>
          <cell r="C33">
            <v>800</v>
          </cell>
        </row>
        <row r="34">
          <cell r="A34" t="str">
            <v>ST-6637</v>
          </cell>
          <cell r="B34" t="str">
            <v>Each reset on additional zone</v>
          </cell>
          <cell r="C34">
            <v>700</v>
          </cell>
        </row>
        <row r="35">
          <cell r="A35" t="str">
            <v>ST-6638</v>
          </cell>
          <cell r="B35" t="str">
            <v>Unsuccessful run</v>
          </cell>
          <cell r="C35">
            <v>1300</v>
          </cell>
        </row>
        <row r="36">
          <cell r="A36" t="str">
            <v>ST-6639</v>
          </cell>
          <cell r="B36" t="str">
            <v>Crossover subs, per sub, per job</v>
          </cell>
          <cell r="C36">
            <v>50</v>
          </cell>
        </row>
        <row r="39">
          <cell r="A39" t="str">
            <v>ST-6640</v>
          </cell>
          <cell r="B39" t="str">
            <v>Service jobs performed by MAKAMAN LIBYA CO. Personnel on equipment owned by customer.Apply :</v>
          </cell>
          <cell r="C39" t="str">
            <v>Regular service price schedule, plus (30%) Thirty percent</v>
          </cell>
        </row>
        <row r="41">
          <cell r="A41" t="str">
            <v>ST-6641</v>
          </cell>
          <cell r="B41" t="str">
            <v>When tools are run in H2S, CO2, or other such corrosive well gasses or liquids or when production involves excessive erosion by sand or other materials, Apply:</v>
          </cell>
          <cell r="C41" t="str">
            <v>Regular service price schedule, plus (20%) Twenty percent</v>
          </cell>
        </row>
        <row r="42">
          <cell r="A42" t="str">
            <v>ST-6642</v>
          </cell>
          <cell r="B42" t="str">
            <v>Stimulation or cementing through the tools when MAKAMAN LIBYA CO. does not provide stimulation fluids, chemicals, cement and service, Apply:</v>
          </cell>
          <cell r="C42" t="str">
            <v>Regular service price schedule, plus (25%) Twenty five percent</v>
          </cell>
        </row>
        <row r="43">
          <cell r="A43" t="str">
            <v>ST-6643</v>
          </cell>
          <cell r="B43" t="str">
            <v>DESERT/MARINE SURCHARGE add to all jnvoices)</v>
          </cell>
          <cell r="C43" t="str">
            <v> plus (20%) Twenty percent</v>
          </cell>
        </row>
      </sheetData>
      <sheetData sheetId="32">
        <row r="9">
          <cell r="A9" t="str">
            <v>ST-6601</v>
          </cell>
          <cell r="B9" t="str">
            <v>Pick-up with tools traveling to wells, per KM.</v>
          </cell>
          <cell r="C9">
            <v>3.6</v>
          </cell>
        </row>
        <row r="10">
          <cell r="A10" t="str">
            <v>ST-6602</v>
          </cell>
          <cell r="B10" t="str">
            <v>Tool operator, per day or fraction</v>
          </cell>
          <cell r="C10">
            <v>950</v>
          </cell>
        </row>
        <row r="11">
          <cell r="A11" t="str">
            <v>ST-6603</v>
          </cell>
          <cell r="B11" t="str">
            <v>Assistant Tool Operator, per day or fraction</v>
          </cell>
          <cell r="C11">
            <v>700</v>
          </cell>
        </row>
        <row r="12">
          <cell r="A12" t="str">
            <v>ST-6604</v>
          </cell>
          <cell r="B12" t="str">
            <v>Supervisor or Engineer, per day or fraction</v>
          </cell>
          <cell r="C12">
            <v>1050</v>
          </cell>
        </row>
        <row r="13">
          <cell r="A13" t="str">
            <v>ST-6605</v>
          </cell>
          <cell r="B13" t="str">
            <v>Helper, per day or fraction</v>
          </cell>
          <cell r="C13">
            <v>500</v>
          </cell>
        </row>
        <row r="14">
          <cell r="A14" t="str">
            <v>ST-6606</v>
          </cell>
          <cell r="B14" t="str">
            <v xml:space="preserve">STAND-BY: FIRST SIX HOURS after arriving on location </v>
          </cell>
          <cell r="C14" t="str">
            <v>No charge</v>
          </cell>
        </row>
        <row r="15">
          <cell r="B15" t="str">
            <v>After the First Six (06) Hours, STAND-BY, PER HOUR OR FRACTION until job started per tool, until PERSONNEL CHARGES will be in addition.</v>
          </cell>
          <cell r="C15">
            <v>90</v>
          </cell>
        </row>
        <row r="16">
          <cell r="A16" t="str">
            <v>ST-6607</v>
          </cell>
          <cell r="B16" t="str">
            <v>JOB CANCELLATION: When called to location and the job is not run, due to circumstances beyond our control. PERSONNEL CHARGES are in addition.</v>
          </cell>
        </row>
        <row r="19">
          <cell r="A19" t="str">
            <v>Price is determined by size and depth packer set. Time of job begins when tool starts in well are time end when recovered from well.</v>
          </cell>
        </row>
        <row r="21">
          <cell r="A21" t="str">
            <v>FIRST EIGHT (8) HOURS or Fraction</v>
          </cell>
        </row>
        <row r="22">
          <cell r="A22" t="str">
            <v>ST-6608</v>
          </cell>
          <cell r="B22" t="str">
            <v>Size thru 7"</v>
          </cell>
          <cell r="C22">
            <v>2200</v>
          </cell>
        </row>
        <row r="23">
          <cell r="A23" t="str">
            <v>ST-6609</v>
          </cell>
          <cell r="B23" t="str">
            <v>Each 1,000 ft. or fraction between 5,000 ft. and 15,000 ft., add:</v>
          </cell>
          <cell r="C23">
            <v>40</v>
          </cell>
        </row>
        <row r="24">
          <cell r="A24" t="str">
            <v>ST-6610</v>
          </cell>
          <cell r="B24" t="str">
            <v>Size thru 9 5/8".</v>
          </cell>
          <cell r="C24">
            <v>2900</v>
          </cell>
        </row>
        <row r="25">
          <cell r="A25" t="str">
            <v>ST-6611</v>
          </cell>
          <cell r="B25" t="str">
            <v>Each 1,000 ft. or fraction between 5,000 ft. and 15,000 ft., add:</v>
          </cell>
          <cell r="C25">
            <v>60</v>
          </cell>
        </row>
        <row r="26">
          <cell r="A26" t="str">
            <v>ST-6612</v>
          </cell>
          <cell r="B26" t="str">
            <v>Size 13 3/8".</v>
          </cell>
          <cell r="C26">
            <v>5000</v>
          </cell>
        </row>
        <row r="27">
          <cell r="A27" t="str">
            <v>ST-6613</v>
          </cell>
          <cell r="B27" t="str">
            <v>Each 1,000 ft. or fraction between 5,000 ft. and 15,000 ft., add:</v>
          </cell>
          <cell r="C27">
            <v>75</v>
          </cell>
        </row>
        <row r="28">
          <cell r="A28" t="str">
            <v>ST-6614</v>
          </cell>
          <cell r="B28" t="str">
            <v>All sizes, below 15,000 ft. per 100 ft. or fraction: add</v>
          </cell>
          <cell r="C28">
            <v>75</v>
          </cell>
        </row>
        <row r="29">
          <cell r="A29" t="str">
            <v>ST-6615</v>
          </cell>
          <cell r="B29" t="str">
            <v>ADDITIONAL ZONE. Each ADDITIONAL ZONE on same run in well, any depth: (This change applies when tool is moved to another zone for any purpose. It does not include "looking for casing leaks")</v>
          </cell>
          <cell r="C29">
            <v>800</v>
          </cell>
        </row>
        <row r="30">
          <cell r="A30" t="str">
            <v>ST-6616</v>
          </cell>
          <cell r="B30" t="str">
            <v>Unsuccessful run.</v>
          </cell>
          <cell r="C30">
            <v>1100</v>
          </cell>
        </row>
        <row r="31">
          <cell r="A31" t="str">
            <v>ST-6617</v>
          </cell>
          <cell r="B31" t="str">
            <v>Additional TIME. Each additional consecutive 8-hour or fraction.</v>
          </cell>
          <cell r="C31">
            <v>1100</v>
          </cell>
        </row>
        <row r="32">
          <cell r="A32" t="str">
            <v>ST-6618</v>
          </cell>
          <cell r="B32" t="str">
            <v>Each extra packer added to above tool, per run.</v>
          </cell>
          <cell r="C32">
            <v>900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HOO Price List"/>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sheetData sheetId="1"/>
      <sheetData sheetId="2">
        <row r="6">
          <cell r="A6" t="str">
            <v>KN-2017</v>
          </cell>
          <cell r="B6" t="str">
            <v>Service jobs performed by MAKAMAN LIBYA CO. Personal on equipment owned by customer. Apply</v>
          </cell>
          <cell r="C6" t="str">
            <v>Regular service price schedule, plus (30%)</v>
          </cell>
        </row>
        <row r="8">
          <cell r="A8" t="str">
            <v>KN-2018</v>
          </cell>
          <cell r="B8" t="str">
            <v>When tools are run in H2S, CO2, or other such corrosive well gasses or liquids or when production involves excessive erosion by sand or other materials, Apply</v>
          </cell>
          <cell r="C8" t="str">
            <v>Regular service price schedule, plus (20%)</v>
          </cell>
        </row>
        <row r="9">
          <cell r="A9" t="str">
            <v>KN-2019</v>
          </cell>
          <cell r="B9" t="str">
            <v>Stimulation or cementing through the tools when MAKAMAN LIBYA CO. does not provide stimulation fluids, chemicals, cement and service, Apply</v>
          </cell>
          <cell r="C9" t="str">
            <v>Regular service price schedule, plus (25%)</v>
          </cell>
        </row>
      </sheetData>
      <sheetData sheetId="3">
        <row r="6">
          <cell r="A6" t="str">
            <v>MKN 100-0174</v>
          </cell>
          <cell r="B6" t="str">
            <v>Spear Stop Subs</v>
          </cell>
          <cell r="D6">
            <v>70</v>
          </cell>
        </row>
        <row r="7">
          <cell r="A7" t="str">
            <v>MKN 100-0175</v>
          </cell>
          <cell r="B7" t="str">
            <v>2-7/8" Connection size</v>
          </cell>
          <cell r="D7">
            <v>120</v>
          </cell>
        </row>
        <row r="8">
          <cell r="A8" t="str">
            <v>MKN 100-0176</v>
          </cell>
          <cell r="B8" t="str">
            <v>4-1/2" Connection size</v>
          </cell>
          <cell r="D8">
            <v>300</v>
          </cell>
        </row>
        <row r="9">
          <cell r="A9" t="str">
            <v>MKN 100-0177</v>
          </cell>
          <cell r="B9" t="str">
            <v>6 5/8" Connection size</v>
          </cell>
          <cell r="D9">
            <v>320</v>
          </cell>
        </row>
        <row r="10">
          <cell r="A10" t="str">
            <v>MKN 100-0178</v>
          </cell>
          <cell r="B10" t="str">
            <v>7 5/8" Connection size</v>
          </cell>
          <cell r="D10">
            <v>480</v>
          </cell>
        </row>
        <row r="13">
          <cell r="A13" t="str">
            <v>MKN 100-0179</v>
          </cell>
          <cell r="B13" t="str">
            <v>Thru 7-3/8"OD</v>
          </cell>
          <cell r="D13">
            <v>70</v>
          </cell>
        </row>
        <row r="14">
          <cell r="A14" t="str">
            <v>MKN 100-0180</v>
          </cell>
          <cell r="B14" t="str">
            <v>Thru 13-3/8"OD</v>
          </cell>
          <cell r="D14">
            <v>80</v>
          </cell>
        </row>
        <row r="15">
          <cell r="A15" t="str">
            <v>MKN 100-0181</v>
          </cell>
          <cell r="B15" t="str">
            <v>Thru 18"OD</v>
          </cell>
          <cell r="D15">
            <v>75</v>
          </cell>
        </row>
        <row r="21">
          <cell r="A21" t="str">
            <v>MKN 100-0182</v>
          </cell>
          <cell r="B21" t="str">
            <v>Sucker Rod CONN.</v>
          </cell>
          <cell r="D21">
            <v>20</v>
          </cell>
          <cell r="E21">
            <v>7</v>
          </cell>
        </row>
        <row r="22">
          <cell r="A22" t="str">
            <v>MKN 100-0183</v>
          </cell>
          <cell r="B22" t="str">
            <v>2 7/8" CONN.</v>
          </cell>
          <cell r="D22">
            <v>35</v>
          </cell>
          <cell r="E22">
            <v>15</v>
          </cell>
        </row>
        <row r="23">
          <cell r="A23" t="str">
            <v>MKN 100-0184</v>
          </cell>
          <cell r="B23" t="str">
            <v>3 1/2" CONN.</v>
          </cell>
          <cell r="D23">
            <v>35</v>
          </cell>
          <cell r="E23">
            <v>15</v>
          </cell>
        </row>
        <row r="24">
          <cell r="A24" t="str">
            <v>MKN 100-0185</v>
          </cell>
          <cell r="B24" t="str">
            <v>4 1/2" CONN.</v>
          </cell>
          <cell r="D24">
            <v>40</v>
          </cell>
          <cell r="E24">
            <v>18</v>
          </cell>
        </row>
        <row r="25">
          <cell r="A25" t="str">
            <v>MKN 100-0186</v>
          </cell>
          <cell r="B25" t="str">
            <v>6 5/8" CONN.</v>
          </cell>
          <cell r="D25">
            <v>85</v>
          </cell>
          <cell r="E25">
            <v>20</v>
          </cell>
        </row>
        <row r="26">
          <cell r="A26" t="str">
            <v>MKN 100-0187</v>
          </cell>
          <cell r="B26" t="str">
            <v>7 5/8" CONN.</v>
          </cell>
          <cell r="D26">
            <v>85</v>
          </cell>
          <cell r="E26">
            <v>20</v>
          </cell>
        </row>
        <row r="30">
          <cell r="A30" t="str">
            <v>MKN 100-0188</v>
          </cell>
          <cell r="B30" t="str">
            <v>SUBS(RORARY AND BIT Sucker Rod CONN.</v>
          </cell>
          <cell r="D30">
            <v>55</v>
          </cell>
        </row>
        <row r="31">
          <cell r="A31" t="str">
            <v>MKN 100-0189</v>
          </cell>
          <cell r="B31" t="str">
            <v>2 7/8" CONN.</v>
          </cell>
          <cell r="D31">
            <v>70</v>
          </cell>
        </row>
        <row r="32">
          <cell r="A32" t="str">
            <v>MKN 100-0190</v>
          </cell>
          <cell r="B32" t="str">
            <v>3 1/2" CONN.</v>
          </cell>
          <cell r="D32">
            <v>70</v>
          </cell>
        </row>
        <row r="33">
          <cell r="A33" t="str">
            <v>MKN 101-0191</v>
          </cell>
          <cell r="B33" t="str">
            <v>4 1/2" CONN.</v>
          </cell>
          <cell r="D33">
            <v>85</v>
          </cell>
        </row>
        <row r="34">
          <cell r="A34" t="str">
            <v>MKN 100-0192</v>
          </cell>
          <cell r="B34" t="str">
            <v>6 5/8" CONN.</v>
          </cell>
          <cell r="D34">
            <v>85</v>
          </cell>
        </row>
        <row r="35">
          <cell r="A35" t="str">
            <v>MKN 101-0193</v>
          </cell>
          <cell r="B35" t="str">
            <v>7 5/8" CONN.</v>
          </cell>
          <cell r="D35">
            <v>130</v>
          </cell>
        </row>
        <row r="40">
          <cell r="A40" t="str">
            <v>MKN 100-0194</v>
          </cell>
          <cell r="B40" t="str">
            <v>All Sizes</v>
          </cell>
          <cell r="D40">
            <v>110</v>
          </cell>
        </row>
        <row r="42">
          <cell r="A42" t="str">
            <v>MKN 100-0195</v>
          </cell>
          <cell r="B42" t="str">
            <v>Thru 2 1/2" OD</v>
          </cell>
          <cell r="D42">
            <v>130</v>
          </cell>
        </row>
        <row r="43">
          <cell r="A43" t="str">
            <v>MKN 100-0196</v>
          </cell>
          <cell r="B43" t="str">
            <v>Thru 3 3/4" OD</v>
          </cell>
          <cell r="D43">
            <v>330</v>
          </cell>
        </row>
        <row r="44">
          <cell r="A44" t="str">
            <v>MKN 100-0197</v>
          </cell>
          <cell r="B44" t="str">
            <v>Thru 4 3/4" OD</v>
          </cell>
          <cell r="D44">
            <v>320</v>
          </cell>
        </row>
        <row r="45">
          <cell r="A45" t="str">
            <v>MKN 100-0198</v>
          </cell>
          <cell r="B45" t="str">
            <v>Thru 5 3/4" OD</v>
          </cell>
          <cell r="D45">
            <v>500</v>
          </cell>
        </row>
        <row r="46">
          <cell r="A46" t="str">
            <v>MKN 100-0199</v>
          </cell>
          <cell r="B46" t="str">
            <v>Thru 6 3/4" OD</v>
          </cell>
          <cell r="D46">
            <v>590</v>
          </cell>
        </row>
        <row r="47">
          <cell r="A47" t="str">
            <v>MKN 100-0200</v>
          </cell>
          <cell r="B47" t="str">
            <v>Thru 7 5/8" OD</v>
          </cell>
          <cell r="D47">
            <v>850</v>
          </cell>
        </row>
        <row r="48">
          <cell r="A48" t="str">
            <v>MKN 100-0201</v>
          </cell>
          <cell r="B48" t="str">
            <v>Thru 9 5/8" OD</v>
          </cell>
          <cell r="D48">
            <v>1010</v>
          </cell>
        </row>
        <row r="49">
          <cell r="A49" t="str">
            <v>MKN 100-0202</v>
          </cell>
          <cell r="B49" t="str">
            <v>Thru 10 3/4" OD</v>
          </cell>
          <cell r="D49">
            <v>1500</v>
          </cell>
        </row>
      </sheetData>
      <sheetData sheetId="4">
        <row r="9">
          <cell r="A9" t="str">
            <v>MKN 100-0135</v>
          </cell>
          <cell r="B9" t="str">
            <v>Thru 4-1/2"OD Casing</v>
          </cell>
          <cell r="D9">
            <v>950</v>
          </cell>
          <cell r="E9">
            <v>500</v>
          </cell>
        </row>
        <row r="10">
          <cell r="A10" t="str">
            <v>MKN 100-0136</v>
          </cell>
          <cell r="B10" t="str">
            <v>Thru 5-1/2"OD Casing</v>
          </cell>
          <cell r="D10">
            <v>1120</v>
          </cell>
          <cell r="E10">
            <v>530</v>
          </cell>
        </row>
        <row r="11">
          <cell r="A11" t="str">
            <v>MKN 100-0137</v>
          </cell>
          <cell r="B11" t="str">
            <v>Thru 7-5/8"OD Casing</v>
          </cell>
          <cell r="D11">
            <v>1200</v>
          </cell>
          <cell r="E11">
            <v>600</v>
          </cell>
        </row>
        <row r="12">
          <cell r="A12" t="str">
            <v>MKN 100-0138</v>
          </cell>
          <cell r="B12" t="str">
            <v>Thru 9-5/8"OD Casing</v>
          </cell>
          <cell r="D12">
            <v>1590</v>
          </cell>
          <cell r="E12">
            <v>815</v>
          </cell>
        </row>
        <row r="13">
          <cell r="A13" t="str">
            <v>MKN 100-0139</v>
          </cell>
          <cell r="B13" t="str">
            <v>Thru 10 3/4"OD Casing</v>
          </cell>
          <cell r="D13">
            <v>1690</v>
          </cell>
          <cell r="E13">
            <v>850</v>
          </cell>
        </row>
        <row r="14">
          <cell r="A14" t="str">
            <v>MKN 100-0140</v>
          </cell>
          <cell r="B14" t="str">
            <v>Thru 11 3/4"OD Casing</v>
          </cell>
          <cell r="D14">
            <v>1850</v>
          </cell>
          <cell r="E14">
            <v>900</v>
          </cell>
        </row>
        <row r="15">
          <cell r="A15" t="str">
            <v>MKN 100-0141</v>
          </cell>
          <cell r="B15" t="str">
            <v>Thru 13-3/8"OD Casing</v>
          </cell>
          <cell r="D15">
            <v>1850</v>
          </cell>
          <cell r="E15">
            <v>920</v>
          </cell>
        </row>
        <row r="21">
          <cell r="A21" t="str">
            <v>MKN 100-0142</v>
          </cell>
          <cell r="B21" t="str">
            <v>41/2" - 5" Casing</v>
          </cell>
          <cell r="D21">
            <v>2000</v>
          </cell>
          <cell r="E21">
            <v>300</v>
          </cell>
        </row>
        <row r="22">
          <cell r="A22" t="str">
            <v>MKN 100-0143</v>
          </cell>
          <cell r="B22" t="str">
            <v>7" Casing</v>
          </cell>
          <cell r="D22">
            <v>2500</v>
          </cell>
          <cell r="E22">
            <v>350</v>
          </cell>
        </row>
        <row r="23">
          <cell r="A23" t="str">
            <v>MKN 100-0144</v>
          </cell>
          <cell r="B23" t="str">
            <v>9 5/8" Casing</v>
          </cell>
          <cell r="D23">
            <v>3500</v>
          </cell>
          <cell r="E23">
            <v>450</v>
          </cell>
        </row>
        <row r="24">
          <cell r="A24" t="str">
            <v>MKN 100-0145</v>
          </cell>
          <cell r="B24" t="str">
            <v>13 3/8" Casing</v>
          </cell>
          <cell r="D24">
            <v>5000</v>
          </cell>
          <cell r="E24">
            <v>500</v>
          </cell>
        </row>
        <row r="28">
          <cell r="A28" t="str">
            <v>MKN 100-0146</v>
          </cell>
          <cell r="B28" t="str">
            <v>OR SUCKER ROD CONN.</v>
          </cell>
          <cell r="D28">
            <v>100</v>
          </cell>
        </row>
        <row r="29">
          <cell r="A29" t="str">
            <v>MKN 100-0147</v>
          </cell>
          <cell r="B29" t="str">
            <v>2 7/8" CONN.</v>
          </cell>
          <cell r="D29">
            <v>210</v>
          </cell>
        </row>
        <row r="30">
          <cell r="A30" t="str">
            <v>MKN 100-0148</v>
          </cell>
          <cell r="B30" t="str">
            <v>3 1/2" CONN.</v>
          </cell>
          <cell r="D30">
            <v>300</v>
          </cell>
        </row>
        <row r="31">
          <cell r="A31" t="str">
            <v>MKN 100-0149</v>
          </cell>
          <cell r="B31" t="str">
            <v>4 1/2" CONN.</v>
          </cell>
          <cell r="D31">
            <v>420</v>
          </cell>
        </row>
        <row r="32">
          <cell r="A32" t="str">
            <v>MKN 100-0150</v>
          </cell>
          <cell r="B32" t="str">
            <v>5 1/2" CONN.</v>
          </cell>
          <cell r="D32">
            <v>420</v>
          </cell>
        </row>
        <row r="33">
          <cell r="A33" t="str">
            <v>MKN 100-0151</v>
          </cell>
          <cell r="B33" t="str">
            <v>6 5/8" CONN.</v>
          </cell>
          <cell r="D33">
            <v>420</v>
          </cell>
        </row>
        <row r="34">
          <cell r="A34" t="str">
            <v>MKN 100-0152</v>
          </cell>
          <cell r="B34" t="str">
            <v>7 5/8" CONN.</v>
          </cell>
          <cell r="D34">
            <v>450</v>
          </cell>
        </row>
        <row r="35">
          <cell r="A35"/>
          <cell r="B35" t="str">
            <v>ROTARY RELEASING AND "J"-TYPE-FULL CIRCLE</v>
          </cell>
          <cell r="D35"/>
        </row>
        <row r="36">
          <cell r="A36" t="str">
            <v>MKN 100-0153</v>
          </cell>
          <cell r="B36" t="str">
            <v>2 7/8" O.D</v>
          </cell>
          <cell r="D36">
            <v>360</v>
          </cell>
        </row>
        <row r="37">
          <cell r="A37" t="str">
            <v>MKN 100-0154</v>
          </cell>
          <cell r="B37" t="str">
            <v>5" O.D</v>
          </cell>
          <cell r="D37">
            <v>500</v>
          </cell>
        </row>
        <row r="38">
          <cell r="A38" t="str">
            <v>MKN 100-0155</v>
          </cell>
          <cell r="B38" t="str">
            <v>6 5/8" O.D</v>
          </cell>
          <cell r="D38">
            <v>650</v>
          </cell>
        </row>
        <row r="39">
          <cell r="A39" t="str">
            <v>MKN 100-0156</v>
          </cell>
          <cell r="B39" t="str">
            <v>8 5/8" O.D</v>
          </cell>
          <cell r="D39">
            <v>870</v>
          </cell>
        </row>
        <row r="40">
          <cell r="A40" t="str">
            <v>MKN 100-0157</v>
          </cell>
          <cell r="B40" t="str">
            <v>13 3/8" O.D</v>
          </cell>
          <cell r="D40">
            <v>1300</v>
          </cell>
        </row>
        <row r="41">
          <cell r="A41" t="str">
            <v>MKN 100-0158</v>
          </cell>
          <cell r="B41" t="str">
            <v>16" O.D</v>
          </cell>
          <cell r="D41">
            <v>2100</v>
          </cell>
        </row>
        <row r="42">
          <cell r="A42" t="str">
            <v>MKN 100-0159</v>
          </cell>
          <cell r="B42" t="str">
            <v>20" O.D</v>
          </cell>
          <cell r="D42">
            <v>2600</v>
          </cell>
        </row>
        <row r="43">
          <cell r="A43" t="str">
            <v>MKN 100-0160</v>
          </cell>
          <cell r="B43" t="str">
            <v>36" O.D</v>
          </cell>
          <cell r="D43">
            <v>1580</v>
          </cell>
        </row>
        <row r="48">
          <cell r="A48" t="str">
            <v>MKN 100-0161</v>
          </cell>
          <cell r="B48" t="str">
            <v>2 7/8" CONN.</v>
          </cell>
          <cell r="D48">
            <v>75</v>
          </cell>
        </row>
        <row r="49">
          <cell r="A49" t="str">
            <v>MKN 100-0162</v>
          </cell>
          <cell r="B49" t="str">
            <v>3 1/2" CONN.</v>
          </cell>
          <cell r="D49">
            <v>75</v>
          </cell>
        </row>
        <row r="50">
          <cell r="A50" t="str">
            <v>MKN 100-0163</v>
          </cell>
          <cell r="B50" t="str">
            <v>4 1/2" CONN.</v>
          </cell>
          <cell r="D50">
            <v>95</v>
          </cell>
        </row>
        <row r="51">
          <cell r="A51" t="str">
            <v>MKN 100-0164</v>
          </cell>
          <cell r="B51" t="str">
            <v>6 5/8" CONN.</v>
          </cell>
          <cell r="D51">
            <v>95</v>
          </cell>
        </row>
        <row r="52">
          <cell r="A52"/>
          <cell r="B52" t="str">
            <v>SPEAR PACK-OFF ASSEMBLY</v>
          </cell>
          <cell r="D52"/>
        </row>
        <row r="53">
          <cell r="A53" t="str">
            <v>MKN 100-0165</v>
          </cell>
          <cell r="B53" t="str">
            <v>2 7/8" OD</v>
          </cell>
          <cell r="D53">
            <v>140</v>
          </cell>
        </row>
        <row r="54">
          <cell r="A54" t="str">
            <v>MKN 100-0166</v>
          </cell>
          <cell r="B54" t="str">
            <v>4 " OD</v>
          </cell>
          <cell r="D54">
            <v>230</v>
          </cell>
        </row>
        <row r="55">
          <cell r="A55" t="str">
            <v>MKN 100-0167</v>
          </cell>
          <cell r="B55" t="str">
            <v>5" OD</v>
          </cell>
          <cell r="D55">
            <v>340</v>
          </cell>
        </row>
        <row r="56">
          <cell r="A56" t="str">
            <v>MKN 100-0168</v>
          </cell>
          <cell r="B56" t="str">
            <v>7" OD</v>
          </cell>
          <cell r="D56">
            <v>340</v>
          </cell>
        </row>
        <row r="57">
          <cell r="A57" t="str">
            <v>MKN 100-0169</v>
          </cell>
          <cell r="B57" t="str">
            <v>9 5/8" OD</v>
          </cell>
          <cell r="D57">
            <v>400</v>
          </cell>
        </row>
        <row r="58">
          <cell r="A58" t="str">
            <v>MKN 100-0170</v>
          </cell>
          <cell r="B58" t="str">
            <v>13 3/8" OD</v>
          </cell>
          <cell r="D58">
            <v>720</v>
          </cell>
        </row>
        <row r="59">
          <cell r="A59" t="str">
            <v>MKN 100-0171</v>
          </cell>
          <cell r="B59" t="str">
            <v>16" OD</v>
          </cell>
          <cell r="D59">
            <v>900</v>
          </cell>
        </row>
        <row r="64">
          <cell r="A64" t="str">
            <v>MKN 100-0172</v>
          </cell>
          <cell r="B64" t="str">
            <v>4 1/2" CONN.</v>
          </cell>
          <cell r="D64">
            <v>75</v>
          </cell>
          <cell r="E64">
            <v>15</v>
          </cell>
        </row>
        <row r="65">
          <cell r="A65" t="str">
            <v>MKN 100-0173</v>
          </cell>
          <cell r="B65" t="str">
            <v>6 5/8" CONN.</v>
          </cell>
          <cell r="D65">
            <v>100</v>
          </cell>
          <cell r="E65">
            <v>25</v>
          </cell>
        </row>
      </sheetData>
      <sheetData sheetId="5">
        <row r="8">
          <cell r="A8" t="str">
            <v>MKN 100-096</v>
          </cell>
          <cell r="B8" t="str">
            <v>Thru 7"OD</v>
          </cell>
          <cell r="D8">
            <v>150</v>
          </cell>
          <cell r="E8">
            <v>70</v>
          </cell>
        </row>
        <row r="9">
          <cell r="A9" t="str">
            <v>MKN 100-097</v>
          </cell>
          <cell r="B9" t="str">
            <v>Thru 11"OD</v>
          </cell>
          <cell r="D9">
            <v>260</v>
          </cell>
          <cell r="E9">
            <v>120</v>
          </cell>
        </row>
        <row r="10">
          <cell r="A10" t="str">
            <v>MKN 100-098</v>
          </cell>
          <cell r="B10" t="str">
            <v>Thru 16-18"OD</v>
          </cell>
          <cell r="D10">
            <v>560</v>
          </cell>
          <cell r="E10">
            <v>230</v>
          </cell>
        </row>
        <row r="11">
          <cell r="A11" t="str">
            <v>MKN 100-099</v>
          </cell>
          <cell r="B11" t="str">
            <v>Thru 20"OD</v>
          </cell>
          <cell r="D11">
            <v>920</v>
          </cell>
          <cell r="E11">
            <v>410</v>
          </cell>
        </row>
        <row r="12">
          <cell r="A12" t="str">
            <v>MKN 100-0100</v>
          </cell>
          <cell r="B12" t="str">
            <v>Thru 24"OD</v>
          </cell>
          <cell r="D12">
            <v>920</v>
          </cell>
          <cell r="E12">
            <v>430</v>
          </cell>
        </row>
        <row r="13">
          <cell r="A13"/>
          <cell r="B13" t="str">
            <v>GUIDES - WALL HOOK</v>
          </cell>
          <cell r="D13"/>
          <cell r="E13"/>
        </row>
        <row r="14">
          <cell r="A14" t="str">
            <v>MKN 100-0101</v>
          </cell>
          <cell r="B14" t="str">
            <v>Thru 7-7/8"OD</v>
          </cell>
          <cell r="D14">
            <v>370</v>
          </cell>
          <cell r="E14">
            <v>160</v>
          </cell>
        </row>
        <row r="15">
          <cell r="A15" t="str">
            <v>MKN 100-0102</v>
          </cell>
          <cell r="B15" t="str">
            <v>Thru 20-3/4"OD</v>
          </cell>
          <cell r="D15">
            <v>1100</v>
          </cell>
          <cell r="E15">
            <v>550</v>
          </cell>
        </row>
        <row r="17">
          <cell r="A17" t="str">
            <v>MKN 100-0103</v>
          </cell>
          <cell r="B17" t="str">
            <v>4-1/2"OD</v>
          </cell>
          <cell r="D17">
            <v>7</v>
          </cell>
          <cell r="E17">
            <v>5</v>
          </cell>
        </row>
        <row r="18">
          <cell r="A18" t="str">
            <v>MKN 100-0104</v>
          </cell>
          <cell r="B18" t="str">
            <v>4-3/4"OD</v>
          </cell>
          <cell r="D18">
            <v>7</v>
          </cell>
          <cell r="E18">
            <v>5</v>
          </cell>
        </row>
        <row r="19">
          <cell r="A19" t="str">
            <v>MKN 100-0105</v>
          </cell>
          <cell r="B19" t="str">
            <v>5"OD</v>
          </cell>
          <cell r="D19">
            <v>7</v>
          </cell>
          <cell r="E19">
            <v>5</v>
          </cell>
        </row>
        <row r="20">
          <cell r="A20" t="str">
            <v>MKN 100-0106</v>
          </cell>
          <cell r="B20" t="str">
            <v>5-3/8"OD</v>
          </cell>
          <cell r="D20">
            <v>7</v>
          </cell>
          <cell r="E20">
            <v>5</v>
          </cell>
        </row>
        <row r="21">
          <cell r="A21" t="str">
            <v>MKN 100-0107</v>
          </cell>
          <cell r="B21" t="str">
            <v>5-3/4"OD</v>
          </cell>
          <cell r="D21">
            <v>10</v>
          </cell>
          <cell r="E21">
            <v>7</v>
          </cell>
        </row>
        <row r="22">
          <cell r="A22" t="str">
            <v>MKN 100-0108</v>
          </cell>
          <cell r="B22" t="str">
            <v>7-5/8"OD</v>
          </cell>
          <cell r="D22">
            <v>11</v>
          </cell>
          <cell r="E22">
            <v>7</v>
          </cell>
        </row>
        <row r="26">
          <cell r="A26" t="str">
            <v>MKN 100-0109</v>
          </cell>
          <cell r="B26" t="str">
            <v>Pipe - Washover - Extension</v>
          </cell>
          <cell r="D26">
            <v>260</v>
          </cell>
          <cell r="E26">
            <v>110</v>
          </cell>
        </row>
        <row r="27">
          <cell r="A27" t="str">
            <v>MKN 100-0110</v>
          </cell>
          <cell r="B27" t="str">
            <v>Pipe - Washover - Extension</v>
          </cell>
          <cell r="D27">
            <v>350</v>
          </cell>
          <cell r="E27">
            <v>145</v>
          </cell>
        </row>
        <row r="28">
          <cell r="A28" t="str">
            <v>MKN 100-0111</v>
          </cell>
          <cell r="B28" t="str">
            <v>Thru 10 3/4"OD</v>
          </cell>
          <cell r="D28">
            <v>500</v>
          </cell>
          <cell r="E28">
            <v>195</v>
          </cell>
        </row>
        <row r="29">
          <cell r="A29" t="str">
            <v>MKN 100-0112</v>
          </cell>
          <cell r="B29" t="str">
            <v>Thru 13 3/8"OD</v>
          </cell>
          <cell r="D29">
            <v>445</v>
          </cell>
          <cell r="E29">
            <v>300</v>
          </cell>
        </row>
        <row r="30">
          <cell r="A30" t="str">
            <v>MKN 100-0113</v>
          </cell>
          <cell r="B30" t="str">
            <v>Thru 16"OD</v>
          </cell>
          <cell r="D30">
            <v>1020</v>
          </cell>
          <cell r="E30">
            <v>470</v>
          </cell>
        </row>
        <row r="31">
          <cell r="A31" t="str">
            <v>MKN 100-0114</v>
          </cell>
          <cell r="B31" t="str">
            <v>Thru 20"OD</v>
          </cell>
          <cell r="D31">
            <v>1130</v>
          </cell>
          <cell r="E31">
            <v>480</v>
          </cell>
        </row>
        <row r="35">
          <cell r="A35" t="str">
            <v>MKN 100-0115</v>
          </cell>
          <cell r="B35" t="str">
            <v>Bull, Bull Nose</v>
          </cell>
          <cell r="D35">
            <v>40</v>
          </cell>
        </row>
        <row r="36">
          <cell r="A36" t="str">
            <v>MKN 100-0116</v>
          </cell>
          <cell r="B36" t="str">
            <v>Thru 3-1/2"joint size</v>
          </cell>
          <cell r="D36">
            <v>45</v>
          </cell>
        </row>
        <row r="37">
          <cell r="A37" t="str">
            <v>MKN 100-0117</v>
          </cell>
          <cell r="B37" t="str">
            <v>Thru 4-1/2" joint size</v>
          </cell>
          <cell r="D37">
            <v>45</v>
          </cell>
        </row>
        <row r="38">
          <cell r="A38" t="str">
            <v>MKN 100-0118</v>
          </cell>
          <cell r="B38" t="str">
            <v>Thru 5 1/2" joint size</v>
          </cell>
          <cell r="D38">
            <v>80</v>
          </cell>
        </row>
        <row r="40">
          <cell r="A40" t="str">
            <v>MKN 100-0119</v>
          </cell>
          <cell r="B40" t="str">
            <v>Thru 5-3/4" OD pipe</v>
          </cell>
          <cell r="D40">
            <v>17</v>
          </cell>
        </row>
        <row r="41">
          <cell r="A41" t="str">
            <v>MKN 100-0120</v>
          </cell>
          <cell r="B41" t="str">
            <v>Thru 10-3/4"OD pipe</v>
          </cell>
          <cell r="D41">
            <v>30</v>
          </cell>
        </row>
        <row r="42">
          <cell r="A42" t="str">
            <v>MKN 100-0121</v>
          </cell>
          <cell r="B42" t="str">
            <v>Thru 20"OD pipe</v>
          </cell>
          <cell r="D42">
            <v>45</v>
          </cell>
        </row>
        <row r="50">
          <cell r="A50" t="str">
            <v>MKN 100-0122</v>
          </cell>
          <cell r="B50" t="str">
            <v>Thru 15"OD</v>
          </cell>
          <cell r="D50">
            <v>280</v>
          </cell>
        </row>
        <row r="51">
          <cell r="A51" t="str">
            <v>MKN 100-0123</v>
          </cell>
          <cell r="B51" t="str">
            <v>Thru 24"OD</v>
          </cell>
          <cell r="D51">
            <v>320</v>
          </cell>
        </row>
        <row r="52">
          <cell r="A52" t="str">
            <v>MKN 100-0124</v>
          </cell>
          <cell r="B52" t="str">
            <v>Thru 30"OD</v>
          </cell>
          <cell r="D52">
            <v>670</v>
          </cell>
        </row>
        <row r="54">
          <cell r="A54" t="str">
            <v>MKN 100-0125</v>
          </cell>
          <cell r="B54" t="str">
            <v>Pneumatic Casing Saw - 4" to 12" OD</v>
          </cell>
          <cell r="D54">
            <v>650</v>
          </cell>
        </row>
        <row r="56">
          <cell r="A56" t="str">
            <v>MKN 100-0126</v>
          </cell>
          <cell r="B56" t="str">
            <v>Thru 5"OD</v>
          </cell>
          <cell r="D56">
            <v>495</v>
          </cell>
        </row>
        <row r="57">
          <cell r="A57" t="str">
            <v>MKN 100-0127</v>
          </cell>
          <cell r="B57" t="str">
            <v>Thru 7"OD</v>
          </cell>
          <cell r="D57">
            <v>580</v>
          </cell>
        </row>
        <row r="58">
          <cell r="A58" t="str">
            <v>MKN 100-0128</v>
          </cell>
          <cell r="B58" t="str">
            <v>Thru 9 5/8"OD</v>
          </cell>
          <cell r="D58">
            <v>780</v>
          </cell>
        </row>
        <row r="59">
          <cell r="A59" t="str">
            <v>MKN 100-0129</v>
          </cell>
          <cell r="B59" t="str">
            <v>Thru 10 3/4"OD</v>
          </cell>
          <cell r="D59">
            <v>1150</v>
          </cell>
        </row>
        <row r="60">
          <cell r="A60" t="str">
            <v>MKN 100-0130</v>
          </cell>
          <cell r="B60" t="str">
            <v>Thru 13 3/8"OD</v>
          </cell>
          <cell r="D60">
            <v>1450</v>
          </cell>
        </row>
        <row r="61">
          <cell r="A61" t="str">
            <v>MKN 100-0131</v>
          </cell>
          <cell r="B61" t="str">
            <v>Thru 16"OD</v>
          </cell>
          <cell r="D61">
            <v>1720</v>
          </cell>
        </row>
        <row r="62">
          <cell r="A62" t="str">
            <v>MKN 100-0132</v>
          </cell>
          <cell r="B62" t="str">
            <v>Thru 20"OD</v>
          </cell>
          <cell r="D62">
            <v>1950</v>
          </cell>
        </row>
        <row r="65">
          <cell r="A65" t="str">
            <v>MKN 100-0133</v>
          </cell>
          <cell r="B65" t="str">
            <v>Thru 7 1/2"OD</v>
          </cell>
          <cell r="D65">
            <v>210</v>
          </cell>
        </row>
        <row r="66">
          <cell r="A66" t="str">
            <v>MKN 100-0134</v>
          </cell>
          <cell r="B66" t="str">
            <v>Thru 12 3/4"OD</v>
          </cell>
          <cell r="D66">
            <v>280</v>
          </cell>
        </row>
      </sheetData>
      <sheetData sheetId="6">
        <row r="9">
          <cell r="A9" t="str">
            <v>MKN 100-064</v>
          </cell>
          <cell r="B9" t="str">
            <v>ALL Sizes</v>
          </cell>
          <cell r="D9"/>
        </row>
        <row r="10">
          <cell r="A10"/>
          <cell r="B10" t="str">
            <v>MILLS-DRESSED W/CRUSHED TUNGSTEN</v>
          </cell>
          <cell r="D10">
            <v>510</v>
          </cell>
        </row>
        <row r="11">
          <cell r="A11"/>
          <cell r="B11" t="str">
            <v>CEMENT, CONCAVE, FLAT BOTTOM, HOLLOW, ROUND NOSE, DIAMOND POINT OR FISH TAIL</v>
          </cell>
          <cell r="D11"/>
        </row>
        <row r="12">
          <cell r="A12" t="str">
            <v>MKN 100-065</v>
          </cell>
          <cell r="B12" t="str">
            <v>Thru 12"OD</v>
          </cell>
          <cell r="D12">
            <v>310</v>
          </cell>
        </row>
        <row r="13">
          <cell r="A13" t="str">
            <v>MKN 100-066</v>
          </cell>
          <cell r="B13" t="str">
            <v>Thru 15"OD</v>
          </cell>
          <cell r="D13">
            <v>350</v>
          </cell>
        </row>
        <row r="14">
          <cell r="A14" t="str">
            <v>MKN 100-067</v>
          </cell>
          <cell r="B14" t="str">
            <v>Thru 20"OD</v>
          </cell>
          <cell r="D14">
            <v>350</v>
          </cell>
        </row>
        <row r="15">
          <cell r="A15" t="str">
            <v>MKN 100-068</v>
          </cell>
          <cell r="B15" t="str">
            <v>Thru 24"OD</v>
          </cell>
          <cell r="D15">
            <v>510</v>
          </cell>
        </row>
        <row r="16">
          <cell r="A16" t="str">
            <v>MKN 100-069</v>
          </cell>
          <cell r="B16" t="str">
            <v>Thru 26"OD</v>
          </cell>
          <cell r="D16">
            <v>510</v>
          </cell>
        </row>
        <row r="17">
          <cell r="A17"/>
          <cell r="B17" t="str">
            <v>PACKER, PILOT, TAPERED, OR WATERMELON</v>
          </cell>
          <cell r="D17"/>
        </row>
        <row r="18">
          <cell r="A18" t="str">
            <v>MKN 100-070</v>
          </cell>
          <cell r="B18" t="str">
            <v>Thru 15"OD</v>
          </cell>
          <cell r="D18">
            <v>420</v>
          </cell>
        </row>
        <row r="19">
          <cell r="A19" t="str">
            <v>MKN 100-071</v>
          </cell>
          <cell r="B19" t="str">
            <v>Thru 20"OD</v>
          </cell>
          <cell r="D19">
            <v>460</v>
          </cell>
        </row>
        <row r="20">
          <cell r="A20" t="str">
            <v>MKN 100-072</v>
          </cell>
          <cell r="B20" t="str">
            <v>Thru 24"OD</v>
          </cell>
          <cell r="D20">
            <v>650</v>
          </cell>
        </row>
        <row r="21">
          <cell r="A21" t="str">
            <v>MKN 100-073</v>
          </cell>
          <cell r="B21" t="str">
            <v>Thru 26"OD</v>
          </cell>
          <cell r="D21">
            <v>670</v>
          </cell>
        </row>
        <row r="22">
          <cell r="A22" t="str">
            <v>MKN 100-074</v>
          </cell>
          <cell r="B22" t="str">
            <v>Thru 30"OD</v>
          </cell>
          <cell r="D22">
            <v>810</v>
          </cell>
        </row>
        <row r="29">
          <cell r="A29" t="str">
            <v>MKN 100-075</v>
          </cell>
          <cell r="B29" t="str">
            <v>Thru 4-1/8"OD</v>
          </cell>
          <cell r="D29">
            <v>425</v>
          </cell>
          <cell r="E29">
            <v>200</v>
          </cell>
          <cell r="F29">
            <v>60</v>
          </cell>
        </row>
        <row r="30">
          <cell r="A30" t="str">
            <v>MKN 100-076</v>
          </cell>
          <cell r="B30" t="str">
            <v>Thru 5-3/8"OD</v>
          </cell>
          <cell r="D30">
            <v>570</v>
          </cell>
          <cell r="E30">
            <v>220</v>
          </cell>
          <cell r="F30">
            <v>70</v>
          </cell>
        </row>
        <row r="31">
          <cell r="A31" t="str">
            <v>MKN 100-077</v>
          </cell>
          <cell r="B31" t="str">
            <v>Thru 8-7/8"OD</v>
          </cell>
          <cell r="D31">
            <v>800</v>
          </cell>
          <cell r="E31">
            <v>330</v>
          </cell>
          <cell r="F31">
            <v>80</v>
          </cell>
        </row>
        <row r="32">
          <cell r="A32" t="str">
            <v>MKN 100-078</v>
          </cell>
          <cell r="B32" t="str">
            <v>Thru 11-3/4"OD</v>
          </cell>
          <cell r="D32">
            <v>1150</v>
          </cell>
          <cell r="E32">
            <v>585</v>
          </cell>
          <cell r="F32">
            <v>110</v>
          </cell>
        </row>
        <row r="39">
          <cell r="A39" t="str">
            <v>MKN 100-079</v>
          </cell>
          <cell r="B39" t="str">
            <v>Thru 4 3/4"OD</v>
          </cell>
          <cell r="D39">
            <v>800</v>
          </cell>
          <cell r="E39">
            <v>467.5</v>
          </cell>
          <cell r="F39">
            <v>60</v>
          </cell>
        </row>
        <row r="40">
          <cell r="A40" t="str">
            <v>MKN 100-080</v>
          </cell>
          <cell r="B40" t="str">
            <v>Thru 6 1/4"OD</v>
          </cell>
          <cell r="D40">
            <v>890</v>
          </cell>
          <cell r="E40">
            <v>476</v>
          </cell>
          <cell r="F40">
            <v>70</v>
          </cell>
        </row>
        <row r="41">
          <cell r="A41" t="str">
            <v>MKN 100-081</v>
          </cell>
          <cell r="B41" t="str">
            <v>Thru 9 5/8"OD</v>
          </cell>
          <cell r="D41">
            <v>1100</v>
          </cell>
          <cell r="E41">
            <v>650</v>
          </cell>
          <cell r="F41">
            <v>80</v>
          </cell>
        </row>
        <row r="42">
          <cell r="A42" t="str">
            <v>MKN 100-082</v>
          </cell>
          <cell r="B42" t="str">
            <v>Thru 12 3/4"OD</v>
          </cell>
          <cell r="D42">
            <v>1570</v>
          </cell>
          <cell r="E42">
            <v>700</v>
          </cell>
          <cell r="F42">
            <v>110</v>
          </cell>
        </row>
        <row r="49">
          <cell r="A49" t="str">
            <v>MKN 100-083</v>
          </cell>
          <cell r="B49" t="str">
            <v>Thru 4-3/8"OD</v>
          </cell>
          <cell r="D49">
            <v>210</v>
          </cell>
        </row>
        <row r="50">
          <cell r="A50" t="str">
            <v>MKN 100-084</v>
          </cell>
          <cell r="B50" t="str">
            <v>Thru 5-3/4"OD</v>
          </cell>
          <cell r="D50">
            <v>210</v>
          </cell>
        </row>
        <row r="51">
          <cell r="A51" t="str">
            <v>MKN 100-085</v>
          </cell>
          <cell r="B51" t="str">
            <v>Thru 8"OD</v>
          </cell>
          <cell r="D51">
            <v>280</v>
          </cell>
        </row>
        <row r="52">
          <cell r="A52" t="str">
            <v>MKN 100-086</v>
          </cell>
          <cell r="B52" t="str">
            <v>Thru 12"OD</v>
          </cell>
          <cell r="D52">
            <v>280</v>
          </cell>
        </row>
        <row r="53">
          <cell r="A53" t="str">
            <v>MKN 100-087</v>
          </cell>
          <cell r="B53" t="str">
            <v>Thru 15"OD</v>
          </cell>
          <cell r="D53">
            <v>360</v>
          </cell>
        </row>
        <row r="54">
          <cell r="A54" t="str">
            <v>MKN 100-088</v>
          </cell>
          <cell r="B54" t="str">
            <v>Thru 20"OD</v>
          </cell>
          <cell r="D54">
            <v>360</v>
          </cell>
        </row>
        <row r="55">
          <cell r="A55" t="str">
            <v>MKN 100-089</v>
          </cell>
          <cell r="B55" t="str">
            <v>Thru 24"OD</v>
          </cell>
          <cell r="D55">
            <v>475</v>
          </cell>
        </row>
        <row r="56">
          <cell r="A56" t="str">
            <v>MKN 100-090</v>
          </cell>
          <cell r="B56" t="str">
            <v>Thru 26"OD</v>
          </cell>
          <cell r="D56">
            <v>475</v>
          </cell>
        </row>
        <row r="62">
          <cell r="A62" t="str">
            <v>MKN 100-091</v>
          </cell>
          <cell r="B62" t="str">
            <v>Thru 4-1/8"OD</v>
          </cell>
          <cell r="D62">
            <v>190</v>
          </cell>
          <cell r="E62">
            <v>100</v>
          </cell>
        </row>
        <row r="63">
          <cell r="A63" t="str">
            <v>MKN 100-092</v>
          </cell>
          <cell r="B63" t="str">
            <v>Thru 5-3/4"OD</v>
          </cell>
          <cell r="D63">
            <v>275</v>
          </cell>
          <cell r="E63">
            <v>110</v>
          </cell>
        </row>
        <row r="64">
          <cell r="A64" t="str">
            <v>MKN 100-093</v>
          </cell>
          <cell r="B64" t="str">
            <v>Thru 8"OD</v>
          </cell>
          <cell r="D64">
            <v>275</v>
          </cell>
          <cell r="E64">
            <v>110</v>
          </cell>
        </row>
        <row r="65">
          <cell r="A65" t="str">
            <v>MKN 100-094</v>
          </cell>
          <cell r="B65" t="str">
            <v>Thru 10-3/4"OD</v>
          </cell>
          <cell r="D65">
            <v>490</v>
          </cell>
          <cell r="E65">
            <v>180</v>
          </cell>
        </row>
        <row r="66">
          <cell r="A66" t="str">
            <v>MKN 100-095</v>
          </cell>
          <cell r="B66" t="str">
            <v>Thru 13 3/4"OD</v>
          </cell>
          <cell r="D66">
            <v>650</v>
          </cell>
          <cell r="E66">
            <v>230</v>
          </cell>
        </row>
      </sheetData>
      <sheetData sheetId="7">
        <row r="11">
          <cell r="A11" t="str">
            <v>MKN 100-032</v>
          </cell>
          <cell r="B11" t="str">
            <v>Casing Thru 6-5/8" OD</v>
          </cell>
          <cell r="D11">
            <v>1050</v>
          </cell>
        </row>
        <row r="12">
          <cell r="A12" t="str">
            <v>MKN 100-033</v>
          </cell>
          <cell r="B12" t="str">
            <v>Casing Thru 8-5/8" OD</v>
          </cell>
          <cell r="D12">
            <v>1400</v>
          </cell>
        </row>
        <row r="13">
          <cell r="A13"/>
          <cell r="B13" t="str">
            <v>CUTTER-OUTSIDE-CASING DRILL OR TUBING</v>
          </cell>
          <cell r="D13"/>
        </row>
        <row r="14">
          <cell r="A14" t="str">
            <v>MKN 100-034</v>
          </cell>
          <cell r="B14" t="str">
            <v>Hydraulic or washover cutter (Any size)</v>
          </cell>
          <cell r="D14">
            <v>1850</v>
          </cell>
        </row>
        <row r="15">
          <cell r="A15" t="str">
            <v>MKN 100-035</v>
          </cell>
          <cell r="B15" t="str">
            <v>Mechanical cutter (Any size)</v>
          </cell>
          <cell r="D15">
            <v>2250</v>
          </cell>
        </row>
        <row r="18">
          <cell r="A18" t="str">
            <v>MKN-100-36</v>
          </cell>
          <cell r="B18" t="str">
            <v>Butter-inside Casing-Hydraulic Pressure cutter</v>
          </cell>
          <cell r="D18">
            <v>1800</v>
          </cell>
        </row>
        <row r="19">
          <cell r="A19" t="str">
            <v>MKN-100-37</v>
          </cell>
          <cell r="B19" t="str">
            <v>Thru 9-5/8"OD OR Smaller</v>
          </cell>
          <cell r="D19">
            <v>2000</v>
          </cell>
        </row>
        <row r="20">
          <cell r="A20" t="str">
            <v>MKN-100-38</v>
          </cell>
          <cell r="B20" t="str">
            <v>Thru 10-3/4"OD</v>
          </cell>
          <cell r="D20">
            <v>2500</v>
          </cell>
        </row>
        <row r="21">
          <cell r="A21" t="str">
            <v>MKN-100-39</v>
          </cell>
          <cell r="B21" t="str">
            <v>Thru 13-3/8"OD</v>
          </cell>
          <cell r="D21">
            <v>2750</v>
          </cell>
        </row>
        <row r="22">
          <cell r="A22" t="str">
            <v>MKN-100-40</v>
          </cell>
          <cell r="B22" t="str">
            <v>Thru 18"OD</v>
          </cell>
          <cell r="D22">
            <v>2600</v>
          </cell>
        </row>
        <row r="23">
          <cell r="A23" t="str">
            <v>MKN-100-41</v>
          </cell>
          <cell r="B23" t="str">
            <v>Thru 26"OD</v>
          </cell>
          <cell r="D23">
            <v>3700</v>
          </cell>
        </row>
        <row r="24">
          <cell r="A24" t="str">
            <v>MKN-100-42</v>
          </cell>
          <cell r="B24" t="str">
            <v>Thru 30"OD</v>
          </cell>
          <cell r="D24">
            <v>3700</v>
          </cell>
        </row>
        <row r="25">
          <cell r="A25" t="str">
            <v>MKN 100-43</v>
          </cell>
          <cell r="B25" t="str">
            <v>Thru 42"OD</v>
          </cell>
          <cell r="D25">
            <v>5500</v>
          </cell>
        </row>
        <row r="32">
          <cell r="A32" t="str">
            <v>MKN 100-045</v>
          </cell>
          <cell r="B32" t="str">
            <v>Thru 6-1/2" OD</v>
          </cell>
          <cell r="D32">
            <v>1150</v>
          </cell>
          <cell r="E32">
            <v>600</v>
          </cell>
          <cell r="F32">
            <v>120</v>
          </cell>
        </row>
        <row r="33">
          <cell r="A33" t="str">
            <v>MKN 100-046</v>
          </cell>
          <cell r="B33" t="str">
            <v>Thru 8" OD</v>
          </cell>
          <cell r="D33">
            <v>1350</v>
          </cell>
          <cell r="E33">
            <v>600</v>
          </cell>
          <cell r="F33">
            <v>120</v>
          </cell>
        </row>
        <row r="35">
          <cell r="A35" t="str">
            <v>MKN 100-047</v>
          </cell>
          <cell r="B35" t="str">
            <v>Thru 4-1/4"OD (Jars - Bumper sub)</v>
          </cell>
          <cell r="D35">
            <v>400</v>
          </cell>
          <cell r="E35">
            <v>240</v>
          </cell>
          <cell r="F35">
            <v>95</v>
          </cell>
        </row>
        <row r="36">
          <cell r="A36" t="str">
            <v>MKN 100-048</v>
          </cell>
          <cell r="B36" t="str">
            <v>Thru 6-1/4"OD (Jars - Bumper sub)</v>
          </cell>
          <cell r="D36">
            <v>680</v>
          </cell>
          <cell r="E36">
            <v>330</v>
          </cell>
          <cell r="F36">
            <v>100</v>
          </cell>
        </row>
        <row r="50">
          <cell r="A50" t="str">
            <v>MKN 100-049</v>
          </cell>
          <cell r="B50" t="str">
            <v>3-1/2" conn.</v>
          </cell>
          <cell r="D50">
            <v>200</v>
          </cell>
          <cell r="E50">
            <v>90</v>
          </cell>
        </row>
        <row r="51">
          <cell r="A51" t="str">
            <v>MKN 100-050</v>
          </cell>
          <cell r="B51" t="str">
            <v xml:space="preserve">6-5/8" conn. And smaller </v>
          </cell>
          <cell r="D51">
            <v>280</v>
          </cell>
          <cell r="E51">
            <v>130</v>
          </cell>
        </row>
        <row r="53">
          <cell r="A53" t="str">
            <v>MKN 100-051</v>
          </cell>
          <cell r="B53" t="str">
            <v xml:space="preserve">6-5/8" conn. And smaller </v>
          </cell>
          <cell r="D53">
            <v>690</v>
          </cell>
          <cell r="E53">
            <v>300</v>
          </cell>
        </row>
        <row r="55">
          <cell r="A55" t="str">
            <v>MFT 100-052</v>
          </cell>
          <cell r="B55" t="str">
            <v>All sizes</v>
          </cell>
          <cell r="D55">
            <v>500</v>
          </cell>
          <cell r="E55">
            <v>50</v>
          </cell>
        </row>
        <row r="57">
          <cell r="A57" t="str">
            <v>MKN 100-053</v>
          </cell>
          <cell r="B57" t="str">
            <v xml:space="preserve"> Thru 2-1/2" OD</v>
          </cell>
          <cell r="D57">
            <v>330</v>
          </cell>
          <cell r="E57">
            <v>220</v>
          </cell>
        </row>
        <row r="58">
          <cell r="A58" t="str">
            <v>MKN 100-054</v>
          </cell>
          <cell r="B58" t="str">
            <v xml:space="preserve"> Thru 4-1/2" OD</v>
          </cell>
          <cell r="D58">
            <v>520</v>
          </cell>
          <cell r="E58">
            <v>370</v>
          </cell>
        </row>
        <row r="59">
          <cell r="A59" t="str">
            <v>MKN 100-055</v>
          </cell>
          <cell r="B59" t="str">
            <v xml:space="preserve"> Thru 6-1/2" OD</v>
          </cell>
          <cell r="D59">
            <v>840</v>
          </cell>
          <cell r="E59">
            <v>520</v>
          </cell>
        </row>
        <row r="60">
          <cell r="A60" t="str">
            <v>MKN 100-056</v>
          </cell>
          <cell r="B60" t="str">
            <v xml:space="preserve"> Thru 8-1/2" OD</v>
          </cell>
          <cell r="D60">
            <v>990</v>
          </cell>
          <cell r="E60">
            <v>670</v>
          </cell>
        </row>
        <row r="61">
          <cell r="A61" t="str">
            <v>MKN 100-057</v>
          </cell>
          <cell r="B61" t="str">
            <v>Thru 11-1/2" OD</v>
          </cell>
          <cell r="D61">
            <v>1380</v>
          </cell>
          <cell r="E61">
            <v>900</v>
          </cell>
        </row>
        <row r="66">
          <cell r="A66" t="str">
            <v>MKN 100-058</v>
          </cell>
          <cell r="B66" t="str">
            <v>Thru 4 1/4"OD</v>
          </cell>
          <cell r="D66">
            <v>2500</v>
          </cell>
          <cell r="E66">
            <v>150</v>
          </cell>
        </row>
        <row r="67">
          <cell r="A67" t="str">
            <v>MKN 100-059</v>
          </cell>
          <cell r="B67" t="str">
            <v>Thru 6 1/8"OD</v>
          </cell>
          <cell r="D67">
            <v>3500</v>
          </cell>
          <cell r="E67">
            <v>180</v>
          </cell>
        </row>
        <row r="68">
          <cell r="A68" t="str">
            <v>MKN 100-060</v>
          </cell>
          <cell r="B68" t="str">
            <v>Thru 7 3/8"OD</v>
          </cell>
          <cell r="D68">
            <v>4200</v>
          </cell>
          <cell r="E68">
            <v>200</v>
          </cell>
        </row>
        <row r="69">
          <cell r="A69" t="str">
            <v>MKN 100-061</v>
          </cell>
          <cell r="B69" t="str">
            <v>Thru 8 3/8"OD</v>
          </cell>
          <cell r="D69">
            <v>6400</v>
          </cell>
          <cell r="E69">
            <v>240</v>
          </cell>
        </row>
        <row r="70">
          <cell r="A70" t="str">
            <v>MKN 100-062</v>
          </cell>
          <cell r="B70" t="str">
            <v>Thru 10 5/8"OD</v>
          </cell>
          <cell r="D70">
            <v>8300</v>
          </cell>
          <cell r="E70">
            <v>300</v>
          </cell>
        </row>
        <row r="71">
          <cell r="A71" t="str">
            <v>MKN 100-063</v>
          </cell>
          <cell r="B71" t="str">
            <v>Thru 17 1/2"OD</v>
          </cell>
          <cell r="D71">
            <v>9500</v>
          </cell>
          <cell r="E71">
            <v>350</v>
          </cell>
        </row>
      </sheetData>
      <sheetData sheetId="8">
        <row r="10">
          <cell r="A10" t="str">
            <v>MKN 100-0205</v>
          </cell>
          <cell r="B10" t="str">
            <v>Fishing Tool Supervisor</v>
          </cell>
          <cell r="C10" t="str">
            <v>$/day</v>
          </cell>
          <cell r="D10">
            <v>1050</v>
          </cell>
        </row>
        <row r="11">
          <cell r="A11" t="str">
            <v>MKN 100-0210</v>
          </cell>
          <cell r="B11" t="str">
            <v>Tools pick up</v>
          </cell>
          <cell r="C11" t="str">
            <v>$/day</v>
          </cell>
          <cell r="D11">
            <v>3.9</v>
          </cell>
        </row>
        <row r="12">
          <cell r="A12" t="str">
            <v>MKN 100-0215</v>
          </cell>
          <cell r="B12" t="str">
            <v>Truck</v>
          </cell>
          <cell r="C12" t="str">
            <v>S/1 km</v>
          </cell>
          <cell r="D12">
            <v>4.5</v>
          </cell>
        </row>
        <row r="17">
          <cell r="A17" t="str">
            <v>MKN 100-001</v>
          </cell>
          <cell r="B17" t="str">
            <v>Thru 3-3/4"OD</v>
          </cell>
          <cell r="D17">
            <v>270</v>
          </cell>
          <cell r="E17">
            <v>25</v>
          </cell>
        </row>
        <row r="18">
          <cell r="A18" t="str">
            <v>MKN 100-002</v>
          </cell>
          <cell r="B18" t="str">
            <v>Thru 4-1/4"OD</v>
          </cell>
          <cell r="D18">
            <v>280</v>
          </cell>
          <cell r="E18">
            <v>25</v>
          </cell>
        </row>
        <row r="19">
          <cell r="A19" t="str">
            <v>MKN 100-003</v>
          </cell>
          <cell r="B19" t="str">
            <v>Thru 4-3/4" OD</v>
          </cell>
          <cell r="D19">
            <v>360</v>
          </cell>
          <cell r="E19">
            <v>35</v>
          </cell>
        </row>
        <row r="20">
          <cell r="A20" t="str">
            <v>MKN 100-004</v>
          </cell>
          <cell r="B20" t="str">
            <v>Thru 5-3/4" OD</v>
          </cell>
          <cell r="D20">
            <v>400</v>
          </cell>
          <cell r="E20">
            <v>40</v>
          </cell>
        </row>
        <row r="21">
          <cell r="A21" t="str">
            <v>MKN 100-005</v>
          </cell>
          <cell r="B21" t="str">
            <v>Thru 6-1/8"OD</v>
          </cell>
          <cell r="D21">
            <v>420</v>
          </cell>
          <cell r="E21">
            <v>40</v>
          </cell>
        </row>
        <row r="22">
          <cell r="A22" t="str">
            <v>MKN 100-006</v>
          </cell>
          <cell r="B22" t="str">
            <v>Thru 6-3/4"OD</v>
          </cell>
          <cell r="D22">
            <v>470</v>
          </cell>
          <cell r="E22">
            <v>45</v>
          </cell>
        </row>
        <row r="23">
          <cell r="A23" t="str">
            <v>MKN 100-007</v>
          </cell>
          <cell r="B23" t="str">
            <v>Thru 7-3/4"OD</v>
          </cell>
          <cell r="D23">
            <v>490</v>
          </cell>
          <cell r="E23">
            <v>50</v>
          </cell>
        </row>
        <row r="24">
          <cell r="A24" t="str">
            <v>MKN 100-008</v>
          </cell>
          <cell r="B24" t="str">
            <v>Thru 9-3/4"OD</v>
          </cell>
          <cell r="D24">
            <v>552.5</v>
          </cell>
          <cell r="E24">
            <v>65</v>
          </cell>
        </row>
        <row r="25">
          <cell r="A25" t="str">
            <v>MKN 100-009</v>
          </cell>
          <cell r="B25" t="str">
            <v>Thru 10-3/4"OD</v>
          </cell>
          <cell r="D25">
            <v>800</v>
          </cell>
          <cell r="E25">
            <v>85</v>
          </cell>
        </row>
        <row r="26">
          <cell r="A26" t="str">
            <v>MKN 100-011</v>
          </cell>
          <cell r="B26" t="str">
            <v>Thru 12-1/4"OD</v>
          </cell>
          <cell r="D26">
            <v>1050</v>
          </cell>
          <cell r="E26">
            <v>100</v>
          </cell>
        </row>
        <row r="30">
          <cell r="A30" t="str">
            <v>MKN 100-012</v>
          </cell>
          <cell r="B30" t="str">
            <v>Thru 8-3/4"OD</v>
          </cell>
          <cell r="D30">
            <v>280</v>
          </cell>
        </row>
        <row r="31">
          <cell r="A31" t="str">
            <v>MKN 100-013</v>
          </cell>
          <cell r="B31" t="str">
            <v>Thru 17-1/2"OD</v>
          </cell>
          <cell r="D31">
            <v>300</v>
          </cell>
        </row>
        <row r="32">
          <cell r="A32"/>
          <cell r="B32" t="str">
            <v>BASKETS - JUNK (POOR BAY, DRAG TOOTH, OR</v>
          </cell>
          <cell r="D32">
            <v>510</v>
          </cell>
        </row>
        <row r="33">
          <cell r="A33" t="str">
            <v>MKN 100-014</v>
          </cell>
          <cell r="B33" t="str">
            <v>Thru 7" OD</v>
          </cell>
          <cell r="D33">
            <v>520</v>
          </cell>
        </row>
        <row r="34">
          <cell r="A34" t="str">
            <v>MKN 100-015</v>
          </cell>
          <cell r="B34" t="str">
            <v>Thru 10-3/4"OD</v>
          </cell>
          <cell r="D34">
            <v>530</v>
          </cell>
        </row>
        <row r="35">
          <cell r="A35" t="str">
            <v>MKN 100-016</v>
          </cell>
          <cell r="B35" t="str">
            <v>Thru 13-3/8"OD</v>
          </cell>
          <cell r="D35">
            <v>1030</v>
          </cell>
        </row>
        <row r="39">
          <cell r="A39" t="str">
            <v>MKN 100-017</v>
          </cell>
          <cell r="B39" t="str">
            <v>8" OD &amp; Smaller (minimum 10 hrs)</v>
          </cell>
          <cell r="C39" t="str">
            <v>per hour</v>
          </cell>
          <cell r="D39">
            <v>85</v>
          </cell>
        </row>
        <row r="40">
          <cell r="A40" t="str">
            <v>MKN 100-018</v>
          </cell>
          <cell r="B40" t="str">
            <v>Over 8" (minimum 10 hrs)</v>
          </cell>
          <cell r="C40" t="str">
            <v>per hour</v>
          </cell>
          <cell r="D40">
            <v>100</v>
          </cell>
        </row>
        <row r="42">
          <cell r="A42" t="str">
            <v>MKN 100-019</v>
          </cell>
          <cell r="B42" t="str">
            <v>ALL Sizes</v>
          </cell>
          <cell r="C42" t="str">
            <v>Per Job</v>
          </cell>
          <cell r="D42">
            <v>95</v>
          </cell>
        </row>
        <row r="47">
          <cell r="A47" t="str">
            <v>MKN100-020</v>
          </cell>
          <cell r="B47" t="str">
            <v>Thru 4 1/2" Wasphole Pin</v>
          </cell>
          <cell r="D47">
            <v>300</v>
          </cell>
          <cell r="E47">
            <v>165</v>
          </cell>
        </row>
        <row r="48">
          <cell r="A48" t="str">
            <v>MKN100-021</v>
          </cell>
          <cell r="B48" t="str">
            <v>Thru 5 3/4" Wasphole Pin</v>
          </cell>
          <cell r="D48">
            <v>360</v>
          </cell>
          <cell r="E48">
            <v>185</v>
          </cell>
        </row>
        <row r="49">
          <cell r="A49" t="str">
            <v>MKN100-022</v>
          </cell>
          <cell r="B49" t="str">
            <v>Thru 8 3/8" Wasphole Pin</v>
          </cell>
          <cell r="D49">
            <v>391</v>
          </cell>
          <cell r="E49">
            <v>250</v>
          </cell>
        </row>
        <row r="50">
          <cell r="A50" t="str">
            <v>MKN100-023</v>
          </cell>
          <cell r="B50" t="str">
            <v>Thru 10 3/4" Wasphole Pin</v>
          </cell>
          <cell r="D50">
            <v>490</v>
          </cell>
          <cell r="E50">
            <v>265</v>
          </cell>
        </row>
        <row r="51">
          <cell r="A51" t="str">
            <v>MKN100-024</v>
          </cell>
          <cell r="B51" t="str">
            <v>Thru 13 3/8" Wasphole Pin</v>
          </cell>
          <cell r="D51">
            <v>680</v>
          </cell>
          <cell r="E51">
            <v>370</v>
          </cell>
        </row>
        <row r="52">
          <cell r="A52" t="str">
            <v>MKN100-025</v>
          </cell>
          <cell r="B52" t="str">
            <v>Thru 16 1/2" Wasphole Pin</v>
          </cell>
          <cell r="D52">
            <v>760</v>
          </cell>
          <cell r="E52">
            <v>440</v>
          </cell>
        </row>
        <row r="53">
          <cell r="A53" t="str">
            <v>MKN100-026</v>
          </cell>
          <cell r="B53" t="str">
            <v>Thru 20" Wasphole Pin</v>
          </cell>
          <cell r="D53">
            <v>850</v>
          </cell>
          <cell r="E53">
            <v>475</v>
          </cell>
        </row>
        <row r="58">
          <cell r="A58" t="str">
            <v>MKN100-027</v>
          </cell>
          <cell r="B58" t="str">
            <v>7 5/8" OD &amp; Smaller</v>
          </cell>
          <cell r="D58">
            <v>165</v>
          </cell>
        </row>
        <row r="59">
          <cell r="A59" t="str">
            <v>MKN100-028</v>
          </cell>
          <cell r="B59" t="str">
            <v>9 5/8" OD &amp; Smaller</v>
          </cell>
          <cell r="D59">
            <v>260</v>
          </cell>
        </row>
        <row r="60">
          <cell r="A60" t="str">
            <v>MKN100-029</v>
          </cell>
          <cell r="B60" t="str">
            <v>11 3/4" OD &amp; Smaller</v>
          </cell>
          <cell r="D60">
            <v>300</v>
          </cell>
        </row>
        <row r="66">
          <cell r="A66" t="str">
            <v>MKN 100-030</v>
          </cell>
          <cell r="B66" t="str">
            <v>Thru 10 segments</v>
          </cell>
          <cell r="D66">
            <v>150</v>
          </cell>
          <cell r="E66">
            <v>15</v>
          </cell>
        </row>
        <row r="67">
          <cell r="A67" t="str">
            <v>MKN 100-031</v>
          </cell>
          <cell r="B67" t="str">
            <v>Larger than 10 segments</v>
          </cell>
          <cell r="D67">
            <v>190</v>
          </cell>
          <cell r="E67">
            <v>25</v>
          </cell>
        </row>
      </sheetData>
      <sheetData sheetId="9">
        <row r="10">
          <cell r="A10" t="str">
            <v>MKN-2006</v>
          </cell>
          <cell r="B10" t="str">
            <v>4 3/4" SLIM HOLE ...... ULTRA HI TEMP. (450º F.)</v>
          </cell>
          <cell r="C10">
            <v>447</v>
          </cell>
        </row>
        <row r="11">
          <cell r="A11" t="str">
            <v>MKN-2007</v>
          </cell>
          <cell r="B11" t="str">
            <v>5 1/2" SLIM HOLE ...... ULTRA HI TEMP. (450º F.)</v>
          </cell>
          <cell r="C11">
            <v>579</v>
          </cell>
        </row>
        <row r="12">
          <cell r="A12" t="str">
            <v>MKN-2008</v>
          </cell>
          <cell r="B12" t="str">
            <v>7 1/2"</v>
          </cell>
          <cell r="C12">
            <v>186</v>
          </cell>
        </row>
        <row r="13">
          <cell r="A13" t="str">
            <v>MKN-2009</v>
          </cell>
          <cell r="B13" t="str">
            <v>7 3/4" O.D</v>
          </cell>
          <cell r="C13">
            <v>198</v>
          </cell>
        </row>
        <row r="14">
          <cell r="A14" t="str">
            <v>MKN-2010</v>
          </cell>
          <cell r="B14" t="str">
            <v>7 3/4" O.D ...... ULTRA HI TEMP. (450º F.)</v>
          </cell>
          <cell r="C14">
            <v>1241</v>
          </cell>
        </row>
        <row r="15">
          <cell r="A15" t="str">
            <v>MKN-2011</v>
          </cell>
          <cell r="B15" t="str">
            <v>8" O.D</v>
          </cell>
          <cell r="C15">
            <v>233</v>
          </cell>
        </row>
        <row r="16">
          <cell r="A16" t="str">
            <v>MKN-2012</v>
          </cell>
          <cell r="B16" t="str">
            <v>8 1/2" O.D</v>
          </cell>
          <cell r="C16">
            <v>347</v>
          </cell>
        </row>
        <row r="17">
          <cell r="A17" t="str">
            <v>MKN-2013</v>
          </cell>
          <cell r="B17" t="str">
            <v>9" O.D</v>
          </cell>
          <cell r="C17">
            <v>347</v>
          </cell>
        </row>
        <row r="18">
          <cell r="A18" t="str">
            <v>MKN-2014</v>
          </cell>
          <cell r="B18" t="str">
            <v>10" O.D</v>
          </cell>
          <cell r="C18">
            <v>413</v>
          </cell>
        </row>
        <row r="19">
          <cell r="A19" t="str">
            <v>MKN-2015</v>
          </cell>
          <cell r="B19" t="str">
            <v>11 1/4" O.D</v>
          </cell>
          <cell r="C19">
            <v>794</v>
          </cell>
        </row>
      </sheetData>
      <sheetData sheetId="10">
        <row r="10">
          <cell r="A10" t="str">
            <v>MKN-1984</v>
          </cell>
          <cell r="B10" t="str">
            <v> LAP TOP COMPUTER AND PRINTER</v>
          </cell>
          <cell r="C10">
            <v>345</v>
          </cell>
        </row>
        <row r="11">
          <cell r="A11" t="str">
            <v>MKN-1985</v>
          </cell>
          <cell r="B11" t="str">
            <v>D.S.T. REPORT, FIRST THREE COPIES, FREE, EXTRA COPIES</v>
          </cell>
          <cell r="C11">
            <v>44</v>
          </cell>
        </row>
        <row r="12">
          <cell r="A12" t="str">
            <v>MKN-1986</v>
          </cell>
          <cell r="B12" t="str">
            <v>RE-ORDER TEST REPORT: EACH REPORT FOLDER</v>
          </cell>
          <cell r="C12">
            <v>51</v>
          </cell>
        </row>
        <row r="13">
          <cell r="A13" t="str">
            <v>MKN-1987</v>
          </cell>
          <cell r="B13" t="str">
            <v>TEST DATA ANALYSIS: COMPUTERIZED DATA ANALYSIS,
 FIRST THREE COPIES (IF ELECTRONIC PRESSURE &amp; TEMPERATURE NOT RUN)</v>
          </cell>
          <cell r="C13">
            <v>948</v>
          </cell>
        </row>
        <row r="14">
          <cell r="A14" t="str">
            <v>MKN-1988</v>
          </cell>
          <cell r="B14" t="str">
            <v>LOCAL READING, OTHER THAN BASIC</v>
          </cell>
          <cell r="C14">
            <v>350</v>
          </cell>
        </row>
        <row r="15">
          <cell r="A15" t="str">
            <v>MKN-1989</v>
          </cell>
          <cell r="B15" t="str">
            <v>READING, 
PER INSTRUMENT OF MAJOR PRESSURE POINT LOCATION WITH FIELD CHART READER, 
PER CHART</v>
          </cell>
          <cell r="C15">
            <v>215</v>
          </cell>
        </row>
        <row r="17">
          <cell r="A17" t="str">
            <v>MKN-1990</v>
          </cell>
          <cell r="B17" t="str">
            <v>4 3/4" SLIM HOLE ...... ULTRA HI TEMP. (450º F.)</v>
          </cell>
          <cell r="C17">
            <v>4467</v>
          </cell>
        </row>
        <row r="18">
          <cell r="A18" t="str">
            <v>MKN-1991</v>
          </cell>
          <cell r="B18" t="str">
            <v>5 1/2" SLIM HOLE ...... ULTRA HI TEMP. (450º F.)</v>
          </cell>
          <cell r="C18">
            <v>5790</v>
          </cell>
        </row>
        <row r="19">
          <cell r="A19" t="str">
            <v>MKN-1992</v>
          </cell>
          <cell r="B19" t="str">
            <v>7 1/2" O.D.</v>
          </cell>
          <cell r="C19">
            <v>1865</v>
          </cell>
        </row>
        <row r="20">
          <cell r="A20" t="str">
            <v>MKN-1993</v>
          </cell>
          <cell r="B20" t="str">
            <v>7 3/4" O.D.</v>
          </cell>
          <cell r="C20">
            <v>1985</v>
          </cell>
        </row>
        <row r="21">
          <cell r="A21" t="str">
            <v>MKN-1994</v>
          </cell>
          <cell r="B21" t="str">
            <v>7 3/4" O.D. ...... ULTRA HI TEMP. (450º F.)</v>
          </cell>
          <cell r="C21">
            <v>7405</v>
          </cell>
        </row>
        <row r="22">
          <cell r="A22" t="str">
            <v>MKN-1995</v>
          </cell>
          <cell r="B22" t="str">
            <v>8" O.D.</v>
          </cell>
          <cell r="C22">
            <v>2036</v>
          </cell>
        </row>
        <row r="23">
          <cell r="A23" t="str">
            <v>MKN-1996</v>
          </cell>
          <cell r="B23" t="str">
            <v>8 1/2" O.D.</v>
          </cell>
          <cell r="C23">
            <v>2366</v>
          </cell>
        </row>
        <row r="24">
          <cell r="A24" t="str">
            <v>MKN-1997</v>
          </cell>
          <cell r="B24" t="str">
            <v>9" O.D.</v>
          </cell>
          <cell r="C24">
            <v>2697</v>
          </cell>
        </row>
        <row r="25">
          <cell r="A25" t="str">
            <v>MKN-1998</v>
          </cell>
          <cell r="B25" t="str">
            <v>10" O.D.</v>
          </cell>
          <cell r="C25">
            <v>3027</v>
          </cell>
        </row>
        <row r="26">
          <cell r="A26" t="str">
            <v>MKN-1999</v>
          </cell>
          <cell r="B26" t="str">
            <v>11 1/4" O.D.</v>
          </cell>
          <cell r="C26">
            <v>3969</v>
          </cell>
        </row>
        <row r="28">
          <cell r="A28" t="str">
            <v>MKN-2000</v>
          </cell>
          <cell r="B28" t="str">
            <v>5"</v>
          </cell>
          <cell r="C28">
            <v>3720</v>
          </cell>
        </row>
        <row r="29">
          <cell r="A29" t="str">
            <v>MKN-2001</v>
          </cell>
          <cell r="B29" t="str">
            <v>5" SLIM HOLE ...... STANDARD TEMP.</v>
          </cell>
          <cell r="C29">
            <v>3969</v>
          </cell>
        </row>
        <row r="30">
          <cell r="A30" t="str">
            <v>MKN-2002</v>
          </cell>
          <cell r="B30" t="str">
            <v>5" SLIM HOLE ...... ULTRA HI TEMP. (450º F.)</v>
          </cell>
          <cell r="C30">
            <v>6947</v>
          </cell>
        </row>
        <row r="31">
          <cell r="A31" t="str">
            <v>MKN-2003</v>
          </cell>
          <cell r="B31" t="str">
            <v>7"</v>
          </cell>
          <cell r="C31">
            <v>4136</v>
          </cell>
        </row>
        <row r="32">
          <cell r="A32" t="str">
            <v>MKN-2004</v>
          </cell>
          <cell r="B32" t="str">
            <v>7" ...... ULTRA HI TEMP. (450º F.)</v>
          </cell>
          <cell r="C32">
            <v>5954</v>
          </cell>
        </row>
        <row r="33">
          <cell r="A33" t="str">
            <v>MKN-2005</v>
          </cell>
          <cell r="B33" t="str">
            <v>9 5/8"</v>
          </cell>
          <cell r="C33">
            <v>4548</v>
          </cell>
        </row>
      </sheetData>
      <sheetData sheetId="11">
        <row r="9">
          <cell r="A9" t="str">
            <v>MKN-1964</v>
          </cell>
          <cell r="B9" t="str">
            <v>SHUT-IN TOOL, FIRST 24 HOURS</v>
          </cell>
          <cell r="C9">
            <v>375</v>
          </cell>
        </row>
        <row r="10">
          <cell r="A10" t="str">
            <v>MKN-1965</v>
          </cell>
          <cell r="B10" t="str">
            <v>SHUT-IN TOOL: EACH ADDITIONAL 8 HOURS, OR FRACTION</v>
          </cell>
          <cell r="C10">
            <v>107</v>
          </cell>
        </row>
        <row r="11">
          <cell r="A11" t="str">
            <v>MKN-1966</v>
          </cell>
          <cell r="B11" t="str">
            <v>HYDRAULIC MAIN VALVE, FIRST 24 HOURS</v>
          </cell>
          <cell r="C11">
            <v>321</v>
          </cell>
        </row>
        <row r="12">
          <cell r="A12" t="str">
            <v>MKN-1967</v>
          </cell>
          <cell r="B12" t="str">
            <v>HY. M. VALVE: EACH ADDITIONAL 8 HOURS, OR FRACTION</v>
          </cell>
          <cell r="C12">
            <v>95</v>
          </cell>
        </row>
        <row r="13">
          <cell r="A13" t="str">
            <v>MKN-1968</v>
          </cell>
          <cell r="B13" t="str">
            <v>OPEN HOLE PACKER ASSEMBLY, PER ASSEMBLY</v>
          </cell>
          <cell r="C13">
            <v>737</v>
          </cell>
        </row>
        <row r="14">
          <cell r="A14" t="str">
            <v>MKN-1969</v>
          </cell>
          <cell r="B14" t="str">
            <v>STRADDLE BY-PASS ASSEMBLY, PER RUN</v>
          </cell>
          <cell r="C14">
            <v>416</v>
          </cell>
        </row>
        <row r="15">
          <cell r="A15" t="str">
            <v>MKN-1970</v>
          </cell>
          <cell r="B15" t="str">
            <v>WALTER'S SAFETY JOINT, PER RUN</v>
          </cell>
          <cell r="C15">
            <v>243</v>
          </cell>
        </row>
        <row r="16">
          <cell r="A16" t="str">
            <v>MKN-1971</v>
          </cell>
          <cell r="B16" t="str">
            <v>LEE MASON HYDRAULIC TESTING JARS, PER RUN</v>
          </cell>
          <cell r="C16">
            <v>977</v>
          </cell>
        </row>
        <row r="17">
          <cell r="A17" t="str">
            <v>MKN-1972</v>
          </cell>
          <cell r="B17" t="str">
            <v>REVERSE CIRCULATING EQUIPMENT, PER RUN</v>
          </cell>
          <cell r="C17">
            <v>161</v>
          </cell>
        </row>
        <row r="18">
          <cell r="A18" t="str">
            <v>MKN-1973</v>
          </cell>
          <cell r="B18" t="str">
            <v>CROSS OVER SUBS PER SUB, PER RUN</v>
          </cell>
          <cell r="C18">
            <v>65</v>
          </cell>
        </row>
        <row r="19">
          <cell r="A19" t="str">
            <v>MKN-1974</v>
          </cell>
          <cell r="B19" t="str">
            <v>ANCHOR IN EXCESS OF 30 FT.: PER FOOT</v>
          </cell>
          <cell r="C19">
            <v>33</v>
          </cell>
        </row>
        <row r="20">
          <cell r="A20" t="str">
            <v>MKN-1975</v>
          </cell>
          <cell r="B20" t="str">
            <v>BUBBLE HEAD PLUS GAUGES AND HOSES</v>
          </cell>
          <cell r="C20">
            <v>81</v>
          </cell>
        </row>
        <row r="21">
          <cell r="A21" t="str">
            <v>MKN-1976</v>
          </cell>
          <cell r="B21" t="str">
            <v>1 1/2" STEEL CHICKSAN JOINT, PER JOINT</v>
          </cell>
          <cell r="C21">
            <v>174</v>
          </cell>
        </row>
        <row r="22">
          <cell r="A22" t="str">
            <v>MKN-1977</v>
          </cell>
          <cell r="B22" t="str">
            <v>SURFACE SAMPLING EQUIPMENT, PER TEST</v>
          </cell>
          <cell r="C22">
            <v>696</v>
          </cell>
        </row>
        <row r="23">
          <cell r="A23" t="str">
            <v>MKN-1978</v>
          </cell>
          <cell r="B23" t="str">
            <v>FAIL SAFE, REMOTE CONTROL HEAD INCLUDES: LIFTING NIPPLE, MASTER VALVE, 
FLOW-TEE, DROP BAR ASSEMBLY, SWIVEL, AND ACCESS VALVE</v>
          </cell>
          <cell r="C23">
            <v>1260</v>
          </cell>
        </row>
        <row r="24">
          <cell r="A24" t="str">
            <v>MKN-1979</v>
          </cell>
          <cell r="B24" t="str">
            <v>RESERVOIR FLUID SAMPLER, PER RUN</v>
          </cell>
          <cell r="C24">
            <v>1526</v>
          </cell>
        </row>
        <row r="27">
          <cell r="A27" t="str">
            <v>MKN-1980</v>
          </cell>
          <cell r="B27" t="str">
            <v>MECHANICAL TEMPERATURE RECORDERS: PER RUN</v>
          </cell>
          <cell r="C27">
            <v>500</v>
          </cell>
        </row>
        <row r="28">
          <cell r="A28" t="str">
            <v>MKN-1981</v>
          </cell>
          <cell r="B28" t="str">
            <v>MECHANICAL PRESSURE RECORDERS: PER RUN</v>
          </cell>
          <cell r="C28">
            <v>500</v>
          </cell>
        </row>
        <row r="29">
          <cell r="A29" t="str">
            <v>MKN-1982-00</v>
          </cell>
          <cell r="B29" t="str">
            <v>ASE MEMORY GAUGE, PER RUN</v>
          </cell>
          <cell r="C29">
            <v>1100</v>
          </cell>
        </row>
        <row r="30">
          <cell r="A30" t="str">
            <v>MKN-1982-01</v>
          </cell>
          <cell r="B30" t="str">
            <v>LITHIUM BATTERY, PER RUN</v>
          </cell>
          <cell r="C30">
            <v>150</v>
          </cell>
        </row>
        <row r="31">
          <cell r="A31" t="str">
            <v>MKN-1983</v>
          </cell>
          <cell r="B31" t="str">
            <v>FIELD READING OR MEMORY GAUGE USING ANALYTICAL PROGRAM, 
PER GAUGE, PER RUN</v>
          </cell>
          <cell r="C31">
            <v>850</v>
          </cell>
        </row>
      </sheetData>
      <sheetData sheetId="12">
        <row r="23">
          <cell r="A23" t="str">
            <v>MKN-1956</v>
          </cell>
          <cell r="B23" t="str">
            <v>ADDITIONAL HOURS OR FRACTION OF, PER HOUR</v>
          </cell>
          <cell r="C23">
            <v>107</v>
          </cell>
        </row>
        <row r="24">
          <cell r="A24" t="str">
            <v>MKN-1957-00</v>
          </cell>
          <cell r="B24" t="str">
            <v>TRANSPORTATION CHARGE: PICK-UP ROUND TRIP, PER KM</v>
          </cell>
          <cell r="C24">
            <v>3.9</v>
          </cell>
        </row>
        <row r="25">
          <cell r="A25" t="str">
            <v>MKN-1957-01</v>
          </cell>
          <cell r="B25" t="str">
            <v>TRANSPORTATION CHARGE: SERVICE TRUCK ROUND TRIP, PER KM</v>
          </cell>
          <cell r="C25">
            <v>4.5</v>
          </cell>
        </row>
        <row r="26">
          <cell r="A26" t="str">
            <v>MKN-1957-02</v>
          </cell>
          <cell r="B26" t="str">
            <v>TRANSPORTATION CHARGE: SERVICE TRUCK STAND BY, PER DAY</v>
          </cell>
          <cell r="C26">
            <v>447</v>
          </cell>
        </row>
        <row r="27">
          <cell r="A27" t="str">
            <v>MKN-1958</v>
          </cell>
          <cell r="B27" t="str">
            <v>UNSUCCESSFUL RUN SERVICE CHARGE: INCLUDE STANDARD TESTING EQUIPMENT</v>
          </cell>
          <cell r="C27">
            <v>1850</v>
          </cell>
        </row>
        <row r="28">
          <cell r="A28" t="str">
            <v>MKN-1959</v>
          </cell>
          <cell r="B28" t="str">
            <v>CANCELLATION OF SERVICE: BY CLIENT.</v>
          </cell>
          <cell r="C28">
            <v>2260</v>
          </cell>
        </row>
        <row r="29">
          <cell r="A29" t="str">
            <v>MKN-1960</v>
          </cell>
          <cell r="B29" t="str">
            <v>WAITING TIME: EQUIPMENT, AFTER THE FIRST 6 HOURS, PER HOUR.</v>
          </cell>
          <cell r="C29">
            <v>64</v>
          </cell>
        </row>
        <row r="30">
          <cell r="A30" t="str">
            <v>MKN-1961-00</v>
          </cell>
          <cell r="B30" t="str">
            <v>PERSONNEL CHARGES: PER DAY, PER MAN. D.S.T. TECHNICIAN, PER DAY OR FRACTION ...</v>
          </cell>
          <cell r="C30">
            <v>1300</v>
          </cell>
        </row>
        <row r="31">
          <cell r="A31" t="str">
            <v>MKN-1961-01</v>
          </cell>
          <cell r="B31" t="str">
            <v>D.S.T. ASSISTANT, PER DAY OR FRACTION ...</v>
          </cell>
          <cell r="C31">
            <v>740</v>
          </cell>
        </row>
        <row r="32">
          <cell r="B32" t="str">
            <v>CORROSIVE SERVICE CHARGE: ...........................</v>
          </cell>
        </row>
        <row r="33">
          <cell r="C33" t="str">
            <v>PLUS 20 %</v>
          </cell>
        </row>
        <row r="35">
          <cell r="A35" t="str">
            <v>MKN-1963</v>
          </cell>
          <cell r="B35" t="str">
            <v>DESERT SURCHARGE</v>
          </cell>
          <cell r="C35" t="str">
            <v>PLUS 20 %</v>
          </cell>
        </row>
      </sheetData>
      <sheetData sheetId="13">
        <row r="28">
          <cell r="A28" t="str">
            <v>MKN-1945</v>
          </cell>
          <cell r="B28" t="str">
            <v>0 TO 5,000 FT</v>
          </cell>
          <cell r="C28">
            <v>17621</v>
          </cell>
        </row>
        <row r="29">
          <cell r="A29" t="str">
            <v>MKN-1946</v>
          </cell>
          <cell r="B29" t="str">
            <v>5,001 TO 6,000 FT</v>
          </cell>
          <cell r="C29">
            <v>17795</v>
          </cell>
        </row>
        <row r="30">
          <cell r="A30" t="str">
            <v>MKN-1947</v>
          </cell>
          <cell r="B30" t="str">
            <v>6,001 TO 7,000 FT</v>
          </cell>
          <cell r="C30">
            <v>17966</v>
          </cell>
        </row>
        <row r="31">
          <cell r="A31" t="str">
            <v>MKN-1948</v>
          </cell>
          <cell r="B31" t="str">
            <v>7,001 TO 8,000 FT</v>
          </cell>
          <cell r="C31">
            <v>18137</v>
          </cell>
        </row>
        <row r="32">
          <cell r="A32" t="str">
            <v>MKN-1949</v>
          </cell>
          <cell r="B32" t="str">
            <v>8,001 TO 9,000 FT</v>
          </cell>
          <cell r="C32">
            <v>18313</v>
          </cell>
        </row>
        <row r="33">
          <cell r="A33" t="str">
            <v>MKN-1950</v>
          </cell>
          <cell r="B33" t="str">
            <v>9,001 TO 10,000 FT</v>
          </cell>
          <cell r="C33">
            <v>18487</v>
          </cell>
        </row>
        <row r="34">
          <cell r="A34" t="str">
            <v>MKN-1951</v>
          </cell>
          <cell r="B34" t="str">
            <v>10,001 TO 11,000 FT</v>
          </cell>
          <cell r="C34">
            <v>18659</v>
          </cell>
        </row>
        <row r="35">
          <cell r="A35" t="str">
            <v>MKN-1952</v>
          </cell>
          <cell r="B35" t="str">
            <v>11,001 TO 12,000 FT</v>
          </cell>
          <cell r="C35">
            <v>18833</v>
          </cell>
        </row>
        <row r="36">
          <cell r="A36" t="str">
            <v>MKN-1953</v>
          </cell>
          <cell r="B36" t="str">
            <v>12,001 TO 13,000 FT</v>
          </cell>
          <cell r="C36">
            <v>19008</v>
          </cell>
        </row>
        <row r="37">
          <cell r="A37" t="str">
            <v>MKN-1954</v>
          </cell>
          <cell r="B37" t="str">
            <v>13,001 TO 14,000 FT</v>
          </cell>
          <cell r="C37">
            <v>19183</v>
          </cell>
        </row>
        <row r="38">
          <cell r="A38" t="str">
            <v>MKN-1955</v>
          </cell>
          <cell r="B38" t="str">
            <v>14,001 FT. OR DEEPER ADD PER 100 FT., OR FRACTION</v>
          </cell>
          <cell r="C38">
            <v>243</v>
          </cell>
        </row>
      </sheetData>
      <sheetData sheetId="14">
        <row r="6">
          <cell r="A6" t="str">
            <v>MKN-1928</v>
          </cell>
          <cell r="B6" t="str">
            <v>Fluid mixing &amp; holding tanks, 500 bbl, rental or standby</v>
          </cell>
          <cell r="C6" t="str">
            <v>DAY</v>
          </cell>
          <cell r="D6">
            <v>1000</v>
          </cell>
        </row>
        <row r="7">
          <cell r="A7" t="str">
            <v>MKN-1929</v>
          </cell>
          <cell r="B7" t="str">
            <v>Fluid mixing &amp; holding tanks, 500 bbl, job charge</v>
          </cell>
          <cell r="C7" t="str">
            <v>JOB</v>
          </cell>
          <cell r="D7">
            <v>4500</v>
          </cell>
        </row>
        <row r="11">
          <cell r="A11" t="str">
            <v>MKN-1930</v>
          </cell>
          <cell r="B11" t="str">
            <v>Batch mixer w/ engine, below 50 bbl, rental or standby</v>
          </cell>
          <cell r="C11" t="str">
            <v>DAY</v>
          </cell>
          <cell r="D11">
            <v>500</v>
          </cell>
        </row>
        <row r="12">
          <cell r="A12" t="str">
            <v>MKN-1931</v>
          </cell>
          <cell r="B12" t="str">
            <v>Batch mixer w/ engine, below 50 bbl, operating, first 4 hours</v>
          </cell>
          <cell r="C12" t="str">
            <v>4HRS</v>
          </cell>
          <cell r="D12">
            <v>2300</v>
          </cell>
        </row>
        <row r="13">
          <cell r="A13" t="str">
            <v>MKN-1932</v>
          </cell>
          <cell r="B13" t="str">
            <v>Batch mixer w/ engine, below 50 bbl, operating, additional hours</v>
          </cell>
          <cell r="C13" t="str">
            <v>HOUR</v>
          </cell>
          <cell r="D13">
            <v>400</v>
          </cell>
        </row>
        <row r="14">
          <cell r="A14" t="str">
            <v>MKN-1933</v>
          </cell>
          <cell r="B14" t="str">
            <v>Batch mixer w/ engine, 50 to 100 bbl, rental or standby</v>
          </cell>
          <cell r="C14" t="str">
            <v>DAY</v>
          </cell>
          <cell r="D14">
            <v>700</v>
          </cell>
        </row>
        <row r="15">
          <cell r="A15" t="str">
            <v>MKN-1934</v>
          </cell>
          <cell r="B15" t="str">
            <v>Batch mixer w/ engine, 50 to 100 bbl, operating, first 4 hours</v>
          </cell>
          <cell r="C15" t="str">
            <v>4HRS</v>
          </cell>
          <cell r="D15">
            <v>3000</v>
          </cell>
        </row>
        <row r="16">
          <cell r="A16" t="str">
            <v>MKN-1935</v>
          </cell>
          <cell r="B16" t="str">
            <v>Batch mixer w/ engine, 50 to 100 bbl, operating, additional hours</v>
          </cell>
          <cell r="C16" t="str">
            <v>HOUR</v>
          </cell>
          <cell r="D16">
            <v>500</v>
          </cell>
        </row>
        <row r="21">
          <cell r="A21" t="str">
            <v>MKN-1936</v>
          </cell>
          <cell r="B21" t="str">
            <v>Centrifugal pump skid, rental or standby</v>
          </cell>
          <cell r="C21" t="str">
            <v>DAY</v>
          </cell>
          <cell r="D21">
            <v>600</v>
          </cell>
        </row>
        <row r="22">
          <cell r="A22" t="str">
            <v>MKN-1937</v>
          </cell>
          <cell r="B22" t="str">
            <v>Centrifugal pump skid, job charge</v>
          </cell>
          <cell r="C22" t="str">
            <v>JOB</v>
          </cell>
          <cell r="D22">
            <v>1000</v>
          </cell>
        </row>
        <row r="23">
          <cell r="A23" t="str">
            <v>MKN-1938</v>
          </cell>
          <cell r="B23" t="str">
            <v>Acid Transfer Pump, rental or standby</v>
          </cell>
          <cell r="C23" t="str">
            <v>DAY</v>
          </cell>
          <cell r="D23">
            <v>400</v>
          </cell>
        </row>
        <row r="24">
          <cell r="A24" t="str">
            <v>MKN-1939</v>
          </cell>
          <cell r="B24" t="str">
            <v>Acid Transfer Pump, job charge</v>
          </cell>
          <cell r="C24" t="str">
            <v>JOB</v>
          </cell>
          <cell r="D24">
            <v>800</v>
          </cell>
        </row>
        <row r="28">
          <cell r="A28" t="str">
            <v>MKN-1940</v>
          </cell>
          <cell r="B28" t="str">
            <v>2" L.P Suction/Discharge Hose, per 15ft section, each</v>
          </cell>
          <cell r="C28" t="str">
            <v>DAY</v>
          </cell>
          <cell r="D28">
            <v>90</v>
          </cell>
        </row>
        <row r="29">
          <cell r="A29" t="str">
            <v>MKN-1941</v>
          </cell>
          <cell r="B29" t="str">
            <v>3" L.P Suction/Discharge Hose, per 15ft section, each</v>
          </cell>
          <cell r="C29" t="str">
            <v>DAY</v>
          </cell>
          <cell r="D29">
            <v>120</v>
          </cell>
        </row>
        <row r="30">
          <cell r="A30" t="str">
            <v>MKN-1942</v>
          </cell>
          <cell r="B30" t="str">
            <v>4" L.P Suction/Discharge Hose, per 15ft section, each</v>
          </cell>
          <cell r="C30" t="str">
            <v>DAY</v>
          </cell>
          <cell r="D30">
            <v>200</v>
          </cell>
        </row>
        <row r="34">
          <cell r="A34" t="str">
            <v>MKN-1943</v>
          </cell>
          <cell r="B34" t="str">
            <v>Mixing charge for different acid systems (gelling acid, retarded cross linked acid
 &amp; SDA ...) prior to job, based on total volume of fluid</v>
          </cell>
          <cell r="C34" t="str">
            <v>GAL</v>
          </cell>
          <cell r="D34">
            <v>2.5</v>
          </cell>
        </row>
        <row r="35">
          <cell r="A35" t="str">
            <v>MKN-1944</v>
          </cell>
          <cell r="B35" t="str">
            <v>Pre-mixing chemicals prior to any treatment, per hour</v>
          </cell>
          <cell r="C35" t="str">
            <v>GAL</v>
          </cell>
          <cell r="D35">
            <v>2</v>
          </cell>
        </row>
      </sheetData>
      <sheetData sheetId="15">
        <row r="7">
          <cell r="A7" t="str">
            <v>MKN-1898</v>
          </cell>
          <cell r="B7" t="str">
            <v>2" Coflexip high pressure flexible hose, each, rental or standby</v>
          </cell>
          <cell r="C7" t="str">
            <v>DAY</v>
          </cell>
          <cell r="D7">
            <v>800</v>
          </cell>
        </row>
        <row r="8">
          <cell r="A8" t="str">
            <v>MKN-1899</v>
          </cell>
          <cell r="B8" t="str">
            <v>2" Coflexip high pressure flexible hose, each, job charge</v>
          </cell>
          <cell r="C8" t="str">
            <v>JOB</v>
          </cell>
          <cell r="D8">
            <v>3000</v>
          </cell>
        </row>
        <row r="9">
          <cell r="A9" t="str">
            <v>MKN-1900</v>
          </cell>
          <cell r="B9" t="str">
            <v>3" Coflexip high pressure flexible hose, each, rental or stand by</v>
          </cell>
          <cell r="C9" t="str">
            <v>DAY</v>
          </cell>
          <cell r="D9">
            <v>1000</v>
          </cell>
        </row>
        <row r="10">
          <cell r="A10" t="str">
            <v>MKN-1901</v>
          </cell>
          <cell r="B10" t="str">
            <v>3" Coflexip high pressure flexible hose, each, job charge</v>
          </cell>
          <cell r="C10" t="str">
            <v>JOB</v>
          </cell>
          <cell r="D10">
            <v>4000</v>
          </cell>
        </row>
        <row r="11">
          <cell r="A11" t="str">
            <v>MKN-1902</v>
          </cell>
          <cell r="B11" t="str">
            <v>4" Coflexip high pressure flexible hose, each, rental or standby</v>
          </cell>
          <cell r="C11" t="str">
            <v>DAY</v>
          </cell>
          <cell r="D11">
            <v>1500</v>
          </cell>
        </row>
        <row r="12">
          <cell r="A12" t="str">
            <v>MKN-1903</v>
          </cell>
          <cell r="B12" t="str">
            <v>4" Coflexip high pressure flexible hose, each, job charge</v>
          </cell>
          <cell r="C12" t="str">
            <v>JOB</v>
          </cell>
          <cell r="D12">
            <v>6000</v>
          </cell>
        </row>
        <row r="13">
          <cell r="A13" t="str">
            <v>MKN-1904</v>
          </cell>
          <cell r="B13" t="str">
            <v>Quick disconnect, rental or standby</v>
          </cell>
          <cell r="C13" t="str">
            <v>DAY</v>
          </cell>
          <cell r="D13">
            <v>1000</v>
          </cell>
        </row>
        <row r="14">
          <cell r="A14" t="str">
            <v>MKN-1905</v>
          </cell>
          <cell r="B14" t="str">
            <v>Quick disconnect, job charge</v>
          </cell>
          <cell r="C14" t="str">
            <v>JOB</v>
          </cell>
          <cell r="D14">
            <v>4000</v>
          </cell>
        </row>
        <row r="19">
          <cell r="A19" t="str">
            <v>MKN-1906</v>
          </cell>
          <cell r="B19" t="str">
            <v>Acid mixing &amp; holding tanks, to 4,000 gal, rental or standby</v>
          </cell>
          <cell r="C19" t="str">
            <v>DAY</v>
          </cell>
          <cell r="D19">
            <v>200</v>
          </cell>
        </row>
        <row r="20">
          <cell r="A20" t="str">
            <v>MKN-1907</v>
          </cell>
          <cell r="B20" t="str">
            <v>Acid mixing &amp; holding tanks, to 4,000 gal, job charge</v>
          </cell>
          <cell r="C20" t="str">
            <v>JOB</v>
          </cell>
          <cell r="D20">
            <v>1000</v>
          </cell>
        </row>
        <row r="21">
          <cell r="A21" t="str">
            <v>MKN-1908</v>
          </cell>
          <cell r="B21" t="str">
            <v>Acid mixing &amp; holding tanks, 4,001 to 8000 gal, rental or standby</v>
          </cell>
          <cell r="C21" t="str">
            <v>DAY</v>
          </cell>
          <cell r="D21">
            <v>325</v>
          </cell>
        </row>
        <row r="22">
          <cell r="A22" t="str">
            <v>MKN-1909</v>
          </cell>
          <cell r="B22" t="str">
            <v>Acid mixing &amp; holding tanks, 4,001 to 8000 gal, job charge</v>
          </cell>
          <cell r="C22" t="str">
            <v>JOB</v>
          </cell>
          <cell r="D22">
            <v>1700</v>
          </cell>
        </row>
        <row r="23">
          <cell r="A23" t="str">
            <v>MKN-1910</v>
          </cell>
          <cell r="B23" t="str">
            <v>Acid mixing &amp; holding tanks, 8,001 to 12,000 gal, rental or standby</v>
          </cell>
          <cell r="C23" t="str">
            <v>DAY</v>
          </cell>
          <cell r="D23">
            <v>400</v>
          </cell>
        </row>
        <row r="24">
          <cell r="A24" t="str">
            <v>MKN-1911</v>
          </cell>
          <cell r="B24" t="str">
            <v>Acid mixing &amp; holding tanks, 8,001 to 12,000 gal, job charge</v>
          </cell>
          <cell r="C24" t="str">
            <v>JOB</v>
          </cell>
          <cell r="D24">
            <v>200</v>
          </cell>
        </row>
        <row r="28">
          <cell r="A28" t="str">
            <v>MKN-1912</v>
          </cell>
          <cell r="B28" t="str">
            <v>Acid transport container 1,300 gal capacity, rental or standby</v>
          </cell>
          <cell r="C28" t="str">
            <v>DAY</v>
          </cell>
          <cell r="D28">
            <v>150</v>
          </cell>
        </row>
        <row r="29">
          <cell r="A29" t="str">
            <v>MKN-1913</v>
          </cell>
          <cell r="B29" t="str">
            <v>Acid transport container 1,300 gal capacity, job charge</v>
          </cell>
          <cell r="C29" t="str">
            <v>JOB</v>
          </cell>
          <cell r="D29">
            <v>300</v>
          </cell>
        </row>
        <row r="30">
          <cell r="A30" t="str">
            <v>MKN-1914</v>
          </cell>
          <cell r="B30" t="str">
            <v>Acid transport container 2,000 gal capacity, rental or standby</v>
          </cell>
          <cell r="C30" t="str">
            <v>DAY</v>
          </cell>
          <cell r="D30">
            <v>300</v>
          </cell>
        </row>
        <row r="31">
          <cell r="A31" t="str">
            <v>MKN-1915</v>
          </cell>
          <cell r="B31" t="str">
            <v>Acid transport container 2,000 gal capacity, job charge</v>
          </cell>
          <cell r="C31" t="str">
            <v>JOB</v>
          </cell>
          <cell r="D31">
            <v>600</v>
          </cell>
        </row>
        <row r="32">
          <cell r="A32" t="str">
            <v>MKN-1916</v>
          </cell>
          <cell r="B32" t="str">
            <v>Acid transport container 5,000 gal capacity, rental or standby</v>
          </cell>
          <cell r="C32" t="str">
            <v>DAY</v>
          </cell>
          <cell r="D32">
            <v>450</v>
          </cell>
        </row>
        <row r="33">
          <cell r="A33" t="str">
            <v>MKN-1917</v>
          </cell>
          <cell r="B33" t="str">
            <v>Acid transport container 5,000 gal capacity, job charge</v>
          </cell>
          <cell r="C33" t="str">
            <v>JOB</v>
          </cell>
          <cell r="D33">
            <v>1000</v>
          </cell>
        </row>
        <row r="37">
          <cell r="A37" t="str">
            <v>MKN-1918</v>
          </cell>
          <cell r="B37" t="str">
            <v>Acid road tanker 7,500 gal capacity, rental or standby</v>
          </cell>
          <cell r="C37" t="str">
            <v>DAY</v>
          </cell>
          <cell r="D37">
            <v>1500</v>
          </cell>
        </row>
        <row r="38">
          <cell r="A38" t="str">
            <v>MKN-1919</v>
          </cell>
          <cell r="B38" t="str">
            <v>Acid road tanker 7,500 gal capacity, operation charge</v>
          </cell>
          <cell r="C38" t="str">
            <v>DAY</v>
          </cell>
          <cell r="D38">
            <v>3000</v>
          </cell>
        </row>
        <row r="42">
          <cell r="A42" t="str">
            <v>MKN-1920</v>
          </cell>
          <cell r="B42" t="str">
            <v>Fluid mixing &amp; holding tanks, below 5,000 gal, rental or standby</v>
          </cell>
          <cell r="C42" t="str">
            <v>DAY</v>
          </cell>
          <cell r="D42">
            <v>250</v>
          </cell>
        </row>
        <row r="43">
          <cell r="A43" t="str">
            <v>MKN-1921</v>
          </cell>
          <cell r="B43" t="str">
            <v>Fluid mixing &amp; holding tanks, below 5,000 gal, job charge</v>
          </cell>
          <cell r="C43" t="str">
            <v>JOB</v>
          </cell>
          <cell r="D43">
            <v>450</v>
          </cell>
        </row>
        <row r="44">
          <cell r="A44" t="str">
            <v>MKN-1922</v>
          </cell>
          <cell r="B44" t="str">
            <v>Fluid mixing &amp; holding tanks, below 5,000 to 10,000 gal, rental or standby</v>
          </cell>
          <cell r="C44" t="str">
            <v>DAY</v>
          </cell>
          <cell r="D44">
            <v>400</v>
          </cell>
        </row>
        <row r="45">
          <cell r="A45" t="str">
            <v>MKN-1923</v>
          </cell>
          <cell r="B45" t="str">
            <v>Fluid mixing &amp; holding tanks, below 5,000 to 10,000 gal, job charge</v>
          </cell>
          <cell r="C45" t="str">
            <v>JOB</v>
          </cell>
          <cell r="D45">
            <v>1150</v>
          </cell>
        </row>
        <row r="46">
          <cell r="A46" t="str">
            <v>MKN-1924</v>
          </cell>
          <cell r="B46" t="str">
            <v>fluid holding tank, 300 bbl, rental or standby</v>
          </cell>
          <cell r="C46" t="str">
            <v>DAY</v>
          </cell>
          <cell r="D46">
            <v>500</v>
          </cell>
        </row>
        <row r="47">
          <cell r="A47" t="str">
            <v>MKN-1925</v>
          </cell>
          <cell r="B47" t="str">
            <v>fluid holding tank, 300 bbl, rental or job charge</v>
          </cell>
          <cell r="C47" t="str">
            <v>JOB</v>
          </cell>
          <cell r="D47">
            <v>2500</v>
          </cell>
        </row>
        <row r="48">
          <cell r="A48" t="str">
            <v>MKN-1926</v>
          </cell>
          <cell r="B48" t="str">
            <v>fluid holding tank, 500 bbl, rental or standby</v>
          </cell>
          <cell r="C48" t="str">
            <v>DAY</v>
          </cell>
          <cell r="D48">
            <v>750</v>
          </cell>
        </row>
        <row r="49">
          <cell r="A49" t="str">
            <v>MKN-1927</v>
          </cell>
          <cell r="B49" t="str">
            <v>fluid holding tank, 500 bbl, job charge</v>
          </cell>
          <cell r="C49" t="str">
            <v>JOB</v>
          </cell>
          <cell r="D49">
            <v>3750</v>
          </cell>
        </row>
      </sheetData>
      <sheetData sheetId="16">
        <row r="6">
          <cell r="A6" t="str">
            <v>MKN-1867</v>
          </cell>
          <cell r="B6" t="str">
            <v>500 HP PUMP, rental or standby per pump</v>
          </cell>
          <cell r="C6" t="str">
            <v>DAY</v>
          </cell>
          <cell r="D6">
            <v>2000</v>
          </cell>
        </row>
        <row r="7">
          <cell r="A7" t="str">
            <v>MKN-1868</v>
          </cell>
          <cell r="B7" t="str">
            <v>500 HP PUMP, 0 to 5,000 psi, operating, first 4 hours</v>
          </cell>
          <cell r="C7" t="str">
            <v>4 HRS</v>
          </cell>
          <cell r="D7">
            <v>4500</v>
          </cell>
        </row>
        <row r="8">
          <cell r="A8" t="str">
            <v>MKN-1869</v>
          </cell>
          <cell r="B8" t="str">
            <v>500 HP PUMP, 0 to 5,000 psi, operating, additional hours</v>
          </cell>
          <cell r="C8" t="str">
            <v>HOUR</v>
          </cell>
          <cell r="D8">
            <v>600</v>
          </cell>
        </row>
        <row r="9">
          <cell r="A9" t="str">
            <v>MKN-1870</v>
          </cell>
          <cell r="B9" t="str">
            <v>500 HP PUMP, 5,001 to 10,000 psi, operating, first 4 hours</v>
          </cell>
          <cell r="C9" t="str">
            <v>4 HRS</v>
          </cell>
          <cell r="D9">
            <v>5225</v>
          </cell>
        </row>
        <row r="10">
          <cell r="A10" t="str">
            <v>MKN-1871</v>
          </cell>
          <cell r="B10" t="str">
            <v>500 HP PUMP, 5,001 to 10,000 psi, operating, additional hours</v>
          </cell>
          <cell r="C10" t="str">
            <v>HOUR</v>
          </cell>
          <cell r="D10">
            <v>1100</v>
          </cell>
        </row>
        <row r="14">
          <cell r="A14" t="str">
            <v>MKN-1872</v>
          </cell>
          <cell r="B14" t="str">
            <v>1000 HP PUMP, rental or standby per pump</v>
          </cell>
          <cell r="C14" t="str">
            <v>DAY</v>
          </cell>
          <cell r="D14">
            <v>2475</v>
          </cell>
        </row>
        <row r="15">
          <cell r="A15" t="str">
            <v>MKN-1873</v>
          </cell>
          <cell r="B15" t="str">
            <v>1000 HP PUMP, 0 to 5,000 psi, operating, first 4 hours</v>
          </cell>
          <cell r="C15" t="str">
            <v>4 HRS</v>
          </cell>
          <cell r="D15">
            <v>5050</v>
          </cell>
        </row>
        <row r="16">
          <cell r="A16" t="str">
            <v>MKN-1874</v>
          </cell>
          <cell r="B16" t="str">
            <v>1000 HP PUMP, 0 to 5,000 psi, operating, additional hours</v>
          </cell>
          <cell r="C16" t="str">
            <v>HOUR</v>
          </cell>
          <cell r="D16">
            <v>1225</v>
          </cell>
        </row>
        <row r="17">
          <cell r="A17" t="str">
            <v>MKN-1875</v>
          </cell>
          <cell r="B17" t="str">
            <v>1000 HP PUMP, 5,001 to 10,000 psi, operating, first 4 hours</v>
          </cell>
          <cell r="C17" t="str">
            <v>4 HRS</v>
          </cell>
          <cell r="D17">
            <v>10120</v>
          </cell>
        </row>
        <row r="18">
          <cell r="A18" t="str">
            <v>MKN-1876</v>
          </cell>
          <cell r="B18" t="str">
            <v>1000 HP PUMP, 5,001 to 10,000 psi, operating, additional hours</v>
          </cell>
          <cell r="C18" t="str">
            <v>HOUR</v>
          </cell>
          <cell r="D18">
            <v>2470</v>
          </cell>
        </row>
        <row r="22">
          <cell r="A22" t="str">
            <v>MKN-1877</v>
          </cell>
          <cell r="B22" t="str">
            <v>2,000 HP PUMP, rental or standby per pump</v>
          </cell>
          <cell r="C22" t="str">
            <v>DAY</v>
          </cell>
          <cell r="D22">
            <v>4825</v>
          </cell>
        </row>
        <row r="23">
          <cell r="A23" t="str">
            <v>MKN-1878</v>
          </cell>
          <cell r="B23" t="str">
            <v>2,000 HP PUMP, 0 to 5,000 psi, operating, first 4 hours</v>
          </cell>
          <cell r="C23" t="str">
            <v>4 HRS</v>
          </cell>
          <cell r="D23">
            <v>9880</v>
          </cell>
        </row>
        <row r="24">
          <cell r="A24" t="str">
            <v>MKN-1879</v>
          </cell>
          <cell r="B24" t="str">
            <v>2,000 HP PUMP, 0 to 5,000 psi, operating, additional hours</v>
          </cell>
          <cell r="C24" t="str">
            <v>HOUR</v>
          </cell>
          <cell r="D24">
            <v>2581</v>
          </cell>
        </row>
        <row r="25">
          <cell r="A25" t="str">
            <v>MKN-1880</v>
          </cell>
          <cell r="B25" t="str">
            <v>2,000 HP PUMP, 5,001 to 7,500 psi, operating, first 4 hours</v>
          </cell>
          <cell r="C25" t="str">
            <v>4 HRS</v>
          </cell>
          <cell r="D25">
            <v>14820</v>
          </cell>
        </row>
        <row r="26">
          <cell r="A26" t="str">
            <v>MKN-1881</v>
          </cell>
          <cell r="B26" t="str">
            <v>2,000 HP PUMP, 5,001 to 7,500 psi, operating, additional hours</v>
          </cell>
          <cell r="C26" t="str">
            <v>HOUR</v>
          </cell>
          <cell r="D26">
            <v>3870</v>
          </cell>
        </row>
        <row r="27">
          <cell r="A27" t="str">
            <v>MKN-1882</v>
          </cell>
          <cell r="B27" t="str">
            <v>2,000 HP PUMP, 7,501 to 10,000 psi, operating, first 4 hours</v>
          </cell>
          <cell r="C27" t="str">
            <v>4 HRS</v>
          </cell>
          <cell r="D27">
            <v>19760</v>
          </cell>
        </row>
        <row r="28">
          <cell r="A28" t="str">
            <v>MKN-1883</v>
          </cell>
          <cell r="B28" t="str">
            <v>2,000 HP PUMP, 7,501 to 10,000 psi, operating, additional hours</v>
          </cell>
          <cell r="C28" t="str">
            <v>HOUR</v>
          </cell>
          <cell r="D28">
            <v>5160</v>
          </cell>
        </row>
        <row r="29">
          <cell r="A29" t="str">
            <v>MKN-1884</v>
          </cell>
          <cell r="B29" t="str">
            <v>2,000 HP PUMP, 10,001 to 12,500 psi, operating, First 4 hours</v>
          </cell>
          <cell r="C29" t="str">
            <v>4 HRS</v>
          </cell>
          <cell r="D29">
            <v>24700</v>
          </cell>
        </row>
        <row r="30">
          <cell r="A30" t="str">
            <v>MKN-1885</v>
          </cell>
          <cell r="B30" t="str">
            <v>2,000 HP PUMP, 10,001 to 12,500 psi, operating, Additional hours</v>
          </cell>
          <cell r="C30" t="str">
            <v>HOUR</v>
          </cell>
          <cell r="D30">
            <v>6450</v>
          </cell>
        </row>
        <row r="31">
          <cell r="A31" t="str">
            <v>MKN-1886</v>
          </cell>
          <cell r="B31" t="str">
            <v>2,000 HP PUMP, 12,501 to 15,000 psi, operating, first 4 hours</v>
          </cell>
          <cell r="C31" t="str">
            <v>4 HRS</v>
          </cell>
          <cell r="D31">
            <v>29640</v>
          </cell>
        </row>
        <row r="32">
          <cell r="A32" t="str">
            <v>MKN-1887</v>
          </cell>
          <cell r="B32" t="str">
            <v>2,000 HP PUMP, 12,501 to 15,000 psi, operating, additional hours</v>
          </cell>
          <cell r="C32" t="str">
            <v>HOUR</v>
          </cell>
          <cell r="D32">
            <v>7750</v>
          </cell>
        </row>
        <row r="37">
          <cell r="A37" t="str">
            <v>MKN-1888</v>
          </cell>
          <cell r="B37" t="str">
            <v>Non-corrosive fluids</v>
          </cell>
          <cell r="C37" t="str">
            <v>GAL</v>
          </cell>
          <cell r="D37">
            <v>0.5</v>
          </cell>
        </row>
        <row r="38">
          <cell r="A38" t="str">
            <v>MKN-1889</v>
          </cell>
          <cell r="B38" t="str">
            <v>corrosive or abrasive fluids, additional</v>
          </cell>
          <cell r="C38" t="str">
            <v>GAL</v>
          </cell>
          <cell r="D38">
            <v>0.65</v>
          </cell>
        </row>
        <row r="45">
          <cell r="A45" t="str">
            <v>MKN-1890</v>
          </cell>
          <cell r="B45" t="str">
            <v>2" H.P Plug Valve , each</v>
          </cell>
          <cell r="C45" t="str">
            <v>DAY</v>
          </cell>
          <cell r="D45">
            <v>200</v>
          </cell>
        </row>
        <row r="46">
          <cell r="A46" t="str">
            <v>MKN-1891</v>
          </cell>
          <cell r="B46" t="str">
            <v>2" H.P Check Valve , each</v>
          </cell>
          <cell r="C46" t="str">
            <v>DAY</v>
          </cell>
          <cell r="D46">
            <v>200</v>
          </cell>
        </row>
        <row r="47">
          <cell r="A47" t="str">
            <v>MKN-1892</v>
          </cell>
          <cell r="B47" t="str">
            <v xml:space="preserve">2" H.P Straight Joints per foot </v>
          </cell>
          <cell r="C47" t="str">
            <v>DAY</v>
          </cell>
          <cell r="D47">
            <v>20</v>
          </cell>
        </row>
        <row r="48">
          <cell r="A48" t="str">
            <v>MKN-1893</v>
          </cell>
          <cell r="B48" t="str">
            <v>2" H.P Chicksans , each</v>
          </cell>
          <cell r="C48" t="str">
            <v>DAY</v>
          </cell>
          <cell r="D48">
            <v>150</v>
          </cell>
        </row>
        <row r="49">
          <cell r="A49" t="str">
            <v>MKN-1894</v>
          </cell>
          <cell r="B49" t="str">
            <v>2" H.P Loops , each</v>
          </cell>
          <cell r="C49" t="str">
            <v>DAY</v>
          </cell>
          <cell r="D49">
            <v>300</v>
          </cell>
        </row>
        <row r="50">
          <cell r="A50" t="str">
            <v>MKN-1895</v>
          </cell>
          <cell r="B50" t="str">
            <v>2" H.P Lateral , each</v>
          </cell>
          <cell r="C50" t="str">
            <v>DAY</v>
          </cell>
          <cell r="D50">
            <v>50</v>
          </cell>
        </row>
        <row r="51">
          <cell r="A51" t="str">
            <v>MKN-1896</v>
          </cell>
          <cell r="B51" t="str">
            <v>2" H.P Flow Tee , each</v>
          </cell>
          <cell r="C51" t="str">
            <v>DAY</v>
          </cell>
          <cell r="D51">
            <v>70</v>
          </cell>
        </row>
        <row r="52">
          <cell r="A52" t="str">
            <v>MKN-1897</v>
          </cell>
          <cell r="B52" t="str">
            <v>2" H.P Crossover , each</v>
          </cell>
          <cell r="C52" t="str">
            <v>DAY</v>
          </cell>
          <cell r="D52">
            <v>40</v>
          </cell>
        </row>
      </sheetData>
      <sheetData sheetId="17">
        <row r="6">
          <cell r="A6" t="str">
            <v>MKN-1860</v>
          </cell>
          <cell r="B6" t="str">
            <v>SERVICE SUPERVISOR FILTRATION UNIT</v>
          </cell>
          <cell r="C6" t="str">
            <v>PER DAY</v>
          </cell>
          <cell r="D6">
            <v>1000</v>
          </cell>
        </row>
        <row r="7">
          <cell r="A7" t="str">
            <v>MKN-1861</v>
          </cell>
          <cell r="B7" t="str">
            <v>HELPER</v>
          </cell>
          <cell r="C7" t="str">
            <v>PER DAY</v>
          </cell>
          <cell r="D7">
            <v>500</v>
          </cell>
        </row>
        <row r="8">
          <cell r="A8" t="str">
            <v>MKN-1862</v>
          </cell>
          <cell r="B8" t="str">
            <v>FILTRATION UNIT AND C-PUMP TRANSPORT</v>
          </cell>
          <cell r="C8" t="str">
            <v>PER DAY</v>
          </cell>
          <cell r="D8">
            <v>400</v>
          </cell>
        </row>
        <row r="9">
          <cell r="A9" t="str">
            <v>MKN-1863</v>
          </cell>
          <cell r="B9" t="str">
            <v>FRAC TANK</v>
          </cell>
          <cell r="C9" t="str">
            <v>PER JOB</v>
          </cell>
          <cell r="D9">
            <v>900</v>
          </cell>
        </row>
        <row r="10">
          <cell r="A10" t="str">
            <v>MKN-1864</v>
          </cell>
          <cell r="B10" t="str">
            <v>CENTER FUGAL PUMP</v>
          </cell>
          <cell r="C10" t="str">
            <v>PER JOB</v>
          </cell>
          <cell r="D10">
            <v>900</v>
          </cell>
        </row>
        <row r="11">
          <cell r="A11" t="str">
            <v>MKN-1865</v>
          </cell>
          <cell r="B11" t="str">
            <v>FILTRATION UNIT</v>
          </cell>
          <cell r="C11" t="str">
            <v>PER DAY</v>
          </cell>
          <cell r="D11">
            <v>300</v>
          </cell>
        </row>
        <row r="12">
          <cell r="A12" t="str">
            <v>MKN-1866</v>
          </cell>
          <cell r="B12" t="str">
            <v>FILTRATION CATRIDGES</v>
          </cell>
          <cell r="C12" t="str">
            <v>PER EACH</v>
          </cell>
          <cell r="D12">
            <v>20</v>
          </cell>
        </row>
      </sheetData>
      <sheetData sheetId="18">
        <row r="7">
          <cell r="A7" t="str">
            <v>MKN-1849</v>
          </cell>
          <cell r="B7" t="str">
            <v>STABILIZER Thru 6 1/8"</v>
          </cell>
          <cell r="C7">
            <v>534</v>
          </cell>
          <cell r="D7">
            <v>200</v>
          </cell>
          <cell r="E7">
            <v>110</v>
          </cell>
        </row>
        <row r="8">
          <cell r="A8" t="str">
            <v>MKN-1850</v>
          </cell>
          <cell r="B8" t="str">
            <v>STABILIZER Thru 8 5/8"</v>
          </cell>
          <cell r="C8">
            <v>607</v>
          </cell>
          <cell r="D8">
            <v>250</v>
          </cell>
          <cell r="E8">
            <v>122</v>
          </cell>
        </row>
        <row r="9">
          <cell r="A9" t="str">
            <v>MKN-1851</v>
          </cell>
          <cell r="B9" t="str">
            <v>STABILIZER Thru 12 1/4"</v>
          </cell>
          <cell r="C9">
            <v>662</v>
          </cell>
          <cell r="D9">
            <v>300</v>
          </cell>
          <cell r="E9">
            <v>133</v>
          </cell>
        </row>
        <row r="10">
          <cell r="A10" t="str">
            <v>MKN-1852</v>
          </cell>
          <cell r="B10" t="str">
            <v>STABILIZER Thru 17 1/2"</v>
          </cell>
          <cell r="C10">
            <v>772</v>
          </cell>
          <cell r="D10">
            <v>350</v>
          </cell>
          <cell r="E10">
            <v>166</v>
          </cell>
        </row>
        <row r="11">
          <cell r="A11" t="str">
            <v>MKN-1853</v>
          </cell>
          <cell r="B11" t="str">
            <v>HYDROLIC DRILLING JAR 4 3/4" OD &amp; UNDER</v>
          </cell>
          <cell r="C11">
            <v>1150</v>
          </cell>
          <cell r="D11">
            <v>900</v>
          </cell>
          <cell r="E11">
            <v>265</v>
          </cell>
        </row>
        <row r="12">
          <cell r="A12" t="str">
            <v>MKN-1854</v>
          </cell>
          <cell r="B12" t="str">
            <v>HYDROLIC DRILLING JAR THRU 5 3/4" OD</v>
          </cell>
          <cell r="C12">
            <v>1600</v>
          </cell>
          <cell r="D12">
            <v>1000</v>
          </cell>
          <cell r="E12">
            <v>420</v>
          </cell>
        </row>
        <row r="13">
          <cell r="A13" t="str">
            <v>MKN-1855</v>
          </cell>
          <cell r="B13" t="str">
            <v>HYDROLIC DRILLING JAR THRU 6 1/4" OD</v>
          </cell>
          <cell r="C13">
            <v>1800</v>
          </cell>
          <cell r="D13">
            <v>1200</v>
          </cell>
          <cell r="E13">
            <v>450</v>
          </cell>
        </row>
        <row r="14">
          <cell r="A14" t="str">
            <v>MKN-1856</v>
          </cell>
          <cell r="B14" t="str">
            <v>HYDROLIC DRILLING JAR THRU 7 3/4" OD</v>
          </cell>
          <cell r="C14">
            <v>2000</v>
          </cell>
          <cell r="D14">
            <v>1300</v>
          </cell>
          <cell r="E14">
            <v>520</v>
          </cell>
        </row>
        <row r="15">
          <cell r="A15" t="str">
            <v>MKN-1857</v>
          </cell>
          <cell r="B15" t="str">
            <v>CASING SCRAPER 5" &amp; 5 1/2"</v>
          </cell>
          <cell r="C15">
            <v>400</v>
          </cell>
          <cell r="D15">
            <v>200</v>
          </cell>
          <cell r="E15">
            <v>120</v>
          </cell>
        </row>
        <row r="16">
          <cell r="A16" t="str">
            <v>MKN-1858</v>
          </cell>
          <cell r="B16" t="str">
            <v>CASING SCRAPER 7"</v>
          </cell>
          <cell r="C16">
            <v>450</v>
          </cell>
          <cell r="D16">
            <v>220</v>
          </cell>
          <cell r="E16">
            <v>140</v>
          </cell>
        </row>
        <row r="17">
          <cell r="A17" t="str">
            <v>MKN-1859</v>
          </cell>
          <cell r="B17" t="str">
            <v>CASING SCRAPER 9 5/8"</v>
          </cell>
          <cell r="C17">
            <v>550</v>
          </cell>
          <cell r="D17">
            <v>250</v>
          </cell>
          <cell r="E17">
            <v>160</v>
          </cell>
        </row>
      </sheetData>
      <sheetData sheetId="19">
        <row r="15">
          <cell r="A15" t="str">
            <v>MKN-1839</v>
          </cell>
          <cell r="B15" t="str">
            <v>MECHANICAL SETTING TOOL, per run</v>
          </cell>
          <cell r="C15">
            <v>2500</v>
          </cell>
        </row>
        <row r="16">
          <cell r="A16" t="str">
            <v>MKN-1840</v>
          </cell>
          <cell r="B16" t="str">
            <v>Wire line kit for cement Retainer/Bridge plug, Per run</v>
          </cell>
          <cell r="C16">
            <v>300</v>
          </cell>
        </row>
        <row r="17">
          <cell r="A17" t="str">
            <v>MKN-1841</v>
          </cell>
          <cell r="B17" t="str">
            <v>Tubing Stinger Coupling/ (SSA), Per job</v>
          </cell>
          <cell r="C17">
            <v>600</v>
          </cell>
        </row>
        <row r="18">
          <cell r="A18" t="str">
            <v>MKN-1842</v>
          </cell>
          <cell r="B18" t="str">
            <v>Tubing Centralizer ,Per job</v>
          </cell>
          <cell r="C18">
            <v>300</v>
          </cell>
        </row>
        <row r="23">
          <cell r="A23" t="str">
            <v>MKN-1843</v>
          </cell>
          <cell r="B23" t="str">
            <v>4  1/2"</v>
          </cell>
          <cell r="C23">
            <v>3500</v>
          </cell>
        </row>
        <row r="24">
          <cell r="A24" t="str">
            <v>MKN-1844</v>
          </cell>
          <cell r="B24" t="str">
            <v>5"</v>
          </cell>
          <cell r="C24">
            <v>3560</v>
          </cell>
        </row>
        <row r="25">
          <cell r="A25" t="str">
            <v>MKN-1845</v>
          </cell>
          <cell r="B25" t="str">
            <v>5  1/2"</v>
          </cell>
          <cell r="C25">
            <v>3560</v>
          </cell>
        </row>
        <row r="26">
          <cell r="A26" t="str">
            <v>MKN-1846</v>
          </cell>
          <cell r="B26" t="str">
            <v>7"</v>
          </cell>
          <cell r="C26">
            <v>3900</v>
          </cell>
        </row>
        <row r="27">
          <cell r="A27" t="str">
            <v>MKN-1847</v>
          </cell>
          <cell r="B27" t="str">
            <v>9 5/8"</v>
          </cell>
          <cell r="C27">
            <v>5200</v>
          </cell>
        </row>
        <row r="28">
          <cell r="A28" t="str">
            <v>MKN-1848</v>
          </cell>
          <cell r="B28" t="str">
            <v>13  3/8"</v>
          </cell>
          <cell r="C28">
            <v>8200</v>
          </cell>
        </row>
      </sheetData>
      <sheetData sheetId="20">
        <row r="10">
          <cell r="A10" t="str">
            <v>MKN-1818</v>
          </cell>
          <cell r="B10" t="str">
            <v>Size thru 7" : first day</v>
          </cell>
          <cell r="C10">
            <v>2200</v>
          </cell>
        </row>
        <row r="11">
          <cell r="A11" t="str">
            <v>MKN-1819</v>
          </cell>
          <cell r="B11" t="str">
            <v>Size thru 7" : after first day</v>
          </cell>
          <cell r="C11">
            <v>850</v>
          </cell>
        </row>
        <row r="12">
          <cell r="A12" t="str">
            <v>MKN-1820</v>
          </cell>
          <cell r="B12" t="str">
            <v>Size thru 9 5/8" : first day</v>
          </cell>
          <cell r="C12">
            <v>2900</v>
          </cell>
        </row>
        <row r="13">
          <cell r="A13" t="str">
            <v>MKN-1821</v>
          </cell>
          <cell r="B13" t="str">
            <v>Size thru 9 5/8" : after first day</v>
          </cell>
          <cell r="C13">
            <v>950</v>
          </cell>
        </row>
        <row r="14">
          <cell r="A14" t="str">
            <v>MKN-1822</v>
          </cell>
          <cell r="B14" t="str">
            <v>Size 13 3/8" : first day</v>
          </cell>
          <cell r="C14">
            <v>5000</v>
          </cell>
        </row>
        <row r="15">
          <cell r="A15" t="str">
            <v>MKN-1823</v>
          </cell>
          <cell r="B15" t="str">
            <v>Size 13 3/8" : after first day</v>
          </cell>
          <cell r="C15">
            <v>1100</v>
          </cell>
        </row>
        <row r="16">
          <cell r="A16" t="str">
            <v>MKN-1824</v>
          </cell>
          <cell r="B16" t="str">
            <v>All sizes above 15,000 ft. per 100 ft. or fraction: add</v>
          </cell>
          <cell r="C16">
            <v>75</v>
          </cell>
        </row>
        <row r="17">
          <cell r="A17" t="str">
            <v>MKN-1825</v>
          </cell>
          <cell r="B17" t="str">
            <v>ADDITIONAL TIME. Each additional consecutive 8-hour or fraction</v>
          </cell>
          <cell r="C17">
            <v>1100</v>
          </cell>
        </row>
        <row r="18">
          <cell r="A18" t="str">
            <v>MKN-1826</v>
          </cell>
          <cell r="B18" t="str">
            <v>Frac sand (M.E.) 20–40 per pound</v>
          </cell>
          <cell r="C18">
            <v>3.6</v>
          </cell>
        </row>
        <row r="19">
          <cell r="A19" t="str">
            <v>MKN-1827</v>
          </cell>
          <cell r="B19" t="str">
            <v>Unsuccessful run</v>
          </cell>
          <cell r="C19">
            <v>1100</v>
          </cell>
        </row>
        <row r="27">
          <cell r="A27" t="str">
            <v>MKN-1828</v>
          </cell>
          <cell r="B27" t="str">
            <v>Size thru 7" : first day</v>
          </cell>
          <cell r="C27">
            <v>1900</v>
          </cell>
        </row>
        <row r="28">
          <cell r="A28" t="str">
            <v>MKN-1829</v>
          </cell>
          <cell r="B28" t="str">
            <v>Size thru 7" : after first day</v>
          </cell>
          <cell r="C28">
            <v>800</v>
          </cell>
        </row>
        <row r="29">
          <cell r="A29" t="str">
            <v>MKN-1830</v>
          </cell>
          <cell r="B29" t="str">
            <v>Size thru 9 5/8" : first day</v>
          </cell>
          <cell r="C29">
            <v>2700</v>
          </cell>
        </row>
        <row r="30">
          <cell r="A30" t="str">
            <v>MKN-1831</v>
          </cell>
          <cell r="B30" t="str">
            <v>Size thru 9 5/8" : after first day</v>
          </cell>
          <cell r="C30">
            <v>1000</v>
          </cell>
        </row>
        <row r="31">
          <cell r="A31" t="str">
            <v>MKN-1832</v>
          </cell>
          <cell r="B31" t="str">
            <v>Size 13 3/8" : first day</v>
          </cell>
          <cell r="C31">
            <v>4500</v>
          </cell>
        </row>
        <row r="32">
          <cell r="A32" t="str">
            <v>MKN-1833</v>
          </cell>
          <cell r="B32" t="str">
            <v>Size 13 3/8" : after first day</v>
          </cell>
          <cell r="C32">
            <v>1200</v>
          </cell>
        </row>
        <row r="33">
          <cell r="A33" t="str">
            <v>MKN-1834</v>
          </cell>
          <cell r="B33" t="str">
            <v>All sizes above 15,000 ft. per 100 ft. or fraction: add</v>
          </cell>
          <cell r="C33">
            <v>70</v>
          </cell>
        </row>
        <row r="34">
          <cell r="A34" t="str">
            <v>MKN-1835</v>
          </cell>
          <cell r="B34" t="str">
            <v>ADDITIONAL TIME. Each additional consecutive 8-hour or fraction</v>
          </cell>
          <cell r="C34">
            <v>800</v>
          </cell>
        </row>
        <row r="35">
          <cell r="A35" t="str">
            <v>MKN-1836</v>
          </cell>
          <cell r="B35" t="str">
            <v>Each reset on ADDITIONAL ZONE</v>
          </cell>
          <cell r="C35">
            <v>700</v>
          </cell>
        </row>
        <row r="36">
          <cell r="A36" t="str">
            <v>MKN-1837</v>
          </cell>
          <cell r="B36" t="str">
            <v>Unsuccessful run</v>
          </cell>
          <cell r="C36">
            <v>1300</v>
          </cell>
        </row>
        <row r="37">
          <cell r="A37" t="str">
            <v>MKN-1838</v>
          </cell>
          <cell r="B37" t="str">
            <v>Crossover subs, per sub, per job</v>
          </cell>
          <cell r="C37">
            <v>50</v>
          </cell>
        </row>
      </sheetData>
      <sheetData sheetId="21">
        <row r="11">
          <cell r="A11" t="str">
            <v>MKN-1801</v>
          </cell>
          <cell r="B11" t="str">
            <v xml:space="preserve"> Pick-up with tools traveling to wells, per KM. </v>
          </cell>
          <cell r="C11">
            <v>3.9</v>
          </cell>
        </row>
        <row r="12">
          <cell r="A12" t="str">
            <v>MKN-1802</v>
          </cell>
          <cell r="B12" t="str">
            <v xml:space="preserve"> Tool operator, per day or fraction</v>
          </cell>
          <cell r="C12">
            <v>950</v>
          </cell>
        </row>
        <row r="13">
          <cell r="A13" t="str">
            <v>MKN-1803</v>
          </cell>
          <cell r="B13" t="str">
            <v>Assistant Tool Operator, per day or fraction</v>
          </cell>
          <cell r="C13">
            <v>800</v>
          </cell>
        </row>
        <row r="14">
          <cell r="A14" t="str">
            <v>MKN-1804</v>
          </cell>
          <cell r="B14" t="str">
            <v xml:space="preserve">Supervisor or Engineer, per day or fraction </v>
          </cell>
          <cell r="C14">
            <v>1050</v>
          </cell>
        </row>
        <row r="15">
          <cell r="A15" t="str">
            <v>MKN-1805</v>
          </cell>
          <cell r="B15" t="str">
            <v>Helper, per day or fraction</v>
          </cell>
          <cell r="C15">
            <v>500</v>
          </cell>
        </row>
        <row r="16">
          <cell r="A16" t="str">
            <v>MKN-1806</v>
          </cell>
          <cell r="B16" t="str">
            <v>STAND-BY             FRIST SIX HOURS after arriving on location</v>
          </cell>
          <cell r="C16" t="str">
            <v>No charge</v>
          </cell>
        </row>
        <row r="17">
          <cell r="B17" t="str">
            <v>After the Frist Six 06) Hours, STAND-BY, PER HOUR OR FRACTION until job started per tool, until PERSONNEL CHARGES will be in addition.</v>
          </cell>
          <cell r="C17">
            <v>90</v>
          </cell>
        </row>
        <row r="18">
          <cell r="A18" t="str">
            <v>MKN-1807</v>
          </cell>
          <cell r="B18" t="str">
            <v xml:space="preserve"> JOB CANCELITION When called to location and the job is not run,</v>
          </cell>
          <cell r="C18">
            <v>1800</v>
          </cell>
        </row>
        <row r="26">
          <cell r="A26" t="str">
            <v>MKN-1808</v>
          </cell>
          <cell r="B26" t="str">
            <v>"Size thru 7</v>
          </cell>
          <cell r="C26">
            <v>2200</v>
          </cell>
        </row>
        <row r="27">
          <cell r="A27" t="str">
            <v>MKN-1809</v>
          </cell>
          <cell r="B27" t="str">
            <v>AFTER FIRST DAY size 7"</v>
          </cell>
          <cell r="C27">
            <v>800</v>
          </cell>
        </row>
        <row r="28">
          <cell r="A28" t="str">
            <v>MKN-1810</v>
          </cell>
          <cell r="B28" t="str">
            <v xml:space="preserve"> "Size thru 95/8. </v>
          </cell>
          <cell r="C28">
            <v>2900</v>
          </cell>
        </row>
        <row r="29">
          <cell r="A29" t="str">
            <v>MKN-1811</v>
          </cell>
          <cell r="B29" t="str">
            <v>AFTER FIRST DAY size 9 5/8"</v>
          </cell>
          <cell r="C29">
            <v>950</v>
          </cell>
        </row>
        <row r="30">
          <cell r="A30" t="str">
            <v>MKN-1812</v>
          </cell>
          <cell r="B30" t="str">
            <v xml:space="preserve"> "Size 13 3/8.</v>
          </cell>
          <cell r="C30">
            <v>5000</v>
          </cell>
        </row>
        <row r="31">
          <cell r="A31" t="str">
            <v>MKN-1813</v>
          </cell>
          <cell r="B31" t="str">
            <v>AFTER FIRST DAY size 13 3/8"</v>
          </cell>
          <cell r="C31">
            <v>1100</v>
          </cell>
        </row>
        <row r="32">
          <cell r="A32" t="str">
            <v>MKN-1814</v>
          </cell>
          <cell r="B32" t="str">
            <v>All sizes, above 15,000 ft. per 100 ft. or fraction add</v>
          </cell>
          <cell r="C32">
            <v>75</v>
          </cell>
        </row>
        <row r="33">
          <cell r="A33" t="str">
            <v>MKN-1815</v>
          </cell>
          <cell r="B33" t="str">
            <v>ADDITIONAL ZONE. Each ADDITIONAL ZONE on same run in well, any depth:</v>
          </cell>
          <cell r="C33">
            <v>800</v>
          </cell>
        </row>
        <row r="36">
          <cell r="A36" t="str">
            <v>MKN-1816</v>
          </cell>
          <cell r="B36" t="str">
            <v>Unsuccessful run.</v>
          </cell>
          <cell r="C36">
            <v>1100</v>
          </cell>
        </row>
        <row r="37">
          <cell r="A37" t="str">
            <v>MKN-1817</v>
          </cell>
          <cell r="B37" t="str">
            <v xml:space="preserve"> Each Reset Packer For All Sizes</v>
          </cell>
          <cell r="C37">
            <v>200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SOC Price List"/>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sheetData sheetId="1"/>
      <sheetData sheetId="2">
        <row r="7">
          <cell r="A7" t="str">
            <v>MKN-2020-01</v>
          </cell>
          <cell r="B7" t="str">
            <v>In case tools are LOST or DAMAGED. Makaman Libya will be charging Sirte Oil Company a replacement fee after deducting 10% each year as a depreciation value</v>
          </cell>
        </row>
        <row r="8">
          <cell r="A8" t="str">
            <v>MKN-2020-06</v>
          </cell>
          <cell r="B8" t="str">
            <v>Payment should be 60% in USD and 40% in LYD</v>
          </cell>
        </row>
        <row r="9">
          <cell r="A9" t="str">
            <v>MKN-2020-07</v>
          </cell>
          <cell r="B9" t="str">
            <v>Payment due within 60 days after receiving the finalized invoices</v>
          </cell>
        </row>
      </sheetData>
      <sheetData sheetId="3">
        <row r="4">
          <cell r="A4" t="str">
            <v>MKN100-581</v>
          </cell>
          <cell r="B4" t="str">
            <v>Tubing (2-3/8" to 4-1/2") W/TRI/GRIP Backup</v>
          </cell>
          <cell r="C4" t="str">
            <v>Per Job</v>
          </cell>
          <cell r="D4">
            <v>6000</v>
          </cell>
        </row>
        <row r="5">
          <cell r="A5" t="str">
            <v>MKN100-582</v>
          </cell>
          <cell r="B5" t="str">
            <v>Casing (5" to 13-3/8")</v>
          </cell>
          <cell r="C5" t="str">
            <v>Per Job</v>
          </cell>
          <cell r="D5">
            <v>6336</v>
          </cell>
        </row>
        <row r="6">
          <cell r="A6" t="str">
            <v>MKN100-583</v>
          </cell>
          <cell r="B6" t="str">
            <v>Casing (16" to 20")</v>
          </cell>
          <cell r="C6" t="str">
            <v>Per Job</v>
          </cell>
          <cell r="D6">
            <v>7128</v>
          </cell>
        </row>
        <row r="7">
          <cell r="A7" t="str">
            <v>MKN100-584</v>
          </cell>
          <cell r="B7" t="str">
            <v>Toque Control Computer &amp; Analyzer</v>
          </cell>
          <cell r="C7" t="str">
            <v>Per Job</v>
          </cell>
          <cell r="D7">
            <v>8640</v>
          </cell>
        </row>
        <row r="8">
          <cell r="A8" t="str">
            <v>MKN100-585</v>
          </cell>
          <cell r="B8" t="str">
            <v>Pickup / Lay Down Machine</v>
          </cell>
          <cell r="C8" t="str">
            <v>Per Job</v>
          </cell>
          <cell r="D8">
            <v>4224</v>
          </cell>
        </row>
        <row r="9">
          <cell r="A9" t="str">
            <v>MKN100-586</v>
          </cell>
          <cell r="B9" t="str">
            <v>Stabbing Guides (2-3/8" to 13-3/8")</v>
          </cell>
          <cell r="C9" t="str">
            <v>Per Job</v>
          </cell>
          <cell r="D9">
            <v>1652</v>
          </cell>
        </row>
        <row r="10">
          <cell r="A10" t="str">
            <v>MKN100-587</v>
          </cell>
          <cell r="B10" t="str">
            <v>Hand Slips (2-3/8" to 13-3/8")</v>
          </cell>
          <cell r="C10" t="str">
            <v>Per Job</v>
          </cell>
          <cell r="D10">
            <v>955</v>
          </cell>
        </row>
        <row r="11">
          <cell r="A11" t="str">
            <v>MKN100-588</v>
          </cell>
          <cell r="B11" t="str">
            <v>Inflatable Thread Protectors (7" to 13-3/8")</v>
          </cell>
          <cell r="C11" t="str">
            <v>Per Job</v>
          </cell>
          <cell r="D11">
            <v>1652</v>
          </cell>
        </row>
        <row r="12">
          <cell r="A12" t="str">
            <v>MKN100-589</v>
          </cell>
          <cell r="B12" t="str">
            <v>API Thread Compound 5 GL</v>
          </cell>
          <cell r="C12" t="str">
            <v>Per Job</v>
          </cell>
          <cell r="D12">
            <v>1652</v>
          </cell>
        </row>
        <row r="16">
          <cell r="A16" t="str">
            <v>MKN100-590</v>
          </cell>
          <cell r="B16" t="str">
            <v>Tubing / Singles (2-3/8" to 4-1/2")</v>
          </cell>
          <cell r="C16">
            <v>1.3</v>
          </cell>
          <cell r="D16">
            <v>1.5</v>
          </cell>
        </row>
        <row r="17">
          <cell r="A17" t="str">
            <v>MKN100-591</v>
          </cell>
          <cell r="B17" t="str">
            <v>Tubing / Triples</v>
          </cell>
          <cell r="C17">
            <v>1</v>
          </cell>
          <cell r="D17">
            <v>1.3</v>
          </cell>
        </row>
        <row r="18">
          <cell r="A18" t="str">
            <v>MKN100-592</v>
          </cell>
          <cell r="B18" t="str">
            <v>Casing (5" to 13-3/8")</v>
          </cell>
          <cell r="C18">
            <v>4</v>
          </cell>
          <cell r="D18">
            <v>4</v>
          </cell>
        </row>
        <row r="19">
          <cell r="A19" t="str">
            <v>MKN100-593</v>
          </cell>
          <cell r="B19" t="str">
            <v>Casing (16" to 20")</v>
          </cell>
          <cell r="C19">
            <v>4</v>
          </cell>
          <cell r="D19">
            <v>5.23</v>
          </cell>
        </row>
        <row r="23">
          <cell r="A23" t="str">
            <v>MKN100-596</v>
          </cell>
          <cell r="B23" t="str">
            <v>Computer Operator</v>
          </cell>
          <cell r="C23" t="str">
            <v>Per Day</v>
          </cell>
          <cell r="D23">
            <v>3600</v>
          </cell>
        </row>
        <row r="24">
          <cell r="A24" t="str">
            <v>MKN100-597</v>
          </cell>
          <cell r="B24" t="str">
            <v>Tong Operator</v>
          </cell>
          <cell r="C24" t="str">
            <v>Per Day</v>
          </cell>
          <cell r="D24">
            <v>2736</v>
          </cell>
        </row>
        <row r="25">
          <cell r="A25" t="str">
            <v>MKN100-598</v>
          </cell>
          <cell r="B25" t="str">
            <v>Tong Operator Assistance</v>
          </cell>
          <cell r="C25" t="str">
            <v>Per Day</v>
          </cell>
          <cell r="D25">
            <v>1344</v>
          </cell>
        </row>
        <row r="26">
          <cell r="A26" t="str">
            <v>MKN100-599</v>
          </cell>
          <cell r="B26" t="str">
            <v>Stabber</v>
          </cell>
          <cell r="C26" t="str">
            <v>Per Day</v>
          </cell>
          <cell r="D26">
            <v>1632</v>
          </cell>
        </row>
      </sheetData>
      <sheetData sheetId="4">
        <row r="4">
          <cell r="A4" t="str">
            <v>MKN 100-569</v>
          </cell>
          <cell r="B4" t="str">
            <v>FRICTION REDUCER</v>
          </cell>
          <cell r="C4" t="str">
            <v>USG</v>
          </cell>
          <cell r="D4">
            <v>86</v>
          </cell>
        </row>
        <row r="5">
          <cell r="A5" t="str">
            <v>MKN 100-570</v>
          </cell>
          <cell r="B5" t="str">
            <v>POLYCRYALMIDE COPOLYMER</v>
          </cell>
          <cell r="C5" t="str">
            <v>USG</v>
          </cell>
          <cell r="D5">
            <v>370</v>
          </cell>
        </row>
        <row r="6">
          <cell r="A6" t="str">
            <v>MKN 100-571</v>
          </cell>
          <cell r="B6" t="str">
            <v>POLYCRYALMIDE FRICTION REDUCER FOR ACID</v>
          </cell>
          <cell r="C6" t="str">
            <v>USG</v>
          </cell>
          <cell r="D6">
            <v>345</v>
          </cell>
        </row>
        <row r="9">
          <cell r="A9" t="str">
            <v>MKN 100-572</v>
          </cell>
          <cell r="B9" t="str">
            <v>POWDER DIVERTING AGENT</v>
          </cell>
          <cell r="C9" t="str">
            <v>LBS</v>
          </cell>
          <cell r="D9">
            <v>85</v>
          </cell>
        </row>
        <row r="10">
          <cell r="A10" t="str">
            <v>MKN 100-573</v>
          </cell>
          <cell r="B10" t="str">
            <v>LIQUID DIVERTING AGENT</v>
          </cell>
          <cell r="C10" t="str">
            <v>USG</v>
          </cell>
          <cell r="D10">
            <v>275</v>
          </cell>
        </row>
        <row r="14">
          <cell r="A14" t="str">
            <v>MKN 100-574</v>
          </cell>
          <cell r="B14" t="str">
            <v>CLAY STABILIZER</v>
          </cell>
          <cell r="C14" t="str">
            <v>Lb</v>
          </cell>
          <cell r="D14">
            <v>101</v>
          </cell>
        </row>
        <row r="15">
          <cell r="A15" t="str">
            <v>MKN 100-575</v>
          </cell>
          <cell r="B15" t="str">
            <v>POLYMRT CLAY CONTROL</v>
          </cell>
          <cell r="C15" t="str">
            <v>USG</v>
          </cell>
          <cell r="D15">
            <v>197</v>
          </cell>
        </row>
        <row r="16">
          <cell r="A16" t="str">
            <v>MKN 100-576</v>
          </cell>
          <cell r="B16" t="str">
            <v>CLAY STABILIZER</v>
          </cell>
          <cell r="C16" t="str">
            <v>USG</v>
          </cell>
          <cell r="D16">
            <v>192</v>
          </cell>
        </row>
        <row r="20">
          <cell r="A20" t="str">
            <v>MKN 100-577</v>
          </cell>
          <cell r="B20" t="str">
            <v>PARAFFIN SOLVENT PS1</v>
          </cell>
          <cell r="C20" t="str">
            <v>USG</v>
          </cell>
          <cell r="D20">
            <v>84</v>
          </cell>
        </row>
        <row r="21">
          <cell r="A21" t="str">
            <v>MKN 100-578</v>
          </cell>
          <cell r="B21" t="str">
            <v>ASPHALTENE SOLVENT</v>
          </cell>
          <cell r="C21" t="str">
            <v>USG</v>
          </cell>
          <cell r="D21">
            <v>87</v>
          </cell>
        </row>
        <row r="25">
          <cell r="A25" t="str">
            <v>MKN 100-579</v>
          </cell>
          <cell r="B25" t="str">
            <v>NON EMULSIFIER</v>
          </cell>
          <cell r="C25" t="str">
            <v>USG</v>
          </cell>
          <cell r="D25">
            <v>280</v>
          </cell>
        </row>
        <row r="26">
          <cell r="A26" t="str">
            <v>MKN 100-580</v>
          </cell>
          <cell r="B26" t="str">
            <v>ANTI SLUDGE</v>
          </cell>
          <cell r="C26" t="str">
            <v>USG</v>
          </cell>
          <cell r="D26">
            <v>270</v>
          </cell>
        </row>
      </sheetData>
      <sheetData sheetId="5">
        <row r="3">
          <cell r="A3" t="str">
            <v>MKN 100-554</v>
          </cell>
          <cell r="B3" t="str">
            <v>HYDROXYPROPYL GUAR</v>
          </cell>
          <cell r="C3" t="str">
            <v>LBS</v>
          </cell>
          <cell r="D3">
            <v>58</v>
          </cell>
        </row>
        <row r="4">
          <cell r="A4" t="str">
            <v>MKN 100-555</v>
          </cell>
          <cell r="B4" t="str">
            <v>HYDROXYCELLOUSE</v>
          </cell>
          <cell r="C4" t="str">
            <v>LBS</v>
          </cell>
          <cell r="D4">
            <v>60</v>
          </cell>
        </row>
        <row r="5">
          <cell r="A5" t="str">
            <v>MKN 100-556</v>
          </cell>
          <cell r="B5" t="str">
            <v>XANTHIN GEL SALVESTO</v>
          </cell>
          <cell r="C5" t="str">
            <v>LBS</v>
          </cell>
          <cell r="D5">
            <v>72</v>
          </cell>
        </row>
        <row r="6">
          <cell r="A6" t="str">
            <v>MKN 100-557</v>
          </cell>
          <cell r="B6" t="str">
            <v>HYDROXYPROPYL GUAR WITH BUFFERS</v>
          </cell>
          <cell r="C6" t="str">
            <v>LBS</v>
          </cell>
          <cell r="D6">
            <v>111</v>
          </cell>
        </row>
        <row r="7">
          <cell r="A7" t="str">
            <v>MKN 100-558</v>
          </cell>
          <cell r="B7" t="str">
            <v>POLYCRYLMIDE GELLING AGENT</v>
          </cell>
          <cell r="C7" t="str">
            <v>LBS</v>
          </cell>
          <cell r="D7">
            <v>82</v>
          </cell>
        </row>
        <row r="8">
          <cell r="A8" t="str">
            <v>MKN 100-559</v>
          </cell>
          <cell r="B8" t="str">
            <v>CROSS-LINKER FOR OIL GELLANT</v>
          </cell>
          <cell r="C8" t="str">
            <v>USG</v>
          </cell>
          <cell r="D8">
            <v>264</v>
          </cell>
        </row>
        <row r="9">
          <cell r="A9" t="str">
            <v>MKN 100-560</v>
          </cell>
          <cell r="B9" t="str">
            <v>PHOSPHATE ESTER GELLING AGENT</v>
          </cell>
          <cell r="C9" t="str">
            <v>USG</v>
          </cell>
          <cell r="D9">
            <v>216</v>
          </cell>
        </row>
        <row r="13">
          <cell r="A13" t="str">
            <v>MKN 100-561</v>
          </cell>
          <cell r="B13" t="str">
            <v>CORROSION INHIBITOR MT</v>
          </cell>
          <cell r="C13" t="str">
            <v>USG</v>
          </cell>
          <cell r="D13">
            <v>317</v>
          </cell>
        </row>
        <row r="14">
          <cell r="A14" t="str">
            <v>MKN 100-562</v>
          </cell>
          <cell r="B14" t="str">
            <v>CORROSION INHIBITOR HT</v>
          </cell>
          <cell r="C14" t="str">
            <v>USG</v>
          </cell>
          <cell r="D14">
            <v>312</v>
          </cell>
        </row>
        <row r="18">
          <cell r="A18" t="str">
            <v>MKN 100-563</v>
          </cell>
          <cell r="B18" t="str">
            <v>INHIBITOR INTENSIFIER</v>
          </cell>
          <cell r="C18" t="str">
            <v>USG</v>
          </cell>
          <cell r="D18">
            <v>221</v>
          </cell>
        </row>
        <row r="19">
          <cell r="A19" t="str">
            <v>MKN 100-564</v>
          </cell>
          <cell r="B19" t="str">
            <v>INHIBITOR INTENSIFIER</v>
          </cell>
          <cell r="C19" t="str">
            <v>LBS</v>
          </cell>
          <cell r="D19">
            <v>221</v>
          </cell>
        </row>
        <row r="23">
          <cell r="A23" t="str">
            <v>MKN 100-565</v>
          </cell>
          <cell r="B23" t="str">
            <v>SURFACTANT</v>
          </cell>
          <cell r="C23" t="str">
            <v>USG</v>
          </cell>
          <cell r="D23">
            <v>216</v>
          </cell>
        </row>
        <row r="27">
          <cell r="A27" t="str">
            <v>MKN 100-566</v>
          </cell>
          <cell r="B27" t="str">
            <v>OIL SOLUBLE RESIN LIQUID</v>
          </cell>
          <cell r="C27" t="str">
            <v>USG</v>
          </cell>
          <cell r="D27">
            <v>176</v>
          </cell>
        </row>
        <row r="28">
          <cell r="A28" t="str">
            <v>MKN 100-567</v>
          </cell>
          <cell r="B28" t="str">
            <v>OIL SOLUBLE RESIN/NATURAL GUM MIXTURE</v>
          </cell>
          <cell r="C28" t="str">
            <v>LBS</v>
          </cell>
          <cell r="D28">
            <v>29</v>
          </cell>
        </row>
        <row r="29">
          <cell r="A29" t="str">
            <v>MKN 100-568</v>
          </cell>
          <cell r="B29" t="str">
            <v>PARTICULATE FLUID LOSS</v>
          </cell>
          <cell r="C29" t="str">
            <v>LBS</v>
          </cell>
          <cell r="D29">
            <v>96</v>
          </cell>
        </row>
      </sheetData>
      <sheetData sheetId="6">
        <row r="7">
          <cell r="A7" t="str">
            <v>MKN 100-482</v>
          </cell>
          <cell r="B7" t="str">
            <v>103A, Gialo, Nafoora, Amal</v>
          </cell>
          <cell r="C7" t="str">
            <v>per cubic foot</v>
          </cell>
          <cell r="D7">
            <v>135</v>
          </cell>
        </row>
        <row r="8">
          <cell r="A8" t="str">
            <v>MKN 100-483</v>
          </cell>
          <cell r="B8" t="str">
            <v>Waha, Samah, Sarir, Zelten, Tibesti, beda</v>
          </cell>
          <cell r="C8" t="str">
            <v>per cubic foot</v>
          </cell>
          <cell r="D8">
            <v>140</v>
          </cell>
        </row>
        <row r="9">
          <cell r="A9" t="str">
            <v>MKN 100-484</v>
          </cell>
          <cell r="B9" t="str">
            <v>Zella</v>
          </cell>
          <cell r="C9" t="str">
            <v>per cubic foot</v>
          </cell>
          <cell r="D9">
            <v>144</v>
          </cell>
        </row>
        <row r="10">
          <cell r="A10" t="str">
            <v>MKN 100-485</v>
          </cell>
          <cell r="B10" t="str">
            <v>Dahra</v>
          </cell>
          <cell r="C10" t="str">
            <v>per cubic foot</v>
          </cell>
          <cell r="D10">
            <v>135</v>
          </cell>
        </row>
        <row r="11">
          <cell r="A11" t="str">
            <v>MKN 100-486</v>
          </cell>
          <cell r="B11" t="str">
            <v>Hamada</v>
          </cell>
          <cell r="C11" t="str">
            <v>per cubic foot</v>
          </cell>
          <cell r="D11">
            <v>197</v>
          </cell>
        </row>
        <row r="16">
          <cell r="A16" t="str">
            <v>MKN 100-487</v>
          </cell>
          <cell r="B16" t="str">
            <v>LightWight high CS Cement 10 - 12.5 ppg</v>
          </cell>
          <cell r="C16" t="str">
            <v>per cubic foot</v>
          </cell>
          <cell r="D16">
            <v>150</v>
          </cell>
        </row>
        <row r="17">
          <cell r="A17" t="str">
            <v>MKN 100-488</v>
          </cell>
          <cell r="B17" t="str">
            <v>Heavywight high CS Cement 17 - 22 ppg</v>
          </cell>
          <cell r="C17" t="str">
            <v>per cubic foot</v>
          </cell>
          <cell r="D17">
            <v>165</v>
          </cell>
        </row>
        <row r="18">
          <cell r="A18" t="str">
            <v>MKN 100-489</v>
          </cell>
          <cell r="B18" t="str">
            <v>Microfine Cement - Squeeze Cement</v>
          </cell>
          <cell r="C18" t="str">
            <v>per cubic foot</v>
          </cell>
          <cell r="D18">
            <v>150</v>
          </cell>
        </row>
        <row r="23">
          <cell r="A23" t="str">
            <v>MKN 100-490</v>
          </cell>
          <cell r="B23" t="str">
            <v>Powder Accelerator</v>
          </cell>
          <cell r="C23" t="str">
            <v>LBS</v>
          </cell>
          <cell r="D23">
            <v>7</v>
          </cell>
        </row>
        <row r="24">
          <cell r="A24" t="str">
            <v>MKN 100-491</v>
          </cell>
          <cell r="B24" t="str">
            <v>Liquid Accelerator</v>
          </cell>
          <cell r="C24" t="str">
            <v>GAL</v>
          </cell>
          <cell r="D24">
            <v>70</v>
          </cell>
        </row>
        <row r="28">
          <cell r="A28" t="str">
            <v>MKN 100-492</v>
          </cell>
          <cell r="B28" t="str">
            <v>LOW TEMPERATURE FLUID LOSS - POWDER</v>
          </cell>
          <cell r="C28" t="str">
            <v>LBS</v>
          </cell>
          <cell r="D28">
            <v>55</v>
          </cell>
        </row>
        <row r="29">
          <cell r="A29" t="str">
            <v>MKN 100-493</v>
          </cell>
          <cell r="B29" t="str">
            <v>LOW TEMPERATURE FLUID LOSS - LIQUID</v>
          </cell>
          <cell r="C29" t="str">
            <v>GAL</v>
          </cell>
          <cell r="D29">
            <v>53</v>
          </cell>
        </row>
        <row r="30">
          <cell r="A30" t="str">
            <v>MKN 100-494</v>
          </cell>
          <cell r="B30" t="str">
            <v>WIDE RANGE FLUID LOSS - POWDER</v>
          </cell>
          <cell r="C30" t="str">
            <v>LBS</v>
          </cell>
          <cell r="D30">
            <v>66</v>
          </cell>
        </row>
        <row r="31">
          <cell r="A31" t="str">
            <v>MKN 100-495</v>
          </cell>
          <cell r="B31" t="str">
            <v>WIDE RANGE FLUID LOSS - LIQUID</v>
          </cell>
          <cell r="C31" t="str">
            <v>GAL</v>
          </cell>
          <cell r="D31">
            <v>73</v>
          </cell>
        </row>
        <row r="34">
          <cell r="A34" t="str">
            <v>MKN 100-496</v>
          </cell>
          <cell r="B34" t="str">
            <v>DISPERSANT - POWDER</v>
          </cell>
          <cell r="C34" t="str">
            <v>LBS</v>
          </cell>
          <cell r="D34">
            <v>72</v>
          </cell>
        </row>
        <row r="35">
          <cell r="A35" t="str">
            <v>MKN 100-497</v>
          </cell>
          <cell r="B35" t="str">
            <v>DISPERSANT - LIQUID</v>
          </cell>
          <cell r="C35" t="str">
            <v>GAL</v>
          </cell>
          <cell r="D35">
            <v>192</v>
          </cell>
        </row>
      </sheetData>
      <sheetData sheetId="7">
        <row r="3">
          <cell r="A3" t="str">
            <v>MKN 100-229</v>
          </cell>
          <cell r="B3" t="str">
            <v>Flat bottom Mill all size</v>
          </cell>
          <cell r="D3">
            <v>750</v>
          </cell>
        </row>
        <row r="4">
          <cell r="A4" t="str">
            <v>MKN 100-230</v>
          </cell>
          <cell r="B4" t="str">
            <v>Refill flat bottom mill all size</v>
          </cell>
          <cell r="D4">
            <v>1200</v>
          </cell>
        </row>
        <row r="8">
          <cell r="A8" t="str">
            <v>MKN 100-234</v>
          </cell>
          <cell r="B8" t="str">
            <v>Jar intensifier all size per day</v>
          </cell>
          <cell r="C8" t="str">
            <v>Per day</v>
          </cell>
          <cell r="D8">
            <v>2800</v>
          </cell>
        </row>
        <row r="9">
          <cell r="A9" t="str">
            <v>MKN 100-235</v>
          </cell>
          <cell r="B9" t="str">
            <v>Releasing spear thru 7"</v>
          </cell>
          <cell r="C9" t="str">
            <v>Per run</v>
          </cell>
          <cell r="D9">
            <v>1300</v>
          </cell>
        </row>
        <row r="10">
          <cell r="A10" t="str">
            <v>MKN 100-236</v>
          </cell>
          <cell r="B10" t="str">
            <v>Releasing Spear thru 9 5/8"</v>
          </cell>
          <cell r="C10" t="str">
            <v>Per run</v>
          </cell>
          <cell r="D10">
            <v>1500</v>
          </cell>
        </row>
        <row r="11">
          <cell r="A11" t="str">
            <v>MKN 100-237</v>
          </cell>
          <cell r="B11" t="str">
            <v>Taper mill for thru 7"</v>
          </cell>
          <cell r="C11" t="str">
            <v>Per day</v>
          </cell>
          <cell r="D11">
            <v>850</v>
          </cell>
        </row>
        <row r="12">
          <cell r="A12" t="str">
            <v>MKN 100-238</v>
          </cell>
          <cell r="B12" t="str">
            <v>Taper mill thru 9 5/8"</v>
          </cell>
          <cell r="C12" t="str">
            <v>Per day</v>
          </cell>
          <cell r="D12">
            <v>950</v>
          </cell>
        </row>
        <row r="13">
          <cell r="A13" t="str">
            <v>MKN 100-239</v>
          </cell>
          <cell r="B13" t="str">
            <v>Refill taper mill for all size</v>
          </cell>
          <cell r="C13" t="str">
            <v>Per job</v>
          </cell>
          <cell r="D13">
            <v>1500</v>
          </cell>
        </row>
        <row r="17">
          <cell r="A17" t="str">
            <v>MKN 100-246</v>
          </cell>
          <cell r="B17" t="str">
            <v>Petroleum Engineers</v>
          </cell>
          <cell r="C17" t="str">
            <v>Per Day</v>
          </cell>
          <cell r="D17">
            <v>4100</v>
          </cell>
        </row>
        <row r="18">
          <cell r="A18" t="str">
            <v>MKN 100-247</v>
          </cell>
          <cell r="B18" t="str">
            <v>Reservoir Engineers</v>
          </cell>
          <cell r="C18" t="str">
            <v>Per Day</v>
          </cell>
          <cell r="D18">
            <v>4100</v>
          </cell>
        </row>
        <row r="19">
          <cell r="A19" t="str">
            <v>MKN 100–252</v>
          </cell>
          <cell r="B19" t="str">
            <v>Company Man</v>
          </cell>
          <cell r="C19" t="str">
            <v>Per Day</v>
          </cell>
          <cell r="D19">
            <v>5050</v>
          </cell>
        </row>
        <row r="25">
          <cell r="A25" t="str">
            <v>MKN 100-268</v>
          </cell>
          <cell r="B25" t="str">
            <v>12 1/4" OD</v>
          </cell>
          <cell r="C25">
            <v>1900</v>
          </cell>
          <cell r="D25">
            <v>400</v>
          </cell>
        </row>
        <row r="26">
          <cell r="A26" t="str">
            <v>MKN 100-269</v>
          </cell>
          <cell r="B26" t="str">
            <v>17 1/2" OD</v>
          </cell>
          <cell r="C26">
            <v>2700</v>
          </cell>
          <cell r="D26">
            <v>400</v>
          </cell>
        </row>
        <row r="27">
          <cell r="A27" t="str">
            <v>MKN 100-270</v>
          </cell>
          <cell r="B27" t="str">
            <v>26" OD</v>
          </cell>
          <cell r="C27">
            <v>3900</v>
          </cell>
          <cell r="D27">
            <v>400</v>
          </cell>
        </row>
        <row r="28">
          <cell r="A28" t="str">
            <v>MKN 100-271</v>
          </cell>
          <cell r="B28" t="str">
            <v>36" OD</v>
          </cell>
          <cell r="C28">
            <v>4000</v>
          </cell>
          <cell r="D28">
            <v>400</v>
          </cell>
        </row>
      </sheetData>
      <sheetData sheetId="8">
        <row r="3">
          <cell r="A3" t="str">
            <v>MKN 100-203</v>
          </cell>
          <cell r="B3" t="str">
            <v>Redress charge for fishing jar thru 6 ½" OD</v>
          </cell>
          <cell r="C3" t="str">
            <v>Per run</v>
          </cell>
          <cell r="D3">
            <v>3000</v>
          </cell>
        </row>
        <row r="4">
          <cell r="A4" t="str">
            <v>MKN 100-204</v>
          </cell>
          <cell r="B4" t="str">
            <v>Redress charge for fishing jar thru 8 ¾" OD</v>
          </cell>
          <cell r="C4" t="str">
            <v>Per run</v>
          </cell>
          <cell r="D4">
            <v>3500</v>
          </cell>
        </row>
        <row r="5">
          <cell r="A5" t="str">
            <v>MKN 100-205</v>
          </cell>
          <cell r="B5" t="str">
            <v>Redress charge for bumper sub thru 6 ¼" OD</v>
          </cell>
          <cell r="C5" t="str">
            <v>Per run</v>
          </cell>
          <cell r="D5">
            <v>2000</v>
          </cell>
        </row>
        <row r="6">
          <cell r="A6" t="str">
            <v>MKN 100-206</v>
          </cell>
          <cell r="B6" t="str">
            <v>Redress charge for bumper sub thru 8 ¾" OD</v>
          </cell>
          <cell r="C6" t="str">
            <v>Per run</v>
          </cell>
          <cell r="D6">
            <v>2500</v>
          </cell>
        </row>
        <row r="9">
          <cell r="A9" t="str">
            <v>MKN 100-207</v>
          </cell>
          <cell r="B9" t="str">
            <v>Refill impression block thru 8" OD</v>
          </cell>
          <cell r="C9" t="str">
            <v>Per run</v>
          </cell>
          <cell r="D9">
            <v>3500</v>
          </cell>
        </row>
        <row r="10">
          <cell r="A10" t="str">
            <v>MKN 100-208</v>
          </cell>
          <cell r="B10" t="str">
            <v>Refill impression block thru 13 3/8" OD</v>
          </cell>
          <cell r="C10" t="str">
            <v>Per run</v>
          </cell>
          <cell r="D10">
            <v>3900</v>
          </cell>
        </row>
        <row r="11">
          <cell r="A11" t="str">
            <v>MKN 100-209</v>
          </cell>
          <cell r="B11" t="str">
            <v>Redress junk basket with tungsten carbide thru 8 ¾" OD</v>
          </cell>
          <cell r="C11" t="str">
            <v>Per run</v>
          </cell>
          <cell r="D11">
            <v>2700</v>
          </cell>
        </row>
        <row r="12">
          <cell r="A12" t="str">
            <v>MKN 100-210</v>
          </cell>
          <cell r="B12" t="str">
            <v>Redress junk basket with tungsten carbide thru 13 3/8" OD</v>
          </cell>
          <cell r="C12" t="str">
            <v>Per run</v>
          </cell>
          <cell r="D12">
            <v>3300</v>
          </cell>
        </row>
        <row r="13">
          <cell r="A13" t="str">
            <v>MKN 100-211</v>
          </cell>
          <cell r="B13" t="str">
            <v>Redress charge for washover pipe all sizes</v>
          </cell>
          <cell r="C13" t="str">
            <v>.....</v>
          </cell>
          <cell r="D13">
            <v>7000</v>
          </cell>
        </row>
        <row r="16">
          <cell r="A16" t="str">
            <v>MKN 100-212</v>
          </cell>
          <cell r="B16" t="str">
            <v>Skirted mill thru 8 ¾" OD</v>
          </cell>
          <cell r="C16" t="str">
            <v>Per day</v>
          </cell>
          <cell r="D16">
            <v>4000</v>
          </cell>
        </row>
        <row r="17">
          <cell r="A17" t="str">
            <v>MKN 100-213</v>
          </cell>
          <cell r="B17" t="str">
            <v>Skirted mill thru 13 3/8" OD</v>
          </cell>
          <cell r="C17" t="str">
            <v>Per day</v>
          </cell>
          <cell r="D17">
            <v>4800</v>
          </cell>
        </row>
        <row r="18">
          <cell r="A18" t="str">
            <v>MKN 100-214</v>
          </cell>
          <cell r="B18" t="str">
            <v>Refill washover pipe dressed with crushed carbide for skirted mill all sizes</v>
          </cell>
          <cell r="C18" t="str">
            <v>Per run</v>
          </cell>
          <cell r="D18">
            <v>3000</v>
          </cell>
        </row>
        <row r="19">
          <cell r="A19" t="str">
            <v>MKN 100-215</v>
          </cell>
          <cell r="B19" t="str">
            <v>Refill junk mill with crushed carbide for skirted mill all sizes</v>
          </cell>
          <cell r="C19" t="str">
            <v>Per run</v>
          </cell>
          <cell r="D19">
            <v>3500</v>
          </cell>
        </row>
        <row r="22">
          <cell r="A22" t="str">
            <v>MKN 100-216</v>
          </cell>
          <cell r="B22" t="str">
            <v>Cable spear thru 8 ½" OD</v>
          </cell>
          <cell r="C22" t="str">
            <v>Per run</v>
          </cell>
          <cell r="D22">
            <v>2900</v>
          </cell>
        </row>
        <row r="23">
          <cell r="A23" t="str">
            <v>MKN 100-217</v>
          </cell>
          <cell r="B23" t="str">
            <v>Cable spear thru 13 3/8" OD</v>
          </cell>
          <cell r="C23" t="str">
            <v>Per run</v>
          </cell>
          <cell r="D23">
            <v>3500</v>
          </cell>
        </row>
        <row r="24">
          <cell r="A24" t="str">
            <v>MKN 100-218</v>
          </cell>
          <cell r="B24" t="str">
            <v>Redress kit overshot wide range for all sizes</v>
          </cell>
          <cell r="D24">
            <v>5050</v>
          </cell>
        </row>
        <row r="25">
          <cell r="A25" t="str">
            <v>MKN 100-219</v>
          </cell>
          <cell r="B25" t="str">
            <v>Inspection charge for all tools</v>
          </cell>
          <cell r="C25" t="str">
            <v>Per tool</v>
          </cell>
        </row>
        <row r="28">
          <cell r="A28" t="str">
            <v>MKN 100-220</v>
          </cell>
          <cell r="B28" t="str">
            <v>Bailer or sand pump all sizes</v>
          </cell>
          <cell r="C28" t="str">
            <v>Per day</v>
          </cell>
          <cell r="D28">
            <v>1800</v>
          </cell>
          <cell r="E28">
            <v>450</v>
          </cell>
        </row>
        <row r="29">
          <cell r="A29" t="str">
            <v>MKN 100-221</v>
          </cell>
          <cell r="B29" t="str">
            <v>Bailer or sand pump redress charge will be 30% from first day charge</v>
          </cell>
          <cell r="C29" t="str">
            <v>30% F.Day</v>
          </cell>
        </row>
        <row r="30">
          <cell r="A30" t="str">
            <v>MKN 100-222</v>
          </cell>
          <cell r="B30" t="str">
            <v>Safety clamps all sizes</v>
          </cell>
          <cell r="C30" t="str">
            <v>Per run</v>
          </cell>
          <cell r="D30">
            <v>105</v>
          </cell>
        </row>
        <row r="31">
          <cell r="A31" t="str">
            <v>MKN 100-223</v>
          </cell>
          <cell r="B31" t="str">
            <v>Elevators charge all sizes</v>
          </cell>
          <cell r="C31" t="str">
            <v>Per day</v>
          </cell>
          <cell r="D31">
            <v>125</v>
          </cell>
        </row>
        <row r="32">
          <cell r="A32" t="str">
            <v>MKN 100-224</v>
          </cell>
          <cell r="B32" t="str">
            <v>Safety joint charge all sizes</v>
          </cell>
          <cell r="C32" t="str">
            <v>Per run</v>
          </cell>
          <cell r="D32">
            <v>3700</v>
          </cell>
        </row>
        <row r="33">
          <cell r="A33" t="str">
            <v>MKN 100-225</v>
          </cell>
          <cell r="B33" t="str">
            <v>workshop redressing technician rate(minimum 2 days)</v>
          </cell>
          <cell r="C33" t="str">
            <v>Per day</v>
          </cell>
          <cell r="D33">
            <v>1850</v>
          </cell>
        </row>
        <row r="36">
          <cell r="A36" t="str">
            <v>MKN 100-226</v>
          </cell>
          <cell r="B36" t="str">
            <v>Thru 4 ½" OD</v>
          </cell>
          <cell r="C36" t="str">
            <v>Per run</v>
          </cell>
          <cell r="D36">
            <v>1350</v>
          </cell>
        </row>
        <row r="37">
          <cell r="A37" t="str">
            <v>MKN 100-227</v>
          </cell>
          <cell r="B37" t="str">
            <v>Thru 9 ½" OD</v>
          </cell>
          <cell r="C37" t="str">
            <v>Per run</v>
          </cell>
          <cell r="D37">
            <v>1850</v>
          </cell>
        </row>
        <row r="38">
          <cell r="A38" t="str">
            <v>MKN 100-228</v>
          </cell>
          <cell r="B38" t="str">
            <v>All drappels and sonstry for all sizes charged 35% from overshot F.Day charge</v>
          </cell>
          <cell r="C38" t="str">
            <v>35% F.Day</v>
          </cell>
        </row>
      </sheetData>
      <sheetData sheetId="9">
        <row r="6">
          <cell r="A6" t="str">
            <v>MKN 100-0172</v>
          </cell>
          <cell r="B6" t="str">
            <v>4 1/2" CONN.</v>
          </cell>
          <cell r="C6" t="str">
            <v>LYD / Day</v>
          </cell>
          <cell r="D6">
            <v>300</v>
          </cell>
          <cell r="E6">
            <v>65</v>
          </cell>
        </row>
        <row r="7">
          <cell r="A7" t="str">
            <v>MKN 100-0173</v>
          </cell>
          <cell r="B7" t="str">
            <v>6 5/8" CONN.</v>
          </cell>
          <cell r="C7" t="str">
            <v>LYD / Day</v>
          </cell>
          <cell r="D7">
            <v>400</v>
          </cell>
          <cell r="E7">
            <v>85</v>
          </cell>
        </row>
        <row r="11">
          <cell r="A11" t="str">
            <v>MKN 100-0174</v>
          </cell>
          <cell r="B11" t="str">
            <v>2-7/8" Connection size</v>
          </cell>
          <cell r="C11" t="str">
            <v>Per Day</v>
          </cell>
          <cell r="D11">
            <v>300</v>
          </cell>
        </row>
        <row r="12">
          <cell r="A12" t="str">
            <v>MKN 100-0175</v>
          </cell>
          <cell r="B12" t="str">
            <v>4-1/2" Connection size</v>
          </cell>
          <cell r="C12" t="str">
            <v>Per Day</v>
          </cell>
          <cell r="D12">
            <v>550</v>
          </cell>
        </row>
        <row r="13">
          <cell r="A13" t="str">
            <v>MKN 100-0176</v>
          </cell>
          <cell r="B13" t="str">
            <v>6 5/8" Connection size</v>
          </cell>
          <cell r="C13" t="str">
            <v>Per Day</v>
          </cell>
          <cell r="D13">
            <v>1310</v>
          </cell>
        </row>
        <row r="14">
          <cell r="A14" t="str">
            <v>MKN 100-0177</v>
          </cell>
          <cell r="B14" t="str">
            <v>7 5/8" Connection size</v>
          </cell>
          <cell r="C14" t="str">
            <v>Per Day</v>
          </cell>
          <cell r="D14">
            <v>1350</v>
          </cell>
        </row>
        <row r="15">
          <cell r="A15" t="str">
            <v>MKN 100-0178</v>
          </cell>
          <cell r="B15" t="str">
            <v>8 5/8" Connection size</v>
          </cell>
          <cell r="C15" t="str">
            <v>Per Day</v>
          </cell>
          <cell r="D15">
            <v>1950</v>
          </cell>
        </row>
        <row r="18">
          <cell r="A18" t="str">
            <v>MKN 100-0179</v>
          </cell>
          <cell r="B18" t="str">
            <v>Thru 7-3/8"OD</v>
          </cell>
          <cell r="C18" t="str">
            <v>Per Job</v>
          </cell>
          <cell r="D18">
            <v>200</v>
          </cell>
        </row>
        <row r="19">
          <cell r="A19" t="str">
            <v>MKN 100-0180</v>
          </cell>
          <cell r="B19" t="str">
            <v>Thru 13-3/8"OD</v>
          </cell>
          <cell r="C19" t="str">
            <v>Per Job</v>
          </cell>
          <cell r="D19">
            <v>300</v>
          </cell>
        </row>
        <row r="20">
          <cell r="A20" t="str">
            <v>MKN 100-0181</v>
          </cell>
          <cell r="B20" t="str">
            <v>Thru 18"OD</v>
          </cell>
          <cell r="C20" t="str">
            <v>Per Job</v>
          </cell>
          <cell r="D20">
            <v>360</v>
          </cell>
        </row>
        <row r="26">
          <cell r="A26" t="str">
            <v>MKN 100-0182</v>
          </cell>
          <cell r="B26" t="str">
            <v>Sucker Rod CONN.</v>
          </cell>
          <cell r="C26" t="str">
            <v>LYD / Day</v>
          </cell>
          <cell r="D26">
            <v>80</v>
          </cell>
          <cell r="E26">
            <v>25</v>
          </cell>
        </row>
        <row r="27">
          <cell r="A27" t="str">
            <v>MKN 100-0183</v>
          </cell>
          <cell r="B27" t="str">
            <v>2 7/8" CONN.</v>
          </cell>
          <cell r="C27" t="str">
            <v>LYD / Day</v>
          </cell>
          <cell r="D27">
            <v>150</v>
          </cell>
          <cell r="E27">
            <v>57</v>
          </cell>
        </row>
        <row r="28">
          <cell r="A28" t="str">
            <v>MKN 100-0184</v>
          </cell>
          <cell r="B28" t="str">
            <v>3 1/2" CONN.</v>
          </cell>
          <cell r="C28" t="str">
            <v>LYD / Day</v>
          </cell>
          <cell r="D28">
            <v>150</v>
          </cell>
          <cell r="E28">
            <v>57</v>
          </cell>
        </row>
        <row r="29">
          <cell r="A29" t="str">
            <v>MKN 100-0185</v>
          </cell>
          <cell r="B29" t="str">
            <v>4 1/2" CONN.</v>
          </cell>
          <cell r="C29" t="str">
            <v>LYD / Day</v>
          </cell>
          <cell r="D29">
            <v>180</v>
          </cell>
          <cell r="E29">
            <v>75</v>
          </cell>
        </row>
        <row r="30">
          <cell r="A30" t="str">
            <v>MKN 100-0186</v>
          </cell>
          <cell r="B30" t="str">
            <v>6 5/8" CONN.</v>
          </cell>
          <cell r="C30" t="str">
            <v>LYD / Day</v>
          </cell>
          <cell r="D30">
            <v>350</v>
          </cell>
          <cell r="E30">
            <v>90</v>
          </cell>
        </row>
        <row r="31">
          <cell r="A31" t="str">
            <v>MKN 100-0187</v>
          </cell>
          <cell r="B31" t="str">
            <v>7 5/8" CONN.</v>
          </cell>
          <cell r="C31" t="str">
            <v>LYD / Day</v>
          </cell>
          <cell r="D31">
            <v>350</v>
          </cell>
          <cell r="E31">
            <v>90</v>
          </cell>
        </row>
        <row r="35">
          <cell r="A35" t="str">
            <v>MKN 100-0194</v>
          </cell>
          <cell r="B35" t="str">
            <v>All Sizes</v>
          </cell>
          <cell r="C35" t="str">
            <v>Per Run</v>
          </cell>
          <cell r="D35">
            <v>430</v>
          </cell>
        </row>
        <row r="37">
          <cell r="A37" t="str">
            <v>MKN 100-0195</v>
          </cell>
          <cell r="B37" t="str">
            <v>Thru 2 1/2" OD</v>
          </cell>
          <cell r="C37" t="str">
            <v>Per Run</v>
          </cell>
          <cell r="D37">
            <v>380</v>
          </cell>
        </row>
        <row r="38">
          <cell r="A38" t="str">
            <v>MKN 100-0196</v>
          </cell>
          <cell r="B38" t="str">
            <v>Thru 3 3/4" OD</v>
          </cell>
          <cell r="C38" t="str">
            <v>Per Run</v>
          </cell>
          <cell r="D38">
            <v>570</v>
          </cell>
        </row>
        <row r="39">
          <cell r="A39" t="str">
            <v>MKN 100-0197</v>
          </cell>
          <cell r="B39" t="str">
            <v>Thru 4 3/4" OD</v>
          </cell>
          <cell r="C39" t="str">
            <v>Per Run</v>
          </cell>
          <cell r="D39">
            <v>800</v>
          </cell>
        </row>
        <row r="40">
          <cell r="A40" t="str">
            <v>MKN 100-0198</v>
          </cell>
          <cell r="B40" t="str">
            <v>Thru 5 3/4" OD</v>
          </cell>
          <cell r="C40" t="str">
            <v>Per Run</v>
          </cell>
          <cell r="D40">
            <v>950</v>
          </cell>
        </row>
        <row r="41">
          <cell r="A41" t="str">
            <v>MKN 100-0199</v>
          </cell>
          <cell r="B41" t="str">
            <v>Thru 6 3/4" OD</v>
          </cell>
          <cell r="C41" t="str">
            <v>Per Run</v>
          </cell>
          <cell r="D41">
            <v>1200</v>
          </cell>
        </row>
        <row r="42">
          <cell r="A42" t="str">
            <v>MKN 100-0200</v>
          </cell>
          <cell r="B42" t="str">
            <v>Thru 7 5/8" OD</v>
          </cell>
          <cell r="C42" t="str">
            <v>Per Run</v>
          </cell>
          <cell r="D42">
            <v>1700</v>
          </cell>
        </row>
        <row r="43">
          <cell r="A43" t="str">
            <v>MKN 100-0201</v>
          </cell>
          <cell r="B43" t="str">
            <v>Thru 9 5/8" OD</v>
          </cell>
          <cell r="C43" t="str">
            <v>Per Run</v>
          </cell>
          <cell r="D43">
            <v>2000</v>
          </cell>
        </row>
        <row r="44">
          <cell r="A44" t="str">
            <v>MKN 100-0202</v>
          </cell>
          <cell r="B44" t="str">
            <v>Thru 10 3/4" OD</v>
          </cell>
          <cell r="C44" t="str">
            <v>Per Run</v>
          </cell>
          <cell r="D44">
            <v>2900</v>
          </cell>
        </row>
      </sheetData>
      <sheetData sheetId="10">
        <row r="5">
          <cell r="A5" t="str">
            <v>MKN 100-0142</v>
          </cell>
          <cell r="B5" t="str">
            <v>4 1/2" - 5" Casing</v>
          </cell>
          <cell r="D5">
            <v>1500</v>
          </cell>
        </row>
        <row r="6">
          <cell r="A6" t="str">
            <v>MKN 100-0143</v>
          </cell>
          <cell r="B6" t="str">
            <v>7" Casing</v>
          </cell>
          <cell r="D6">
            <v>1500</v>
          </cell>
        </row>
        <row r="7">
          <cell r="A7" t="str">
            <v>MKN 100-0144</v>
          </cell>
          <cell r="B7" t="str">
            <v>9 5/8" Casing</v>
          </cell>
          <cell r="D7">
            <v>1700</v>
          </cell>
        </row>
        <row r="8">
          <cell r="A8" t="str">
            <v>MKN 100-0145</v>
          </cell>
          <cell r="B8" t="str">
            <v>13 3/8" Casing</v>
          </cell>
          <cell r="D8">
            <v>2200</v>
          </cell>
        </row>
        <row r="14">
          <cell r="A14" t="str">
            <v>MKN 100-0146</v>
          </cell>
          <cell r="B14" t="str">
            <v>SUCKER ROD CONN.</v>
          </cell>
          <cell r="C14" t="str">
            <v>Per Day</v>
          </cell>
          <cell r="D14">
            <v>420</v>
          </cell>
        </row>
        <row r="15">
          <cell r="A15" t="str">
            <v>MKN 100-0147</v>
          </cell>
          <cell r="B15" t="str">
            <v>2 7/8" CONN.</v>
          </cell>
          <cell r="C15" t="str">
            <v>Per Day</v>
          </cell>
          <cell r="D15">
            <v>950</v>
          </cell>
        </row>
        <row r="16">
          <cell r="A16" t="str">
            <v>MKN 100-0148</v>
          </cell>
          <cell r="B16" t="str">
            <v>3 1/2" CONN.</v>
          </cell>
          <cell r="C16" t="str">
            <v>Per Day</v>
          </cell>
          <cell r="D16">
            <v>1200</v>
          </cell>
        </row>
        <row r="17">
          <cell r="A17" t="str">
            <v>MKN 100-0149</v>
          </cell>
          <cell r="B17" t="str">
            <v>4 1/2" CONN.</v>
          </cell>
          <cell r="C17" t="str">
            <v>Per Day</v>
          </cell>
          <cell r="D17">
            <v>1650</v>
          </cell>
        </row>
        <row r="18">
          <cell r="A18" t="str">
            <v>MKN 100-0150</v>
          </cell>
          <cell r="B18" t="str">
            <v>5 1/2" CONN.</v>
          </cell>
          <cell r="C18" t="str">
            <v>Per Day</v>
          </cell>
          <cell r="D18">
            <v>1650</v>
          </cell>
        </row>
        <row r="19">
          <cell r="A19" t="str">
            <v>MKN 100-0151</v>
          </cell>
          <cell r="B19" t="str">
            <v>6 5/8" CONN.</v>
          </cell>
          <cell r="C19" t="str">
            <v>Per Day</v>
          </cell>
          <cell r="D19">
            <v>1650</v>
          </cell>
        </row>
        <row r="20">
          <cell r="A20" t="str">
            <v>MKN 100-0152</v>
          </cell>
          <cell r="B20" t="str">
            <v>7 5/8" CONN.</v>
          </cell>
          <cell r="C20" t="str">
            <v>Per Day</v>
          </cell>
          <cell r="D20">
            <v>1900</v>
          </cell>
        </row>
        <row r="22">
          <cell r="A22" t="str">
            <v>MKN 100-0153</v>
          </cell>
          <cell r="B22" t="str">
            <v>2 7/8" O.D</v>
          </cell>
          <cell r="C22" t="str">
            <v>Per Day</v>
          </cell>
          <cell r="D22">
            <v>1350</v>
          </cell>
        </row>
        <row r="23">
          <cell r="A23" t="str">
            <v>MKN 100-0154</v>
          </cell>
          <cell r="B23" t="str">
            <v>5" O.D</v>
          </cell>
          <cell r="C23" t="str">
            <v>Per Day</v>
          </cell>
          <cell r="D23">
            <v>2000</v>
          </cell>
        </row>
        <row r="24">
          <cell r="A24" t="str">
            <v>MKN 100-0155</v>
          </cell>
          <cell r="B24" t="str">
            <v>6 5/8" O.D</v>
          </cell>
          <cell r="C24" t="str">
            <v>Per Day</v>
          </cell>
          <cell r="D24">
            <v>2700</v>
          </cell>
        </row>
        <row r="25">
          <cell r="A25" t="str">
            <v>MKN 100-0156</v>
          </cell>
          <cell r="B25" t="str">
            <v>8 5/8" O.D</v>
          </cell>
          <cell r="C25" t="str">
            <v>Per Day</v>
          </cell>
          <cell r="D25">
            <v>3850</v>
          </cell>
        </row>
        <row r="26">
          <cell r="A26" t="str">
            <v>MKN 100-0157</v>
          </cell>
          <cell r="B26" t="str">
            <v>13 3/8" O.D</v>
          </cell>
          <cell r="C26" t="str">
            <v>Per Day</v>
          </cell>
          <cell r="D26">
            <v>5100</v>
          </cell>
        </row>
        <row r="27">
          <cell r="A27" t="str">
            <v>MKN 100-0158</v>
          </cell>
          <cell r="B27" t="str">
            <v>16" O.D</v>
          </cell>
          <cell r="C27" t="str">
            <v>Per Day</v>
          </cell>
          <cell r="D27">
            <v>6900</v>
          </cell>
        </row>
        <row r="28">
          <cell r="A28" t="str">
            <v>MKN 100-0159</v>
          </cell>
          <cell r="B28" t="str">
            <v>20" O.D</v>
          </cell>
          <cell r="C28" t="str">
            <v>Per Day</v>
          </cell>
          <cell r="D28">
            <v>7250</v>
          </cell>
        </row>
        <row r="29">
          <cell r="A29" t="str">
            <v>MKN 100-0160</v>
          </cell>
          <cell r="B29" t="str">
            <v>36" O.D</v>
          </cell>
          <cell r="C29" t="str">
            <v>Per Day</v>
          </cell>
          <cell r="D29">
            <v>7584</v>
          </cell>
        </row>
        <row r="34">
          <cell r="A34" t="str">
            <v>MKN 100-0161</v>
          </cell>
          <cell r="B34" t="str">
            <v>2 7/8" CONN.</v>
          </cell>
          <cell r="C34" t="str">
            <v>Per Day</v>
          </cell>
          <cell r="D34">
            <v>290</v>
          </cell>
        </row>
        <row r="35">
          <cell r="A35" t="str">
            <v>MKN 100-0162</v>
          </cell>
          <cell r="B35" t="str">
            <v>3 1/2" CONN.</v>
          </cell>
          <cell r="C35" t="str">
            <v>Per Day</v>
          </cell>
          <cell r="D35">
            <v>290</v>
          </cell>
        </row>
        <row r="36">
          <cell r="A36" t="str">
            <v>MKN 110-0163</v>
          </cell>
          <cell r="B36" t="str">
            <v>4 1/2" CONN.</v>
          </cell>
          <cell r="C36" t="str">
            <v>Per Day</v>
          </cell>
          <cell r="D36">
            <v>350</v>
          </cell>
        </row>
        <row r="37">
          <cell r="A37" t="str">
            <v>MKN 100-0164</v>
          </cell>
          <cell r="B37" t="str">
            <v>6 5/8" CONN.</v>
          </cell>
          <cell r="C37" t="str">
            <v>Per Day</v>
          </cell>
          <cell r="D37">
            <v>350</v>
          </cell>
        </row>
        <row r="39">
          <cell r="A39" t="str">
            <v>MKN 100-0165</v>
          </cell>
          <cell r="B39" t="str">
            <v>2 7/8" OD</v>
          </cell>
          <cell r="C39" t="str">
            <v>Per Day</v>
          </cell>
          <cell r="D39">
            <v>580</v>
          </cell>
        </row>
        <row r="40">
          <cell r="A40" t="str">
            <v>MKN 100-0166</v>
          </cell>
          <cell r="B40" t="str">
            <v>4" OD</v>
          </cell>
          <cell r="C40" t="str">
            <v>Per Day</v>
          </cell>
          <cell r="D40">
            <v>950</v>
          </cell>
        </row>
        <row r="41">
          <cell r="A41" t="str">
            <v>MKN 100-0167</v>
          </cell>
          <cell r="B41" t="str">
            <v>5" OD</v>
          </cell>
          <cell r="C41" t="str">
            <v>Per Day</v>
          </cell>
          <cell r="D41">
            <v>1350</v>
          </cell>
        </row>
        <row r="42">
          <cell r="A42" t="str">
            <v>MKN 100-0168</v>
          </cell>
          <cell r="B42" t="str">
            <v>7" OD</v>
          </cell>
          <cell r="C42" t="str">
            <v>Per Day</v>
          </cell>
          <cell r="D42">
            <v>1350</v>
          </cell>
        </row>
        <row r="43">
          <cell r="A43" t="str">
            <v>MKN 100-0169</v>
          </cell>
          <cell r="B43" t="str">
            <v>9 5/8" OD</v>
          </cell>
          <cell r="C43" t="str">
            <v>Per Day</v>
          </cell>
          <cell r="D43">
            <v>1450</v>
          </cell>
        </row>
        <row r="44">
          <cell r="A44" t="str">
            <v>MKN 100-0170</v>
          </cell>
          <cell r="B44" t="str">
            <v>13 3/8" OD</v>
          </cell>
          <cell r="C44" t="str">
            <v>Per Day</v>
          </cell>
          <cell r="D44">
            <v>2900</v>
          </cell>
        </row>
        <row r="45">
          <cell r="A45" t="str">
            <v>MKN 100-0171</v>
          </cell>
          <cell r="B45" t="str">
            <v>16" OD</v>
          </cell>
          <cell r="C45" t="str">
            <v>Per Day</v>
          </cell>
          <cell r="D45">
            <v>3200</v>
          </cell>
        </row>
      </sheetData>
      <sheetData sheetId="11">
        <row r="3">
          <cell r="A3" t="str">
            <v>MKN 100-0115</v>
          </cell>
          <cell r="B3" t="str">
            <v>Thru 3-1/2" joint size</v>
          </cell>
          <cell r="C3" t="str">
            <v>Per Day</v>
          </cell>
          <cell r="D3">
            <v>180</v>
          </cell>
        </row>
        <row r="4">
          <cell r="A4" t="str">
            <v>MKN 100-0116</v>
          </cell>
          <cell r="B4" t="str">
            <v>Thru 4-1/2" joint size</v>
          </cell>
          <cell r="C4" t="str">
            <v>Per Day</v>
          </cell>
          <cell r="D4">
            <v>200</v>
          </cell>
        </row>
        <row r="5">
          <cell r="A5" t="str">
            <v>MKN 100-0117</v>
          </cell>
          <cell r="B5" t="str">
            <v>Thru 5 1/2" joint size</v>
          </cell>
          <cell r="C5" t="str">
            <v>Per Day</v>
          </cell>
          <cell r="D5">
            <v>200</v>
          </cell>
        </row>
        <row r="6">
          <cell r="A6" t="str">
            <v>MKN 100-0118</v>
          </cell>
          <cell r="B6" t="str">
            <v>Thru 6-5/8" joint size</v>
          </cell>
          <cell r="C6" t="str">
            <v>Per Day</v>
          </cell>
          <cell r="D6">
            <v>350</v>
          </cell>
        </row>
        <row r="8">
          <cell r="A8" t="str">
            <v>MKN 100-0119</v>
          </cell>
          <cell r="B8" t="str">
            <v>Thru 5-3/4" OD pipe</v>
          </cell>
          <cell r="C8" t="str">
            <v>Per Day</v>
          </cell>
          <cell r="D8">
            <v>70</v>
          </cell>
        </row>
        <row r="9">
          <cell r="A9" t="str">
            <v>MKN 100-0120</v>
          </cell>
          <cell r="B9" t="str">
            <v>Thru 10-3/4" OD pipe</v>
          </cell>
          <cell r="C9" t="str">
            <v>Per Day</v>
          </cell>
          <cell r="D9">
            <v>130</v>
          </cell>
        </row>
        <row r="10">
          <cell r="A10" t="str">
            <v>MKN 100-0121</v>
          </cell>
          <cell r="B10" t="str">
            <v>Thru 20" OD pipe</v>
          </cell>
          <cell r="C10" t="str">
            <v>Per Day</v>
          </cell>
          <cell r="D10">
            <v>200</v>
          </cell>
        </row>
        <row r="15">
          <cell r="A15" t="str">
            <v>MKN 100-0122</v>
          </cell>
          <cell r="B15" t="str">
            <v>Thru 15"OD</v>
          </cell>
          <cell r="C15" t="str">
            <v>Per Job</v>
          </cell>
          <cell r="D15">
            <v>1250</v>
          </cell>
        </row>
        <row r="16">
          <cell r="A16" t="str">
            <v>MKN 100-0123</v>
          </cell>
          <cell r="B16" t="str">
            <v>Thru 24"OD</v>
          </cell>
          <cell r="C16" t="str">
            <v>Per Job</v>
          </cell>
          <cell r="D16">
            <v>1550</v>
          </cell>
        </row>
        <row r="17">
          <cell r="A17" t="str">
            <v>MKN 100-0124</v>
          </cell>
          <cell r="B17" t="str">
            <v>Thru 30"OD</v>
          </cell>
          <cell r="C17" t="str">
            <v>Per Job</v>
          </cell>
          <cell r="D17">
            <v>3000</v>
          </cell>
        </row>
        <row r="19">
          <cell r="A19" t="str">
            <v>MKN 100-0125</v>
          </cell>
          <cell r="B19" t="str">
            <v>Pneumatic Casing Saw - 4" to 12" OD</v>
          </cell>
          <cell r="C19" t="str">
            <v>Per CUT</v>
          </cell>
          <cell r="D19">
            <v>1200</v>
          </cell>
        </row>
        <row r="21">
          <cell r="A21" t="str">
            <v>MKN 100-0126</v>
          </cell>
          <cell r="B21" t="str">
            <v>Thru 5"OD</v>
          </cell>
          <cell r="C21" t="str">
            <v>Per Run</v>
          </cell>
          <cell r="D21">
            <v>1100</v>
          </cell>
        </row>
        <row r="22">
          <cell r="A22" t="str">
            <v>MKN 100-0127</v>
          </cell>
          <cell r="B22" t="str">
            <v>Thru 7"OD</v>
          </cell>
          <cell r="C22" t="str">
            <v>Per Run</v>
          </cell>
          <cell r="D22">
            <v>1350</v>
          </cell>
        </row>
        <row r="23">
          <cell r="A23" t="str">
            <v>MKN 100-0128</v>
          </cell>
          <cell r="B23" t="str">
            <v>Thru 9 5/8"OD</v>
          </cell>
          <cell r="C23" t="str">
            <v>Per Run</v>
          </cell>
          <cell r="D23">
            <v>2100</v>
          </cell>
        </row>
        <row r="24">
          <cell r="A24" t="str">
            <v>MKN 100-0129</v>
          </cell>
          <cell r="B24" t="str">
            <v>Thru 10 3/4"OD</v>
          </cell>
          <cell r="C24" t="str">
            <v>Per Run</v>
          </cell>
          <cell r="D24">
            <v>3900</v>
          </cell>
        </row>
        <row r="25">
          <cell r="A25" t="str">
            <v>MKN 100-0130</v>
          </cell>
          <cell r="B25" t="str">
            <v>Thru 13 3/8"OD</v>
          </cell>
          <cell r="C25" t="str">
            <v>Per Run</v>
          </cell>
          <cell r="D25">
            <v>4910</v>
          </cell>
        </row>
        <row r="26">
          <cell r="A26" t="str">
            <v>MKN 100-0131</v>
          </cell>
          <cell r="B26" t="str">
            <v>Thru 16"OD</v>
          </cell>
          <cell r="C26" t="str">
            <v>Per Run</v>
          </cell>
          <cell r="D26">
            <v>6100</v>
          </cell>
        </row>
        <row r="27">
          <cell r="A27" t="str">
            <v>MKN 100-0132</v>
          </cell>
          <cell r="B27" t="str">
            <v>Thru 20"OD</v>
          </cell>
          <cell r="C27" t="str">
            <v>Per Run</v>
          </cell>
          <cell r="D27">
            <v>7000</v>
          </cell>
        </row>
        <row r="30">
          <cell r="A30" t="str">
            <v>MKN 100-0133</v>
          </cell>
          <cell r="B30" t="str">
            <v>Thru 7 1/2"OD</v>
          </cell>
          <cell r="C30" t="str">
            <v>Per Job</v>
          </cell>
          <cell r="D30">
            <v>810</v>
          </cell>
        </row>
        <row r="31">
          <cell r="A31" t="str">
            <v>MKN 100-0134</v>
          </cell>
          <cell r="B31" t="str">
            <v>Thru 12 3/4"OD</v>
          </cell>
          <cell r="C31" t="str">
            <v>Per Job</v>
          </cell>
          <cell r="D31">
            <v>950</v>
          </cell>
        </row>
        <row r="36">
          <cell r="A36" t="str">
            <v>MKN 100-0135</v>
          </cell>
          <cell r="B36" t="str">
            <v>Thru 4-1/2"OD Casing</v>
          </cell>
          <cell r="C36" t="str">
            <v>Per Day</v>
          </cell>
          <cell r="D36">
            <v>2050</v>
          </cell>
          <cell r="E36">
            <v>1250</v>
          </cell>
        </row>
        <row r="37">
          <cell r="A37" t="str">
            <v>MKN 100-0136</v>
          </cell>
          <cell r="B37" t="str">
            <v>Thru 5-1/2"OD Casing</v>
          </cell>
          <cell r="C37" t="str">
            <v>Per Day</v>
          </cell>
          <cell r="D37">
            <v>3100</v>
          </cell>
          <cell r="E37">
            <v>1500</v>
          </cell>
        </row>
        <row r="38">
          <cell r="A38" t="str">
            <v>MKN 100-0137</v>
          </cell>
          <cell r="B38" t="str">
            <v>Thru 7-5/8"OD Casing</v>
          </cell>
          <cell r="C38" t="str">
            <v>Per Day</v>
          </cell>
          <cell r="D38">
            <v>3900</v>
          </cell>
          <cell r="E38">
            <v>1900</v>
          </cell>
        </row>
        <row r="39">
          <cell r="A39" t="str">
            <v>MKN 100-0138</v>
          </cell>
          <cell r="B39" t="str">
            <v>Thru 9-5/8"OD Casing</v>
          </cell>
          <cell r="C39" t="str">
            <v>Per Day</v>
          </cell>
          <cell r="D39">
            <v>4750</v>
          </cell>
          <cell r="E39">
            <v>2000</v>
          </cell>
        </row>
        <row r="40">
          <cell r="A40" t="str">
            <v>MKN 100-0139</v>
          </cell>
          <cell r="B40" t="str">
            <v>Thru 10 3/4"OD Casing</v>
          </cell>
          <cell r="C40" t="str">
            <v>Per Day</v>
          </cell>
          <cell r="D40">
            <v>5100</v>
          </cell>
          <cell r="E40">
            <v>2500</v>
          </cell>
        </row>
        <row r="41">
          <cell r="A41" t="str">
            <v>MKN 100-0140</v>
          </cell>
          <cell r="B41" t="str">
            <v>Thru 11 3/4"OD Casing</v>
          </cell>
          <cell r="C41" t="str">
            <v>Per Day</v>
          </cell>
          <cell r="D41">
            <v>5100</v>
          </cell>
          <cell r="E41">
            <v>2500</v>
          </cell>
        </row>
        <row r="42">
          <cell r="A42" t="str">
            <v>MKN 100-0141</v>
          </cell>
          <cell r="B42" t="str">
            <v>Thru 13-3/8"OD Casing</v>
          </cell>
          <cell r="C42" t="str">
            <v>Per Day</v>
          </cell>
          <cell r="D42">
            <v>5700</v>
          </cell>
          <cell r="E42">
            <v>3000</v>
          </cell>
        </row>
      </sheetData>
      <sheetData sheetId="12">
        <row r="5">
          <cell r="A5" t="str">
            <v>MKN 100-083</v>
          </cell>
          <cell r="B5" t="str">
            <v>Thru 4-3/8"OD</v>
          </cell>
          <cell r="C5" t="str">
            <v>Per Run</v>
          </cell>
          <cell r="D5">
            <v>520</v>
          </cell>
        </row>
        <row r="6">
          <cell r="A6" t="str">
            <v>MKN 100-084</v>
          </cell>
          <cell r="B6" t="str">
            <v>Thru 5-3/4"OD</v>
          </cell>
          <cell r="C6" t="str">
            <v>Per Run</v>
          </cell>
          <cell r="D6">
            <v>520</v>
          </cell>
        </row>
        <row r="7">
          <cell r="A7" t="str">
            <v>MKN 100-085</v>
          </cell>
          <cell r="B7" t="str">
            <v>Thru 8"OD</v>
          </cell>
          <cell r="C7" t="str">
            <v>Per Run</v>
          </cell>
          <cell r="D7">
            <v>610</v>
          </cell>
        </row>
        <row r="8">
          <cell r="A8" t="str">
            <v>MKN 100-086</v>
          </cell>
          <cell r="B8" t="str">
            <v>Thru 12"OD</v>
          </cell>
          <cell r="C8" t="str">
            <v>Per Run</v>
          </cell>
          <cell r="D8">
            <v>670</v>
          </cell>
        </row>
        <row r="9">
          <cell r="A9" t="str">
            <v>MKN 100-087</v>
          </cell>
          <cell r="B9" t="str">
            <v>Thru 15"OD</v>
          </cell>
          <cell r="C9" t="str">
            <v>Per Run</v>
          </cell>
          <cell r="D9">
            <v>780</v>
          </cell>
        </row>
        <row r="10">
          <cell r="A10" t="str">
            <v>MKN 100-088</v>
          </cell>
          <cell r="B10" t="str">
            <v>Thru 20"OD</v>
          </cell>
          <cell r="C10" t="str">
            <v>Per Run</v>
          </cell>
          <cell r="D10">
            <v>780</v>
          </cell>
        </row>
        <row r="11">
          <cell r="A11" t="str">
            <v>MKN 100-089</v>
          </cell>
          <cell r="B11" t="str">
            <v>Thru 24"OD</v>
          </cell>
          <cell r="C11" t="str">
            <v>Per Run</v>
          </cell>
          <cell r="D11">
            <v>920</v>
          </cell>
        </row>
        <row r="12">
          <cell r="A12" t="str">
            <v>MKN 100-090</v>
          </cell>
          <cell r="B12" t="str">
            <v>Thru 26"OD</v>
          </cell>
          <cell r="C12" t="str">
            <v>Per Run</v>
          </cell>
          <cell r="D12">
            <v>920</v>
          </cell>
        </row>
        <row r="18">
          <cell r="A18" t="str">
            <v>MKN 100-091</v>
          </cell>
          <cell r="B18" t="str">
            <v>Thru 4-1/8"OD</v>
          </cell>
          <cell r="C18" t="str">
            <v>LYD / Day</v>
          </cell>
          <cell r="D18">
            <v>470</v>
          </cell>
          <cell r="E18">
            <v>310</v>
          </cell>
        </row>
        <row r="19">
          <cell r="A19" t="str">
            <v>MKN 100-092</v>
          </cell>
          <cell r="B19" t="str">
            <v>Thru 5-3/4"OD</v>
          </cell>
          <cell r="C19" t="str">
            <v>LYD / Day</v>
          </cell>
          <cell r="D19">
            <v>600</v>
          </cell>
          <cell r="E19">
            <v>450</v>
          </cell>
        </row>
        <row r="20">
          <cell r="A20" t="str">
            <v>MKN 100-093</v>
          </cell>
          <cell r="B20" t="str">
            <v>Thru 8"OD</v>
          </cell>
          <cell r="C20" t="str">
            <v>LYD / Day</v>
          </cell>
          <cell r="D20">
            <v>680</v>
          </cell>
          <cell r="E20">
            <v>480</v>
          </cell>
        </row>
        <row r="21">
          <cell r="A21" t="str">
            <v>MKN 100-094</v>
          </cell>
          <cell r="B21" t="str">
            <v>Thru 10-3/4"OD</v>
          </cell>
          <cell r="C21" t="str">
            <v>LYD / Day</v>
          </cell>
          <cell r="D21">
            <v>900</v>
          </cell>
          <cell r="E21">
            <v>800</v>
          </cell>
        </row>
        <row r="22">
          <cell r="A22" t="str">
            <v>MKN 100-095</v>
          </cell>
          <cell r="B22" t="str">
            <v>Thru 13 3/4"OD</v>
          </cell>
          <cell r="C22" t="str">
            <v>LYD / Day</v>
          </cell>
          <cell r="D22">
            <v>1200</v>
          </cell>
          <cell r="E22">
            <v>1000</v>
          </cell>
        </row>
        <row r="27">
          <cell r="A27" t="str">
            <v>MKN 100-096</v>
          </cell>
          <cell r="B27" t="str">
            <v>Thru 7"OD</v>
          </cell>
          <cell r="C27" t="str">
            <v>LYD / Day</v>
          </cell>
          <cell r="D27">
            <v>400</v>
          </cell>
          <cell r="E27">
            <v>250</v>
          </cell>
        </row>
        <row r="28">
          <cell r="A28" t="str">
            <v>MKN 100-097</v>
          </cell>
          <cell r="B28" t="str">
            <v>Thru 11"OD</v>
          </cell>
          <cell r="C28" t="str">
            <v>LYD / Day</v>
          </cell>
          <cell r="D28">
            <v>510</v>
          </cell>
          <cell r="E28">
            <v>410</v>
          </cell>
        </row>
        <row r="29">
          <cell r="A29" t="str">
            <v>MKN 100-098</v>
          </cell>
          <cell r="B29" t="str">
            <v>Thru 16-18"OD</v>
          </cell>
          <cell r="C29" t="str">
            <v>LYD / Day</v>
          </cell>
          <cell r="D29">
            <v>1200</v>
          </cell>
          <cell r="E29">
            <v>950</v>
          </cell>
        </row>
        <row r="30">
          <cell r="A30" t="str">
            <v>MKN 100-099</v>
          </cell>
          <cell r="B30" t="str">
            <v>Thru 20"OD</v>
          </cell>
          <cell r="C30" t="str">
            <v>LYD / Day</v>
          </cell>
          <cell r="D30">
            <v>1600</v>
          </cell>
          <cell r="E30">
            <v>1200</v>
          </cell>
        </row>
        <row r="31">
          <cell r="A31" t="str">
            <v>MKN 100-0100</v>
          </cell>
          <cell r="B31" t="str">
            <v>Thru 24"OD</v>
          </cell>
          <cell r="C31" t="str">
            <v>LYD / Day</v>
          </cell>
          <cell r="D31">
            <v>1900</v>
          </cell>
          <cell r="E31">
            <v>1500</v>
          </cell>
        </row>
        <row r="33">
          <cell r="A33" t="str">
            <v>MKN 100-0101</v>
          </cell>
          <cell r="B33" t="str">
            <v>Thru 7-7/8"OD</v>
          </cell>
          <cell r="C33" t="str">
            <v>LYD / Day</v>
          </cell>
          <cell r="D33">
            <v>770</v>
          </cell>
          <cell r="E33">
            <v>450</v>
          </cell>
        </row>
        <row r="34">
          <cell r="A34" t="str">
            <v>MKN 100-0102</v>
          </cell>
          <cell r="B34" t="str">
            <v>Thru 20-3/4"OD</v>
          </cell>
          <cell r="C34" t="str">
            <v>LYD / Day</v>
          </cell>
          <cell r="D34">
            <v>2300</v>
          </cell>
          <cell r="E34">
            <v>1950</v>
          </cell>
        </row>
        <row r="36">
          <cell r="A36" t="str">
            <v>MKN 100-0103</v>
          </cell>
          <cell r="B36" t="str">
            <v>4-1/2"OD</v>
          </cell>
          <cell r="C36" t="str">
            <v>LYD/FT</v>
          </cell>
          <cell r="D36">
            <v>28</v>
          </cell>
          <cell r="E36">
            <v>16</v>
          </cell>
        </row>
        <row r="37">
          <cell r="A37" t="str">
            <v>MKN 100-0104</v>
          </cell>
          <cell r="B37" t="str">
            <v>4-3/4"OD</v>
          </cell>
          <cell r="C37" t="str">
            <v>LYD/FT</v>
          </cell>
          <cell r="D37">
            <v>28</v>
          </cell>
          <cell r="E37">
            <v>16</v>
          </cell>
        </row>
        <row r="38">
          <cell r="A38" t="str">
            <v>MKN 100-0105</v>
          </cell>
          <cell r="B38" t="str">
            <v>5"OD</v>
          </cell>
          <cell r="C38" t="str">
            <v>LYD/FT</v>
          </cell>
          <cell r="D38">
            <v>28</v>
          </cell>
          <cell r="E38">
            <v>16</v>
          </cell>
        </row>
        <row r="39">
          <cell r="A39" t="str">
            <v>MKN 100-0106</v>
          </cell>
          <cell r="B39" t="str">
            <v>5-3/8"OD</v>
          </cell>
          <cell r="C39" t="str">
            <v>LYD/FT</v>
          </cell>
          <cell r="D39">
            <v>28</v>
          </cell>
          <cell r="E39">
            <v>16</v>
          </cell>
        </row>
        <row r="40">
          <cell r="A40" t="str">
            <v>MKN 100-0107</v>
          </cell>
          <cell r="B40" t="str">
            <v>5-3/4"OD</v>
          </cell>
          <cell r="C40" t="str">
            <v>LYD/FT</v>
          </cell>
          <cell r="D40">
            <v>38</v>
          </cell>
          <cell r="E40">
            <v>20</v>
          </cell>
        </row>
        <row r="41">
          <cell r="A41" t="str">
            <v>MKN 100-0108</v>
          </cell>
          <cell r="B41" t="str">
            <v>7-5/8"OD</v>
          </cell>
          <cell r="C41" t="str">
            <v>LYD/FT</v>
          </cell>
          <cell r="D41">
            <v>42</v>
          </cell>
          <cell r="E41">
            <v>23</v>
          </cell>
        </row>
        <row r="46">
          <cell r="A46" t="str">
            <v>MKN 100-0109</v>
          </cell>
          <cell r="B46" t="str">
            <v>Thru 5 1/2"OD</v>
          </cell>
          <cell r="C46" t="str">
            <v>LYD / Day</v>
          </cell>
          <cell r="D46">
            <v>650</v>
          </cell>
          <cell r="E46">
            <v>500</v>
          </cell>
        </row>
        <row r="47">
          <cell r="A47" t="str">
            <v>MKN 100-0110</v>
          </cell>
          <cell r="B47" t="str">
            <v>Thru 9 1/4"OD</v>
          </cell>
          <cell r="C47" t="str">
            <v>LYD / Day</v>
          </cell>
          <cell r="D47">
            <v>725</v>
          </cell>
          <cell r="E47">
            <v>570</v>
          </cell>
        </row>
        <row r="48">
          <cell r="A48" t="str">
            <v>MKN 100-0111</v>
          </cell>
          <cell r="B48" t="str">
            <v>Thru 10 3/4"OD</v>
          </cell>
          <cell r="C48" t="str">
            <v>LYD / Day</v>
          </cell>
          <cell r="D48">
            <v>910</v>
          </cell>
          <cell r="E48">
            <v>770</v>
          </cell>
        </row>
        <row r="49">
          <cell r="A49" t="str">
            <v>MKN 100-0112</v>
          </cell>
          <cell r="B49" t="str">
            <v>Thru 13 3/8"OD</v>
          </cell>
          <cell r="C49" t="str">
            <v>LYD / Day</v>
          </cell>
          <cell r="D49">
            <v>1200</v>
          </cell>
          <cell r="E49">
            <v>960</v>
          </cell>
        </row>
        <row r="50">
          <cell r="A50" t="str">
            <v>MKN 100-0113</v>
          </cell>
          <cell r="B50" t="str">
            <v>Thru 16"OD</v>
          </cell>
          <cell r="C50" t="str">
            <v>LYD / Day</v>
          </cell>
          <cell r="D50">
            <v>1800</v>
          </cell>
          <cell r="E50">
            <v>1350</v>
          </cell>
        </row>
        <row r="51">
          <cell r="A51" t="str">
            <v>MKN 100-0114</v>
          </cell>
          <cell r="B51" t="str">
            <v>Thru 20"OD</v>
          </cell>
          <cell r="C51" t="str">
            <v>Price LYD</v>
          </cell>
          <cell r="D51">
            <v>1900</v>
          </cell>
          <cell r="E51">
            <v>1450</v>
          </cell>
        </row>
      </sheetData>
      <sheetData sheetId="13">
        <row r="6">
          <cell r="A6" t="str">
            <v>MKN 100-058</v>
          </cell>
          <cell r="B6" t="str">
            <v>Thru 4 1/4" OD</v>
          </cell>
          <cell r="C6" t="str">
            <v>Per Tool</v>
          </cell>
          <cell r="D6">
            <v>7100</v>
          </cell>
          <cell r="E6">
            <v>250</v>
          </cell>
        </row>
        <row r="7">
          <cell r="A7" t="str">
            <v>MKN 100-059</v>
          </cell>
          <cell r="B7" t="str">
            <v>Thru 6 1/8" OD</v>
          </cell>
          <cell r="C7" t="str">
            <v>Per Tool</v>
          </cell>
          <cell r="D7">
            <v>8500</v>
          </cell>
          <cell r="E7">
            <v>320</v>
          </cell>
        </row>
        <row r="8">
          <cell r="A8" t="str">
            <v>MKN 100-060</v>
          </cell>
          <cell r="B8" t="str">
            <v>Thru 7 3/8" OD</v>
          </cell>
          <cell r="C8" t="str">
            <v>Per Tool</v>
          </cell>
          <cell r="D8">
            <v>10200</v>
          </cell>
          <cell r="E8">
            <v>370</v>
          </cell>
        </row>
        <row r="9">
          <cell r="A9" t="str">
            <v>MKN 100-061</v>
          </cell>
          <cell r="B9" t="str">
            <v>Thru 8 3/8" OD</v>
          </cell>
          <cell r="C9" t="str">
            <v>Per Tool</v>
          </cell>
          <cell r="D9">
            <v>12100</v>
          </cell>
          <cell r="E9">
            <v>420</v>
          </cell>
        </row>
        <row r="10">
          <cell r="A10" t="str">
            <v>MKN 100-062</v>
          </cell>
          <cell r="B10" t="str">
            <v>Thru 10 5/8" OD</v>
          </cell>
          <cell r="C10" t="str">
            <v>Per Tool</v>
          </cell>
          <cell r="D10">
            <v>13700</v>
          </cell>
          <cell r="E10">
            <v>450</v>
          </cell>
        </row>
        <row r="11">
          <cell r="A11" t="str">
            <v>MKN 100-063</v>
          </cell>
          <cell r="B11" t="str">
            <v>Thru 17 1/2" OD</v>
          </cell>
          <cell r="C11" t="str">
            <v>Per Tool</v>
          </cell>
          <cell r="D11">
            <v>19500</v>
          </cell>
          <cell r="E11">
            <v>550</v>
          </cell>
        </row>
        <row r="15">
          <cell r="A15" t="str">
            <v>MKN 100-064</v>
          </cell>
          <cell r="B15" t="str">
            <v xml:space="preserve">ALL Sizes </v>
          </cell>
          <cell r="C15" t="str">
            <v>PER RUN</v>
          </cell>
          <cell r="D15">
            <v>1250</v>
          </cell>
        </row>
        <row r="18">
          <cell r="A18" t="str">
            <v>MKN 100-065</v>
          </cell>
          <cell r="B18" t="str">
            <v>Thru 12" OD</v>
          </cell>
          <cell r="C18" t="str">
            <v>PER RUN</v>
          </cell>
          <cell r="D18">
            <v>750</v>
          </cell>
        </row>
        <row r="19">
          <cell r="A19" t="str">
            <v>MKN 100-066</v>
          </cell>
          <cell r="B19" t="str">
            <v>Thru 15" OD</v>
          </cell>
          <cell r="C19" t="str">
            <v>PER RUN</v>
          </cell>
          <cell r="D19">
            <v>790</v>
          </cell>
        </row>
        <row r="20">
          <cell r="A20" t="str">
            <v>MKN 100-067</v>
          </cell>
          <cell r="B20" t="str">
            <v>Thru 20" OD</v>
          </cell>
          <cell r="C20" t="str">
            <v>PER RUN</v>
          </cell>
          <cell r="D20">
            <v>950</v>
          </cell>
        </row>
        <row r="21">
          <cell r="A21" t="str">
            <v>MKN 100-068</v>
          </cell>
          <cell r="B21" t="str">
            <v>Thru 24" OD</v>
          </cell>
          <cell r="C21" t="str">
            <v>PER RUN</v>
          </cell>
          <cell r="D21">
            <v>1050</v>
          </cell>
        </row>
        <row r="22">
          <cell r="A22" t="str">
            <v>MKN 100-069</v>
          </cell>
          <cell r="B22" t="str">
            <v>Thru 26" OD</v>
          </cell>
          <cell r="C22" t="str">
            <v>PER RUN</v>
          </cell>
          <cell r="D22">
            <v>1150</v>
          </cell>
        </row>
        <row r="24">
          <cell r="A24" t="str">
            <v>MKN 100-070</v>
          </cell>
          <cell r="B24" t="str">
            <v>Thru 15" OD</v>
          </cell>
          <cell r="C24" t="str">
            <v>PER RUN</v>
          </cell>
          <cell r="D24">
            <v>920</v>
          </cell>
        </row>
        <row r="25">
          <cell r="A25" t="str">
            <v>MKN 100-071</v>
          </cell>
          <cell r="B25" t="str">
            <v>Thru 20" OD</v>
          </cell>
          <cell r="C25" t="str">
            <v>PER RUN</v>
          </cell>
          <cell r="D25">
            <v>920</v>
          </cell>
        </row>
        <row r="26">
          <cell r="A26" t="str">
            <v>MKN 100-072</v>
          </cell>
          <cell r="B26" t="str">
            <v>Thru 24" OD</v>
          </cell>
          <cell r="C26" t="str">
            <v>PER RUN</v>
          </cell>
          <cell r="D26">
            <v>1250</v>
          </cell>
        </row>
        <row r="27">
          <cell r="A27" t="str">
            <v>MKN 100-073</v>
          </cell>
          <cell r="B27" t="str">
            <v>Thru 26" OD</v>
          </cell>
          <cell r="C27" t="str">
            <v>PER RUN</v>
          </cell>
          <cell r="D27">
            <v>1400</v>
          </cell>
        </row>
        <row r="28">
          <cell r="A28" t="str">
            <v>MKN 100-074</v>
          </cell>
          <cell r="B28" t="str">
            <v>Thru 30" OD</v>
          </cell>
          <cell r="C28" t="str">
            <v>PER RUN</v>
          </cell>
          <cell r="D28">
            <v>1700</v>
          </cell>
        </row>
        <row r="35">
          <cell r="A35" t="str">
            <v>MKN 100-075</v>
          </cell>
          <cell r="B35" t="str">
            <v>Thru 4-1/8" OD</v>
          </cell>
          <cell r="C35" t="str">
            <v>LYD / Day</v>
          </cell>
          <cell r="D35">
            <v>1250</v>
          </cell>
          <cell r="E35">
            <v>900</v>
          </cell>
        </row>
        <row r="36">
          <cell r="A36" t="str">
            <v>MKN 100-076</v>
          </cell>
          <cell r="B36" t="str">
            <v>Thru 5-3/8" OD</v>
          </cell>
          <cell r="C36" t="str">
            <v>LYD / Day</v>
          </cell>
          <cell r="D36">
            <v>1320</v>
          </cell>
          <cell r="E36">
            <v>950</v>
          </cell>
        </row>
        <row r="37">
          <cell r="A37" t="str">
            <v>MKN 100-077</v>
          </cell>
          <cell r="B37" t="str">
            <v>Thru 8-7/8" OD</v>
          </cell>
          <cell r="C37" t="str">
            <v>LYD / Day</v>
          </cell>
          <cell r="D37">
            <v>1700</v>
          </cell>
          <cell r="E37">
            <v>1450</v>
          </cell>
        </row>
        <row r="38">
          <cell r="A38" t="str">
            <v>MKN 100-078</v>
          </cell>
          <cell r="B38" t="str">
            <v>Thru 11-3/4" OD</v>
          </cell>
          <cell r="C38" t="str">
            <v>LYD / Day</v>
          </cell>
          <cell r="D38">
            <v>2900</v>
          </cell>
          <cell r="E38">
            <v>2000</v>
          </cell>
        </row>
        <row r="39">
          <cell r="A39" t="str">
            <v>MKN 100-078-01</v>
          </cell>
          <cell r="B39" t="str">
            <v>All size for Overshot Grapple 35 % of First Day Overshot Rental</v>
          </cell>
          <cell r="D39">
            <v>0.35</v>
          </cell>
        </row>
        <row r="47">
          <cell r="A47" t="str">
            <v>MKN 100-079</v>
          </cell>
          <cell r="B47" t="str">
            <v>Thru 4 3/4" OD</v>
          </cell>
          <cell r="C47" t="str">
            <v>LYD / Day</v>
          </cell>
          <cell r="D47">
            <v>1900</v>
          </cell>
          <cell r="E47">
            <v>1050</v>
          </cell>
        </row>
        <row r="48">
          <cell r="A48" t="str">
            <v>MKN 100-080</v>
          </cell>
          <cell r="B48" t="str">
            <v>Thru 6 1/4" OD</v>
          </cell>
          <cell r="C48" t="str">
            <v>LYD / Day</v>
          </cell>
          <cell r="D48">
            <v>2000</v>
          </cell>
          <cell r="E48">
            <v>1100</v>
          </cell>
        </row>
        <row r="49">
          <cell r="A49" t="str">
            <v>MKN 100-081</v>
          </cell>
          <cell r="B49" t="str">
            <v>Thru 9 5/8" OD</v>
          </cell>
          <cell r="C49" t="str">
            <v>LYD / Day</v>
          </cell>
          <cell r="D49">
            <v>2950</v>
          </cell>
          <cell r="E49">
            <v>2000</v>
          </cell>
        </row>
        <row r="50">
          <cell r="A50" t="str">
            <v>MKN 100-082</v>
          </cell>
          <cell r="B50" t="str">
            <v>Thru 12 3/4" OD</v>
          </cell>
          <cell r="C50" t="str">
            <v>LYD / Day</v>
          </cell>
          <cell r="D50">
            <v>3850</v>
          </cell>
          <cell r="E50">
            <v>2100</v>
          </cell>
        </row>
        <row r="51">
          <cell r="A51" t="str">
            <v>MKN 100-082-01</v>
          </cell>
          <cell r="B51" t="str">
            <v>All size for Overshot Grapple 35% of First Day Overshot Rental</v>
          </cell>
          <cell r="D51">
            <v>0.35</v>
          </cell>
        </row>
      </sheetData>
      <sheetData sheetId="14">
        <row r="4">
          <cell r="A4" t="str">
            <v>MKN 100-032</v>
          </cell>
          <cell r="B4" t="str">
            <v>Casing Thru 6-5/8" OD</v>
          </cell>
          <cell r="C4" t="str">
            <v>PER CUT</v>
          </cell>
          <cell r="D4">
            <v>3900</v>
          </cell>
        </row>
        <row r="5">
          <cell r="A5" t="str">
            <v>MKN 100-033</v>
          </cell>
          <cell r="B5" t="str">
            <v>Casing Thru 8-5/8"OD</v>
          </cell>
          <cell r="C5" t="str">
            <v>PER CUT</v>
          </cell>
          <cell r="D5">
            <v>4950</v>
          </cell>
        </row>
        <row r="7">
          <cell r="A7" t="str">
            <v>MKN 100-034</v>
          </cell>
          <cell r="B7" t="str">
            <v>Mechanical cutter (Any size)</v>
          </cell>
          <cell r="C7" t="str">
            <v>PER CUT</v>
          </cell>
          <cell r="D7">
            <v>6000</v>
          </cell>
        </row>
        <row r="8">
          <cell r="A8" t="str">
            <v>MKN 100-035</v>
          </cell>
          <cell r="B8" t="str">
            <v>Hydraulic or washover cutter (Any size)</v>
          </cell>
          <cell r="C8" t="str">
            <v>PER CUT</v>
          </cell>
          <cell r="D8">
            <v>6100</v>
          </cell>
        </row>
        <row r="12">
          <cell r="A12" t="str">
            <v>MKN-100-36</v>
          </cell>
          <cell r="B12" t="str">
            <v>Thr u 9-5/8"OD OR Smaller</v>
          </cell>
          <cell r="C12" t="str">
            <v>PER CUT</v>
          </cell>
          <cell r="D12">
            <v>5000</v>
          </cell>
        </row>
        <row r="13">
          <cell r="A13" t="str">
            <v>MKN-100-37</v>
          </cell>
          <cell r="B13" t="str">
            <v>Thr u 10-3/4"OD</v>
          </cell>
          <cell r="C13" t="str">
            <v>PER CUT</v>
          </cell>
          <cell r="D13">
            <v>6100</v>
          </cell>
        </row>
        <row r="14">
          <cell r="A14" t="str">
            <v>MKN-100-38</v>
          </cell>
          <cell r="B14" t="str">
            <v>Thr u 13-3/8"OD</v>
          </cell>
          <cell r="C14" t="str">
            <v>PER CUT</v>
          </cell>
          <cell r="D14">
            <v>7800</v>
          </cell>
        </row>
        <row r="15">
          <cell r="A15" t="str">
            <v>MKN-100-39</v>
          </cell>
          <cell r="B15" t="str">
            <v>Thr u 18"OD</v>
          </cell>
          <cell r="C15" t="str">
            <v>PER CUT</v>
          </cell>
          <cell r="D15">
            <v>8150</v>
          </cell>
        </row>
        <row r="16">
          <cell r="A16" t="str">
            <v>MKN-100-40</v>
          </cell>
          <cell r="B16" t="str">
            <v>Thr u 26"OD</v>
          </cell>
          <cell r="C16" t="str">
            <v>PER CUT</v>
          </cell>
          <cell r="D16">
            <v>11910</v>
          </cell>
        </row>
        <row r="17">
          <cell r="A17" t="str">
            <v>MKN-100-41</v>
          </cell>
          <cell r="B17" t="str">
            <v>Thr u 30"OD</v>
          </cell>
          <cell r="C17" t="str">
            <v>PER CUT</v>
          </cell>
          <cell r="D17">
            <v>8120</v>
          </cell>
        </row>
        <row r="18">
          <cell r="A18" t="str">
            <v>MKN-100-42</v>
          </cell>
          <cell r="B18" t="str">
            <v>Thr u 36"OD</v>
          </cell>
          <cell r="C18" t="str">
            <v>PER CUT</v>
          </cell>
          <cell r="D18">
            <v>9620</v>
          </cell>
        </row>
        <row r="19">
          <cell r="A19" t="str">
            <v>MKN-100-43</v>
          </cell>
          <cell r="B19" t="str">
            <v>Thr u 42"OD</v>
          </cell>
          <cell r="C19" t="str">
            <v>PER CUT</v>
          </cell>
          <cell r="D19">
            <v>12870</v>
          </cell>
        </row>
        <row r="24">
          <cell r="A24" t="str">
            <v>MKN-100-45</v>
          </cell>
          <cell r="B24" t="str">
            <v>Thru 6-1/2" OD</v>
          </cell>
          <cell r="C24" t="str">
            <v>Per Day</v>
          </cell>
          <cell r="D24">
            <v>4050</v>
          </cell>
          <cell r="E24">
            <v>2300</v>
          </cell>
        </row>
        <row r="25">
          <cell r="A25" t="str">
            <v>MKN-100-46</v>
          </cell>
          <cell r="B25" t="str">
            <v>Thru 8" OD</v>
          </cell>
          <cell r="C25" t="str">
            <v>Per Day</v>
          </cell>
          <cell r="D25">
            <v>5110</v>
          </cell>
          <cell r="E25">
            <v>3150</v>
          </cell>
        </row>
        <row r="27">
          <cell r="A27" t="str">
            <v>MKN-100-47</v>
          </cell>
          <cell r="B27" t="str">
            <v>Thru 4-1/4"OD</v>
          </cell>
          <cell r="C27" t="str">
            <v>Per Day</v>
          </cell>
          <cell r="D27">
            <v>2150</v>
          </cell>
          <cell r="E27">
            <v>1100</v>
          </cell>
        </row>
        <row r="28">
          <cell r="A28" t="str">
            <v>MKN-100-48</v>
          </cell>
          <cell r="B28" t="str">
            <v>Thru 6-1/4"OD</v>
          </cell>
          <cell r="C28" t="str">
            <v>Per Day</v>
          </cell>
          <cell r="D28">
            <v>3000</v>
          </cell>
          <cell r="E28">
            <v>1510</v>
          </cell>
        </row>
        <row r="33">
          <cell r="A33" t="str">
            <v>MKN 100-049</v>
          </cell>
          <cell r="B33" t="str">
            <v>3-1/2" conn.</v>
          </cell>
          <cell r="C33" t="str">
            <v>Per Day</v>
          </cell>
          <cell r="D33">
            <v>610</v>
          </cell>
          <cell r="E33">
            <v>400</v>
          </cell>
        </row>
        <row r="34">
          <cell r="A34" t="str">
            <v>MKN 100-050</v>
          </cell>
          <cell r="B34" t="str">
            <v>6-5/8" conn. And smaller</v>
          </cell>
          <cell r="C34" t="str">
            <v>Per Day</v>
          </cell>
          <cell r="D34">
            <v>790</v>
          </cell>
          <cell r="E34">
            <v>570</v>
          </cell>
        </row>
        <row r="36">
          <cell r="A36" t="str">
            <v>MKN 100-051</v>
          </cell>
          <cell r="B36" t="str">
            <v>6-5/8" conn. And smaller</v>
          </cell>
          <cell r="C36" t="str">
            <v>Per Day</v>
          </cell>
          <cell r="D36">
            <v>1420</v>
          </cell>
          <cell r="E36">
            <v>1250</v>
          </cell>
        </row>
        <row r="38">
          <cell r="A38" t="str">
            <v>MFT 100-052</v>
          </cell>
          <cell r="B38" t="str">
            <v>All sizes</v>
          </cell>
          <cell r="C38" t="str">
            <v>Per Day</v>
          </cell>
          <cell r="D38">
            <v>310</v>
          </cell>
          <cell r="E38">
            <v>200</v>
          </cell>
        </row>
        <row r="40">
          <cell r="A40" t="str">
            <v>MKN 100-053</v>
          </cell>
          <cell r="B40" t="str">
            <v>Thru 2-1/2"OD</v>
          </cell>
          <cell r="C40" t="str">
            <v>Per Day</v>
          </cell>
          <cell r="D40">
            <v>480</v>
          </cell>
          <cell r="E40">
            <v>390</v>
          </cell>
        </row>
        <row r="41">
          <cell r="A41" t="str">
            <v>MKN 100-054</v>
          </cell>
          <cell r="B41" t="str">
            <v>Thru 4-1/2"OD</v>
          </cell>
          <cell r="C41" t="str">
            <v>Per Day</v>
          </cell>
          <cell r="D41">
            <v>780</v>
          </cell>
          <cell r="E41">
            <v>600</v>
          </cell>
        </row>
        <row r="42">
          <cell r="A42" t="str">
            <v>MKN 100-055</v>
          </cell>
          <cell r="B42" t="str">
            <v>Thru 6-1/2"OD</v>
          </cell>
          <cell r="C42" t="str">
            <v>Per Day</v>
          </cell>
          <cell r="D42">
            <v>1250</v>
          </cell>
          <cell r="E42">
            <v>990</v>
          </cell>
        </row>
        <row r="43">
          <cell r="A43" t="str">
            <v>MKN 100-056</v>
          </cell>
          <cell r="B43" t="str">
            <v>Thru 8-1/2"OD</v>
          </cell>
          <cell r="C43" t="str">
            <v>Per Day</v>
          </cell>
          <cell r="D43">
            <v>1450</v>
          </cell>
          <cell r="E43">
            <v>1250</v>
          </cell>
        </row>
        <row r="44">
          <cell r="A44" t="str">
            <v>MKN 100-057</v>
          </cell>
          <cell r="B44" t="str">
            <v>Thru 11-1/2"OD</v>
          </cell>
          <cell r="C44" t="str">
            <v>Per Day</v>
          </cell>
          <cell r="D44">
            <v>2050</v>
          </cell>
          <cell r="E44">
            <v>1850</v>
          </cell>
        </row>
      </sheetData>
      <sheetData sheetId="15">
        <row r="5">
          <cell r="A5" t="str">
            <v>MKN 100-0205</v>
          </cell>
          <cell r="B5" t="str">
            <v>Fishing Tool Supervisor</v>
          </cell>
          <cell r="C5" t="str">
            <v>LYD / Day</v>
          </cell>
          <cell r="D5">
            <v>5000</v>
          </cell>
        </row>
        <row r="6">
          <cell r="A6" t="str">
            <v>MKN 100-0210</v>
          </cell>
          <cell r="B6" t="str">
            <v>Tools pick up</v>
          </cell>
          <cell r="C6" t="str">
            <v>km</v>
          </cell>
          <cell r="D6">
            <v>5</v>
          </cell>
        </row>
        <row r="7">
          <cell r="A7" t="str">
            <v>MKN 100-0215</v>
          </cell>
          <cell r="B7" t="str">
            <v>Truck</v>
          </cell>
          <cell r="C7" t="str">
            <v>km</v>
          </cell>
          <cell r="D7">
            <v>7</v>
          </cell>
        </row>
        <row r="12">
          <cell r="A12" t="str">
            <v>MKN 100-001</v>
          </cell>
          <cell r="B12" t="str">
            <v>Thru 3-3/4"OD</v>
          </cell>
          <cell r="C12" t="str">
            <v>Per Day</v>
          </cell>
          <cell r="D12">
            <v>1150</v>
          </cell>
          <cell r="E12">
            <v>210</v>
          </cell>
        </row>
        <row r="13">
          <cell r="A13" t="str">
            <v>MKN 100-002</v>
          </cell>
          <cell r="B13" t="str">
            <v>Thru 4-1/4"OD</v>
          </cell>
          <cell r="C13" t="str">
            <v>Per Day</v>
          </cell>
          <cell r="D13">
            <v>1250</v>
          </cell>
          <cell r="E13">
            <v>210</v>
          </cell>
        </row>
        <row r="14">
          <cell r="A14" t="str">
            <v>MKN 100-003</v>
          </cell>
          <cell r="B14" t="str">
            <v>Thru 4-3/4" OD</v>
          </cell>
          <cell r="C14" t="str">
            <v>Per Day</v>
          </cell>
          <cell r="D14">
            <v>1250</v>
          </cell>
          <cell r="E14">
            <v>210</v>
          </cell>
        </row>
        <row r="15">
          <cell r="A15" t="str">
            <v>MKN 100-004</v>
          </cell>
          <cell r="B15" t="str">
            <v>Thru 5-3/4" OD</v>
          </cell>
          <cell r="C15" t="str">
            <v>Per Day</v>
          </cell>
          <cell r="D15">
            <v>1410</v>
          </cell>
          <cell r="E15">
            <v>230</v>
          </cell>
        </row>
        <row r="16">
          <cell r="A16" t="str">
            <v>MKN 100-005</v>
          </cell>
          <cell r="B16" t="str">
            <v>Thru 6-1/8"OD</v>
          </cell>
          <cell r="C16" t="str">
            <v>Per Day</v>
          </cell>
          <cell r="D16">
            <v>1410</v>
          </cell>
          <cell r="E16">
            <v>230</v>
          </cell>
        </row>
        <row r="17">
          <cell r="A17" t="str">
            <v>MKN 100-006</v>
          </cell>
          <cell r="B17" t="str">
            <v>Thru 6-3/4"OD</v>
          </cell>
          <cell r="C17" t="str">
            <v>Per Day</v>
          </cell>
          <cell r="D17">
            <v>1410</v>
          </cell>
          <cell r="E17">
            <v>230</v>
          </cell>
        </row>
        <row r="18">
          <cell r="A18" t="str">
            <v>MKN 100-007</v>
          </cell>
          <cell r="B18" t="str">
            <v>Thru 7-3/4"OD</v>
          </cell>
          <cell r="C18" t="str">
            <v>Per Day</v>
          </cell>
          <cell r="D18">
            <v>1520</v>
          </cell>
          <cell r="E18">
            <v>245</v>
          </cell>
        </row>
        <row r="19">
          <cell r="A19" t="str">
            <v>MKN 100-008</v>
          </cell>
          <cell r="B19" t="str">
            <v>Thru 9-3/4"OD</v>
          </cell>
          <cell r="C19" t="str">
            <v>Per Day</v>
          </cell>
          <cell r="D19">
            <v>1610</v>
          </cell>
          <cell r="E19">
            <v>310</v>
          </cell>
        </row>
        <row r="20">
          <cell r="A20" t="str">
            <v>MKN 100-009</v>
          </cell>
          <cell r="B20" t="str">
            <v>Thru 10-3/4"OD</v>
          </cell>
          <cell r="C20" t="str">
            <v>Per Day</v>
          </cell>
          <cell r="D20">
            <v>1610</v>
          </cell>
          <cell r="E20">
            <v>310</v>
          </cell>
        </row>
        <row r="21">
          <cell r="A21" t="str">
            <v>MKN 100-011</v>
          </cell>
          <cell r="B21" t="str">
            <v>Thru 12-1/4"OD</v>
          </cell>
          <cell r="C21" t="str">
            <v>Per Day</v>
          </cell>
          <cell r="D21">
            <v>1610</v>
          </cell>
          <cell r="E21">
            <v>310</v>
          </cell>
        </row>
        <row r="25">
          <cell r="A25" t="str">
            <v>MKN 100-012</v>
          </cell>
          <cell r="B25" t="str">
            <v>Thru 8-3/4"OD</v>
          </cell>
          <cell r="C25" t="str">
            <v>Price/Largest OD in/Run</v>
          </cell>
          <cell r="D25">
            <v>650</v>
          </cell>
        </row>
        <row r="26">
          <cell r="A26" t="str">
            <v>MKN 100-013</v>
          </cell>
          <cell r="B26" t="str">
            <v>Thru 17-1/2"OD</v>
          </cell>
          <cell r="C26" t="str">
            <v>Price/Largest OD in/Run</v>
          </cell>
          <cell r="D26">
            <v>750</v>
          </cell>
        </row>
        <row r="28">
          <cell r="A28" t="str">
            <v>MKN 100-014</v>
          </cell>
          <cell r="B28" t="str">
            <v>Thru 7" OD</v>
          </cell>
          <cell r="C28" t="str">
            <v>Per Run</v>
          </cell>
          <cell r="D28">
            <v>1600</v>
          </cell>
        </row>
        <row r="29">
          <cell r="A29" t="str">
            <v>MKN 100-015</v>
          </cell>
          <cell r="B29" t="str">
            <v>Thru 10-3/4"OD</v>
          </cell>
          <cell r="C29" t="str">
            <v>Per Run</v>
          </cell>
          <cell r="D29">
            <v>3050</v>
          </cell>
        </row>
        <row r="30">
          <cell r="A30" t="str">
            <v>MKN 100-016</v>
          </cell>
          <cell r="B30" t="str">
            <v>Thru 13-3/8"OD</v>
          </cell>
          <cell r="C30" t="str">
            <v>Per Run</v>
          </cell>
          <cell r="D30">
            <v>4100</v>
          </cell>
        </row>
        <row r="34">
          <cell r="A34" t="str">
            <v>MKN 100-017</v>
          </cell>
          <cell r="B34" t="str">
            <v>8" OD &amp; Smaller</v>
          </cell>
          <cell r="C34" t="str">
            <v>HRS</v>
          </cell>
          <cell r="D34">
            <v>3800</v>
          </cell>
        </row>
        <row r="35">
          <cell r="A35" t="str">
            <v>MKN 100-018</v>
          </cell>
          <cell r="B35" t="str">
            <v>Over 8"</v>
          </cell>
          <cell r="C35" t="str">
            <v>HRS</v>
          </cell>
          <cell r="D35">
            <v>4100</v>
          </cell>
        </row>
        <row r="37">
          <cell r="A37" t="str">
            <v>MKN 100-019</v>
          </cell>
          <cell r="B37" t="str">
            <v>ALL Sizes</v>
          </cell>
          <cell r="C37" t="str">
            <v>Per Job</v>
          </cell>
          <cell r="D37">
            <v>305</v>
          </cell>
        </row>
        <row r="41">
          <cell r="A41" t="str">
            <v>MKN100--020</v>
          </cell>
          <cell r="B41" t="str">
            <v>Thru 4 1/2" Washpipe Pin</v>
          </cell>
          <cell r="C41" t="str">
            <v>LYD / Day</v>
          </cell>
          <cell r="D41">
            <v>800</v>
          </cell>
          <cell r="E41">
            <v>420</v>
          </cell>
        </row>
        <row r="42">
          <cell r="A42" t="str">
            <v>MKN100--021</v>
          </cell>
          <cell r="B42" t="str">
            <v>Thru 5 3/4" Washpipe Pin</v>
          </cell>
          <cell r="C42" t="str">
            <v>LYD / Day</v>
          </cell>
          <cell r="D42">
            <v>1050</v>
          </cell>
          <cell r="E42">
            <v>500</v>
          </cell>
        </row>
        <row r="43">
          <cell r="A43" t="str">
            <v>MKN100--022</v>
          </cell>
          <cell r="B43" t="str">
            <v>Thru 8 3/8" Washpipe Pin</v>
          </cell>
          <cell r="C43" t="str">
            <v>LYD / Day</v>
          </cell>
          <cell r="D43">
            <v>1200</v>
          </cell>
          <cell r="E43">
            <v>610</v>
          </cell>
        </row>
        <row r="44">
          <cell r="A44" t="str">
            <v>MKN100--023</v>
          </cell>
          <cell r="B44" t="str">
            <v>Thru 10 3/4" Washpipe Pin</v>
          </cell>
          <cell r="C44" t="str">
            <v>LYD / Day</v>
          </cell>
          <cell r="D44">
            <v>1310</v>
          </cell>
          <cell r="E44">
            <v>710</v>
          </cell>
        </row>
        <row r="45">
          <cell r="A45" t="str">
            <v>MKN100--024</v>
          </cell>
          <cell r="B45" t="str">
            <v>Thru 13 3/8" Washpipe Pin</v>
          </cell>
          <cell r="C45" t="str">
            <v>LYD / Day</v>
          </cell>
          <cell r="D45">
            <v>1700</v>
          </cell>
          <cell r="E45">
            <v>870</v>
          </cell>
        </row>
        <row r="46">
          <cell r="A46" t="str">
            <v>MKN100--025</v>
          </cell>
          <cell r="B46" t="str">
            <v>Thru 16 1/2" Washpipe Pin</v>
          </cell>
          <cell r="C46" t="str">
            <v>LYD / Day</v>
          </cell>
          <cell r="D46">
            <v>2050</v>
          </cell>
          <cell r="E46">
            <v>1610</v>
          </cell>
        </row>
        <row r="47">
          <cell r="A47" t="str">
            <v>MKN100--026</v>
          </cell>
          <cell r="B47" t="str">
            <v>Thru 20" Washpipe Pin</v>
          </cell>
          <cell r="C47" t="str">
            <v>LYD / Day</v>
          </cell>
          <cell r="D47">
            <v>2150</v>
          </cell>
          <cell r="E47">
            <v>1710</v>
          </cell>
        </row>
        <row r="51">
          <cell r="A51" t="str">
            <v>MKN 100-027</v>
          </cell>
          <cell r="B51" t="str">
            <v>7 5/8" OD &amp; Smaller</v>
          </cell>
          <cell r="C51" t="str">
            <v>Per Day</v>
          </cell>
          <cell r="D51">
            <v>905</v>
          </cell>
        </row>
        <row r="52">
          <cell r="A52" t="str">
            <v>MKN 100-028</v>
          </cell>
          <cell r="B52" t="str">
            <v>9 5/8" OD &amp; Smaller</v>
          </cell>
          <cell r="C52" t="str">
            <v>Per Day</v>
          </cell>
          <cell r="D52">
            <v>1150</v>
          </cell>
        </row>
        <row r="53">
          <cell r="A53" t="str">
            <v>MKN 100-029</v>
          </cell>
          <cell r="B53" t="str">
            <v>11 3/4" OD &amp; Smaller</v>
          </cell>
          <cell r="C53" t="str">
            <v>Per Day</v>
          </cell>
          <cell r="D53">
            <v>1320</v>
          </cell>
        </row>
        <row r="58">
          <cell r="A58" t="str">
            <v>MKN 100-030</v>
          </cell>
          <cell r="B58" t="str">
            <v>Thru 10 segments</v>
          </cell>
          <cell r="C58" t="str">
            <v>LYD / Day</v>
          </cell>
          <cell r="D58">
            <v>450</v>
          </cell>
          <cell r="E58">
            <v>70</v>
          </cell>
        </row>
        <row r="59">
          <cell r="A59" t="str">
            <v>MKN 100-031</v>
          </cell>
          <cell r="B59" t="str">
            <v>Larger than 10 segments</v>
          </cell>
          <cell r="C59" t="str">
            <v>LYD / Day</v>
          </cell>
          <cell r="D59">
            <v>650</v>
          </cell>
          <cell r="E59">
            <v>120</v>
          </cell>
        </row>
      </sheetData>
      <sheetData sheetId="16">
        <row r="4">
          <cell r="A4" t="str">
            <v>MKN-308</v>
          </cell>
          <cell r="B4" t="str">
            <v>RMS Bottom-Mounted (Inverted) Packer Penetrator - Harsh Environment Moulded to: TOP: 30 ft #1 AWG downhole cable, P/N: 016/04/225 (round, solid conductor, galvanised armour, 5 kV). RMS BOTTOM: 30 ft #4 AWG MLE cable, (flat, 5kV, solid (round, solid conductor, galvanised armour, 5 kV). conductor, lead barrier, monel armour).80ksi, Flow-wetted.</v>
          </cell>
        </row>
        <row r="5">
          <cell r="A5" t="str">
            <v>MKN-309</v>
          </cell>
          <cell r="B5" t="str">
            <v>Extended Adapter: 1.9" x 10 NUE pin thread. Supplied with fix-ring, split-collets, and spare set of</v>
          </cell>
        </row>
        <row r="10">
          <cell r="A10" t="str">
            <v>MKN-310</v>
          </cell>
          <cell r="B10" t="str">
            <v>UPPER SLIP.</v>
          </cell>
        </row>
        <row r="11">
          <cell r="A11" t="str">
            <v>MKN-311</v>
          </cell>
          <cell r="B11" t="str">
            <v>RUBBER SPACER.</v>
          </cell>
        </row>
        <row r="12">
          <cell r="A12" t="str">
            <v>MKN-312</v>
          </cell>
          <cell r="B12" t="str">
            <v>SETTING MANDERL.</v>
          </cell>
        </row>
        <row r="13">
          <cell r="A13" t="str">
            <v>MKN-313</v>
          </cell>
          <cell r="B13" t="str">
            <v>SETTING CYLINDER.</v>
          </cell>
        </row>
        <row r="14">
          <cell r="A14" t="str">
            <v>MKN-314</v>
          </cell>
          <cell r="B14" t="str">
            <v>LOCKING NUT.</v>
          </cell>
        </row>
        <row r="15">
          <cell r="A15" t="str">
            <v>MKN-315</v>
          </cell>
          <cell r="B15" t="str">
            <v>LOWER SLIP.</v>
          </cell>
        </row>
        <row r="16">
          <cell r="A16" t="str">
            <v>MKN-316</v>
          </cell>
          <cell r="B16" t="str">
            <v>PICK-UP RING.</v>
          </cell>
        </row>
        <row r="17">
          <cell r="A17" t="str">
            <v>MKN-317</v>
          </cell>
          <cell r="B17" t="str">
            <v>LONG STRING MANDREL.</v>
          </cell>
        </row>
        <row r="18">
          <cell r="A18" t="str">
            <v>MKN-318</v>
          </cell>
          <cell r="B18" t="str">
            <v>SHORT STRING MANDREL.</v>
          </cell>
        </row>
        <row r="19">
          <cell r="A19" t="str">
            <v>MKN-319</v>
          </cell>
          <cell r="B19" t="str">
            <v>SHORT SLEEVE</v>
          </cell>
        </row>
        <row r="20">
          <cell r="A20" t="str">
            <v>MKN-320</v>
          </cell>
          <cell r="B20" t="str">
            <v>CROSS OVER SUB.</v>
          </cell>
        </row>
        <row r="24">
          <cell r="A24" t="str">
            <v>MKN-321</v>
          </cell>
          <cell r="B24" t="str">
            <v>6 ½” Shock Tool Sub.</v>
          </cell>
        </row>
        <row r="25">
          <cell r="A25" t="str">
            <v>MKN-322</v>
          </cell>
          <cell r="B25" t="str">
            <v>8” Shock Tool Sub.</v>
          </cell>
        </row>
        <row r="26">
          <cell r="A26" t="str">
            <v>MKN-323</v>
          </cell>
          <cell r="B26" t="str">
            <v>6” Hydraulic drilling Jar.</v>
          </cell>
        </row>
        <row r="27">
          <cell r="A27" t="str">
            <v>MKN-324</v>
          </cell>
          <cell r="B27" t="str">
            <v>8” Hydraulic drilling Jar.</v>
          </cell>
        </row>
        <row r="28">
          <cell r="A28" t="str">
            <v>MKN-325</v>
          </cell>
          <cell r="B28" t="str">
            <v>Throw 8 ½” Skirted Mill.</v>
          </cell>
        </row>
      </sheetData>
      <sheetData sheetId="17">
        <row r="5">
          <cell r="A5" t="str">
            <v>MKN-300</v>
          </cell>
          <cell r="B5" t="str">
            <v>Model Hydrov-II A Hydraulic-Set ESP Packer.
 Size: 7" 17-29# x 2-7/8" EUE x 1.900" NUE.
 Elements: Nitrile Durometer:80-70-80.
 Long string Connections: 2-7/8" 6.5# EUE Box Pin. Short String Connections: 
1.900" NUE Box x Pin, Material: 13Cr-80ksi, Flow-wetted.
 Setting String: Long.
 Releasing string: long. 
Shear Rating @ 49,500 lbs</v>
          </cell>
        </row>
        <row r="6">
          <cell r="A6" t="str">
            <v>MKN-301</v>
          </cell>
          <cell r="B6" t="str">
            <v>Redress Kit for above Model Hydrov-II A Hydraulic-Set ESP Packer. Elements: Nitrile, Durometer: 80-70-80.</v>
          </cell>
        </row>
        <row r="7">
          <cell r="A7" t="str">
            <v>MKN-302</v>
          </cell>
          <cell r="B7" t="str">
            <v>Model Adjustable Sub Rotational Lock.
 Size: 2-7/8".
 Max OD: 3.693. 
Min ID: 2.485". 
Seals: Nitrile.
 2 Feet Stroke. Connections: 2-7/8" 6.5# 8rd EUE Box x Pin.
 Material: 13Cr-80ksi</v>
          </cell>
        </row>
        <row r="8">
          <cell r="A8" t="str">
            <v>MKN-303</v>
          </cell>
          <cell r="B8" t="str">
            <v>Redress Kit for above Model Adjustable Sub Rotational Lock, Seals: Nitrile.</v>
          </cell>
        </row>
        <row r="9">
          <cell r="A9" t="str">
            <v>MKN-304</v>
          </cell>
          <cell r="B9" t="str">
            <v>Cross over sub connection 3. ½" 9.3# 8RD EUE Box up X 2 7/8" 6.5# 8RD EUE Pin Down. Material: 13Cr-80ksi</v>
          </cell>
        </row>
        <row r="10">
          <cell r="A10" t="str">
            <v>MKN-305</v>
          </cell>
          <cell r="B10" t="str">
            <v>Cross over sub connection 3. ½" 9.3# 8RD EUE Pin Down X 2 7/8" 6.5# 8RD EUE Box Up. Material: 13Cr-80ksi</v>
          </cell>
        </row>
        <row r="11">
          <cell r="A11" t="str">
            <v>MKN-306</v>
          </cell>
          <cell r="B11" t="str">
            <v>Pup Joint 4 feet 3. ½" 9.3# 8RD EUE N-80 Box up</v>
          </cell>
        </row>
        <row r="12">
          <cell r="A12" t="str">
            <v>MKN-307</v>
          </cell>
          <cell r="B12" t="str">
            <v>Pup Joint 6 feet 3. ½" 9.3# 8RD EUE N-80 Box up</v>
          </cell>
        </row>
      </sheetData>
      <sheetData sheetId="18">
        <row r="5">
          <cell r="A5" t="str">
            <v>MKN-1860</v>
          </cell>
          <cell r="B5" t="str">
            <v>SERVICE SUPERVISOR FILTRATION UNIT</v>
          </cell>
          <cell r="C5" t="str">
            <v>Per day</v>
          </cell>
          <cell r="D5">
            <v>3120</v>
          </cell>
        </row>
        <row r="6">
          <cell r="A6" t="str">
            <v>MKN-1861</v>
          </cell>
          <cell r="B6" t="str">
            <v>HELPER</v>
          </cell>
          <cell r="C6" t="str">
            <v>Per day</v>
          </cell>
          <cell r="D6">
            <v>1200</v>
          </cell>
        </row>
        <row r="7">
          <cell r="A7" t="str">
            <v>MKN-1862</v>
          </cell>
          <cell r="B7" t="str">
            <v>FILTRATION UNIT AND C-PUMP TRANSPORT</v>
          </cell>
          <cell r="C7" t="str">
            <v>Per day</v>
          </cell>
          <cell r="D7">
            <v>1320</v>
          </cell>
        </row>
        <row r="8">
          <cell r="A8" t="str">
            <v>MKN-1863</v>
          </cell>
          <cell r="B8" t="str">
            <v>FRAC TANK</v>
          </cell>
          <cell r="C8" t="str">
            <v>Per Job</v>
          </cell>
          <cell r="D8">
            <v>1920</v>
          </cell>
        </row>
        <row r="9">
          <cell r="A9" t="str">
            <v>MKN-1864</v>
          </cell>
          <cell r="B9" t="str">
            <v>CENTER FUGAL PUMP</v>
          </cell>
          <cell r="C9" t="str">
            <v>Per Job</v>
          </cell>
          <cell r="D9">
            <v>2160</v>
          </cell>
        </row>
        <row r="10">
          <cell r="A10" t="str">
            <v>MKN-1865</v>
          </cell>
          <cell r="B10" t="str">
            <v>FILTRATION UNIT</v>
          </cell>
          <cell r="C10" t="str">
            <v>Per day</v>
          </cell>
          <cell r="D10">
            <v>912</v>
          </cell>
        </row>
        <row r="11">
          <cell r="A11" t="str">
            <v>MKN-1866</v>
          </cell>
          <cell r="B11" t="str">
            <v>FILTRATION CATRIDGES</v>
          </cell>
          <cell r="C11" t="str">
            <v>Per Each</v>
          </cell>
          <cell r="D11">
            <v>72</v>
          </cell>
        </row>
      </sheetData>
      <sheetData sheetId="19">
        <row r="5">
          <cell r="A5" t="str">
            <v>MKN-1839</v>
          </cell>
          <cell r="B5" t="str">
            <v>MECHANICAL SETTING TOOL, per run</v>
          </cell>
        </row>
        <row r="6">
          <cell r="A6" t="str">
            <v>MKN-1840</v>
          </cell>
          <cell r="B6" t="str">
            <v>Wire line kit for cement Retainer/Bridge plug, Per run</v>
          </cell>
        </row>
        <row r="7">
          <cell r="A7" t="str">
            <v>MKN-1841</v>
          </cell>
          <cell r="B7" t="str">
            <v>Tubing Stinger Coupling/ (SSA), Per job</v>
          </cell>
        </row>
        <row r="8">
          <cell r="A8" t="str">
            <v>MKN-1842</v>
          </cell>
          <cell r="B8" t="str">
            <v>Tubing Centralizer ,Per job</v>
          </cell>
        </row>
        <row r="12">
          <cell r="A12" t="str">
            <v>MKN-1843</v>
          </cell>
          <cell r="B12" t="str">
            <v>4 1/2"</v>
          </cell>
        </row>
        <row r="13">
          <cell r="A13" t="str">
            <v>MKN-1844</v>
          </cell>
          <cell r="B13" t="str">
            <v>5"</v>
          </cell>
        </row>
        <row r="14">
          <cell r="A14" t="str">
            <v>MKN-1845</v>
          </cell>
          <cell r="B14" t="str">
            <v>5 1/2"</v>
          </cell>
        </row>
        <row r="15">
          <cell r="A15" t="str">
            <v>MKN-1846</v>
          </cell>
          <cell r="B15" t="str">
            <v>7"</v>
          </cell>
        </row>
        <row r="16">
          <cell r="A16" t="str">
            <v>MKN-1847</v>
          </cell>
          <cell r="B16" t="str">
            <v>9 5/8"</v>
          </cell>
        </row>
        <row r="17">
          <cell r="A17" t="str">
            <v>MKN-1848</v>
          </cell>
          <cell r="B17" t="str">
            <v>13 3/8"</v>
          </cell>
        </row>
      </sheetData>
      <sheetData sheetId="20">
        <row r="5">
          <cell r="A5" t="str">
            <v>MKN-1801</v>
          </cell>
          <cell r="B5" t="str">
            <v>Pick-up with tools traveling to wells, per KM.</v>
          </cell>
        </row>
        <row r="6">
          <cell r="A6" t="str">
            <v>MKN-1802</v>
          </cell>
          <cell r="B6" t="str">
            <v>Tool operator, per day or fraction</v>
          </cell>
        </row>
        <row r="7">
          <cell r="A7" t="str">
            <v>MKN-1803</v>
          </cell>
          <cell r="B7" t="str">
            <v>Assistant Tool Operator, per day or fraction</v>
          </cell>
        </row>
        <row r="8">
          <cell r="A8" t="str">
            <v>MKN-1804</v>
          </cell>
          <cell r="B8" t="str">
            <v>Supervisor or Engineer, per day or fraction</v>
          </cell>
        </row>
        <row r="9">
          <cell r="A9" t="str">
            <v>MKN-1805</v>
          </cell>
          <cell r="B9" t="str">
            <v>Helper, per day or fraction</v>
          </cell>
        </row>
        <row r="10">
          <cell r="A10" t="str">
            <v>MKN-1807</v>
          </cell>
          <cell r="B10" t="str">
            <v>JOB CANCELATION When called to location and the job is not run, due to circumstances beyond our control. PERSONNEL CHARGES are in addition.</v>
          </cell>
        </row>
        <row r="12">
          <cell r="A12" t="str">
            <v>Price is determined by size and depth packer set. Time of job begins when tool starts in well and time end when recovered from well.</v>
          </cell>
        </row>
        <row r="13">
          <cell r="A13" t="str">
            <v>MKN-1808</v>
          </cell>
          <cell r="B13" t="str">
            <v>"Size thru 7 first day"</v>
          </cell>
        </row>
        <row r="14">
          <cell r="A14" t="str">
            <v>MKN-1809</v>
          </cell>
          <cell r="B14" t="str">
            <v>AFTER FIRST DAY size 7"</v>
          </cell>
        </row>
        <row r="15">
          <cell r="A15" t="str">
            <v>MKN-1810</v>
          </cell>
          <cell r="B15" t="str">
            <v>"Size thru 9 5/8."</v>
          </cell>
        </row>
        <row r="16">
          <cell r="A16" t="str">
            <v>MKN-1811</v>
          </cell>
          <cell r="B16" t="str">
            <v>AFTER FIRST DAY size 9 5/8"</v>
          </cell>
        </row>
        <row r="17">
          <cell r="A17" t="str">
            <v>MKN-1812</v>
          </cell>
          <cell r="B17" t="str">
            <v>"Size 13 3/8."</v>
          </cell>
        </row>
        <row r="18">
          <cell r="A18" t="str">
            <v>MKN-1813</v>
          </cell>
          <cell r="B18" t="str">
            <v>AFTER FIRST DAY size 13 3/8"</v>
          </cell>
        </row>
        <row r="19">
          <cell r="A19" t="str">
            <v>MKN-1817</v>
          </cell>
          <cell r="B19" t="str">
            <v>Each Reset Packer For All Sizes</v>
          </cell>
        </row>
        <row r="21">
          <cell r="A21" t="str">
            <v>Price is determined by size and depth of packer set. Time of job begins when tool is running in well and time ends when recovered on</v>
          </cell>
        </row>
        <row r="22">
          <cell r="A22" t="str">
            <v>MKN-1818</v>
          </cell>
          <cell r="B22" t="str">
            <v>Size thru 7": first day</v>
          </cell>
        </row>
        <row r="23">
          <cell r="A23" t="str">
            <v>MKN-1819</v>
          </cell>
          <cell r="B23" t="str">
            <v>Size thru 7": after first day</v>
          </cell>
        </row>
        <row r="24">
          <cell r="A24" t="str">
            <v>MKN-1820</v>
          </cell>
          <cell r="B24" t="str">
            <v>Size thru 95/8": first day</v>
          </cell>
        </row>
        <row r="25">
          <cell r="A25" t="str">
            <v>MKN-1821</v>
          </cell>
          <cell r="B25" t="str">
            <v>Size thru 95/8": after first day</v>
          </cell>
        </row>
        <row r="26">
          <cell r="A26" t="str">
            <v>MKN-1822</v>
          </cell>
          <cell r="B26" t="str">
            <v>Size 133/8". first day</v>
          </cell>
        </row>
        <row r="27">
          <cell r="A27" t="str">
            <v>MKN-1823</v>
          </cell>
          <cell r="B27" t="str">
            <v>Size 133/8". after first day</v>
          </cell>
        </row>
        <row r="28">
          <cell r="A28" t="str">
            <v>MKN-1826</v>
          </cell>
          <cell r="B28" t="str">
            <v>Frac Sand (M.E) 20 - 40 per pound</v>
          </cell>
        </row>
        <row r="30">
          <cell r="A30" t="str">
            <v>Price is determined by size and depth of packer set. Time of job begins when tool is running in well and time ends when recovered on</v>
          </cell>
        </row>
        <row r="31">
          <cell r="A31" t="str">
            <v>MKN-1828</v>
          </cell>
          <cell r="B31" t="str">
            <v>Size thru 7": first day</v>
          </cell>
        </row>
        <row r="32">
          <cell r="A32" t="str">
            <v>MKN-1829</v>
          </cell>
          <cell r="B32" t="str">
            <v>Size thru 7": after first day</v>
          </cell>
        </row>
        <row r="33">
          <cell r="A33" t="str">
            <v>MKN-1830</v>
          </cell>
          <cell r="B33" t="str">
            <v>Size thru 9 5/8". first day</v>
          </cell>
        </row>
        <row r="34">
          <cell r="A34" t="str">
            <v>MKN-1831</v>
          </cell>
          <cell r="B34" t="str">
            <v>Size thru 9 5/8". after first day</v>
          </cell>
        </row>
        <row r="35">
          <cell r="A35" t="str">
            <v>MKN-1832</v>
          </cell>
          <cell r="B35" t="str">
            <v>Size 13 3/8". first day</v>
          </cell>
        </row>
        <row r="36">
          <cell r="A36" t="str">
            <v>MKN-1833</v>
          </cell>
          <cell r="B36" t="str">
            <v>Size 13 3/8". after first day</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49CCAF-D212-4C6F-90CE-218F200DFD71}">
  <we:reference id="wa200009404" version="1.0.0.8" store="en-US" storeType="OMEX"/>
  <we:alternateReferences>
    <we:reference id="WA200009404" version="1.0.0.8" store="" storeType="OMEX"/>
  </we:alternateReferences>
  <we:properties>
    <we:property name="claude.fileId" value="&quot;b0ccf2ee-2f10-407e-bd72-f756d3924f6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313B-6F35-4401-94A3-C5DB26AA3491}">
  <sheetPr>
    <pageSetUpPr fitToPage="1"/>
  </sheetPr>
  <dimension ref="A5:T50"/>
  <sheetViews>
    <sheetView view="pageBreakPreview" topLeftCell="A4" zoomScaleNormal="100" workbookViewId="0">
      <selection activeCell="B13" sqref="B13:F13"/>
    </sheetView>
  </sheetViews>
  <sheetFormatPr defaultColWidth="9.140625" defaultRowHeight="12.75" x14ac:dyDescent="0.2"/>
  <cols>
    <col min="1" max="1" width="12.7109375" style="345" bestFit="1" customWidth="1"/>
    <col min="2" max="2" width="48" style="345" customWidth="1"/>
    <col min="3" max="3" width="4.5703125" style="345" bestFit="1" customWidth="1"/>
    <col min="4" max="4" width="12.85546875" style="345" bestFit="1" customWidth="1"/>
    <col min="5" max="5" width="12.5703125" style="345" customWidth="1"/>
    <col min="6" max="6" width="19" style="345" customWidth="1"/>
    <col min="7" max="7" width="9.140625" style="345"/>
    <col min="8" max="8" width="10.140625" style="345" customWidth="1"/>
    <col min="9" max="9" width="11.140625" style="345" customWidth="1"/>
    <col min="10" max="16384" width="9.140625" style="345"/>
  </cols>
  <sheetData>
    <row r="5" spans="1:7" ht="58.15" customHeight="1" x14ac:dyDescent="0.2"/>
    <row r="6" spans="1:7" ht="21" x14ac:dyDescent="0.35">
      <c r="A6" s="403" t="s">
        <v>2559</v>
      </c>
      <c r="B6" s="404"/>
      <c r="C6" s="404"/>
      <c r="D6" s="404"/>
      <c r="E6" s="404"/>
      <c r="F6" s="405"/>
    </row>
    <row r="7" spans="1:7" ht="13.9" customHeight="1" x14ac:dyDescent="0.25">
      <c r="A7" s="351"/>
      <c r="B7" s="351"/>
      <c r="C7" s="351"/>
      <c r="D7" s="351"/>
      <c r="E7" s="351"/>
      <c r="F7" s="351"/>
    </row>
    <row r="8" spans="1:7" ht="21" customHeight="1" x14ac:dyDescent="0.25">
      <c r="A8" s="377" t="s">
        <v>2560</v>
      </c>
      <c r="B8" s="383" t="s">
        <v>2561</v>
      </c>
      <c r="C8" s="406" t="s">
        <v>2562</v>
      </c>
      <c r="D8" s="406"/>
      <c r="E8" s="413">
        <v>1897</v>
      </c>
      <c r="F8" s="413"/>
    </row>
    <row r="9" spans="1:7" ht="21" customHeight="1" x14ac:dyDescent="0.25">
      <c r="A9" s="377" t="s">
        <v>2563</v>
      </c>
      <c r="B9" s="379" t="s">
        <v>2564</v>
      </c>
      <c r="C9" s="406"/>
      <c r="D9" s="406"/>
      <c r="E9" s="413"/>
      <c r="F9" s="413"/>
    </row>
    <row r="10" spans="1:7" ht="21" customHeight="1" x14ac:dyDescent="0.25">
      <c r="A10" s="377" t="s">
        <v>2565</v>
      </c>
      <c r="B10" s="379" t="s">
        <v>2566</v>
      </c>
      <c r="C10" s="398" t="s">
        <v>2632</v>
      </c>
      <c r="D10" s="398"/>
      <c r="E10" s="414" t="s">
        <v>2567</v>
      </c>
      <c r="F10" s="414"/>
    </row>
    <row r="11" spans="1:7" ht="21" customHeight="1" x14ac:dyDescent="0.25">
      <c r="A11" s="377" t="s">
        <v>2568</v>
      </c>
      <c r="B11" s="379" t="s">
        <v>2569</v>
      </c>
      <c r="C11" s="398" t="s">
        <v>2570</v>
      </c>
      <c r="D11" s="398"/>
      <c r="E11" s="409">
        <v>46207</v>
      </c>
      <c r="F11" s="409"/>
    </row>
    <row r="12" spans="1:7" ht="21" customHeight="1" x14ac:dyDescent="0.25">
      <c r="A12" s="377" t="s">
        <v>2571</v>
      </c>
      <c r="B12" s="379">
        <v>450</v>
      </c>
      <c r="C12" s="398" t="s">
        <v>2572</v>
      </c>
      <c r="D12" s="398"/>
      <c r="E12" s="409">
        <v>46220</v>
      </c>
      <c r="F12" s="409"/>
    </row>
    <row r="13" spans="1:7" ht="21" customHeight="1" x14ac:dyDescent="0.25">
      <c r="A13" s="377" t="s">
        <v>2626</v>
      </c>
      <c r="B13" s="537" t="s">
        <v>2630</v>
      </c>
      <c r="C13" s="537"/>
      <c r="D13" s="537"/>
      <c r="E13" s="537"/>
      <c r="F13" s="537"/>
    </row>
    <row r="14" spans="1:7" ht="26.45" customHeight="1" x14ac:dyDescent="0.2">
      <c r="A14" s="410" t="s">
        <v>2637</v>
      </c>
      <c r="B14" s="411"/>
      <c r="C14" s="411"/>
      <c r="D14" s="411"/>
      <c r="E14" s="411"/>
      <c r="F14" s="412"/>
    </row>
    <row r="15" spans="1:7" ht="15.75" x14ac:dyDescent="0.2">
      <c r="A15" s="378" t="s">
        <v>2573</v>
      </c>
      <c r="B15" s="378" t="s">
        <v>2574</v>
      </c>
      <c r="C15" s="378" t="s">
        <v>2575</v>
      </c>
      <c r="D15" s="378" t="s">
        <v>9</v>
      </c>
      <c r="E15" s="378" t="s">
        <v>2627</v>
      </c>
      <c r="F15" s="378" t="s">
        <v>2628</v>
      </c>
    </row>
    <row r="16" spans="1:7" ht="21" customHeight="1" x14ac:dyDescent="0.2">
      <c r="A16" s="380" t="s">
        <v>2576</v>
      </c>
      <c r="B16" s="352" t="s">
        <v>2577</v>
      </c>
      <c r="C16" s="361">
        <f>B12*2</f>
        <v>900</v>
      </c>
      <c r="D16" s="366" t="s">
        <v>2633</v>
      </c>
      <c r="E16" s="353">
        <v>3.9</v>
      </c>
      <c r="F16" s="354">
        <f t="shared" ref="F16:F21" si="0">C16*E16</f>
        <v>3510</v>
      </c>
      <c r="G16" s="346"/>
    </row>
    <row r="17" spans="1:20" ht="24" customHeight="1" x14ac:dyDescent="0.2">
      <c r="A17" s="380" t="s">
        <v>2578</v>
      </c>
      <c r="B17" s="352" t="s">
        <v>2579</v>
      </c>
      <c r="C17" s="361">
        <v>4</v>
      </c>
      <c r="D17" s="361" t="s">
        <v>2580</v>
      </c>
      <c r="E17" s="354">
        <v>1050</v>
      </c>
      <c r="F17" s="354">
        <f t="shared" si="0"/>
        <v>4200</v>
      </c>
      <c r="G17" s="346"/>
      <c r="H17" s="346"/>
    </row>
    <row r="18" spans="1:20" ht="24" customHeight="1" x14ac:dyDescent="0.2">
      <c r="A18" s="380" t="s">
        <v>2581</v>
      </c>
      <c r="B18" s="355" t="s">
        <v>2582</v>
      </c>
      <c r="C18" s="362">
        <v>1</v>
      </c>
      <c r="D18" s="361" t="s">
        <v>2580</v>
      </c>
      <c r="E18" s="354">
        <v>1900</v>
      </c>
      <c r="F18" s="354">
        <f t="shared" si="0"/>
        <v>1900</v>
      </c>
      <c r="G18" s="346"/>
      <c r="H18" s="346"/>
      <c r="I18" s="346"/>
      <c r="J18" s="346"/>
      <c r="K18" s="346"/>
      <c r="L18" s="346"/>
      <c r="M18" s="346"/>
      <c r="N18" s="346"/>
      <c r="O18" s="346"/>
      <c r="P18" s="346"/>
      <c r="Q18" s="346"/>
      <c r="R18" s="346"/>
      <c r="S18" s="346"/>
      <c r="T18" s="346"/>
    </row>
    <row r="19" spans="1:20" ht="30.75" customHeight="1" x14ac:dyDescent="0.2">
      <c r="A19" s="380" t="s">
        <v>2583</v>
      </c>
      <c r="B19" s="355" t="s">
        <v>2584</v>
      </c>
      <c r="C19" s="362">
        <v>13</v>
      </c>
      <c r="D19" s="361" t="s">
        <v>2580</v>
      </c>
      <c r="E19" s="354">
        <v>800</v>
      </c>
      <c r="F19" s="354">
        <f t="shared" si="0"/>
        <v>10400</v>
      </c>
      <c r="G19" s="346"/>
      <c r="H19" s="346"/>
      <c r="I19" s="346"/>
      <c r="J19" s="346"/>
      <c r="K19" s="346"/>
      <c r="L19" s="346"/>
      <c r="M19" s="346"/>
      <c r="N19" s="346"/>
      <c r="O19" s="346"/>
      <c r="P19" s="346"/>
      <c r="Q19" s="346"/>
      <c r="R19" s="346"/>
      <c r="S19" s="346"/>
      <c r="T19" s="346"/>
    </row>
    <row r="20" spans="1:20" ht="24" customHeight="1" x14ac:dyDescent="0.2">
      <c r="A20" s="380" t="s">
        <v>2585</v>
      </c>
      <c r="B20" s="352" t="s">
        <v>2586</v>
      </c>
      <c r="C20" s="361">
        <v>1</v>
      </c>
      <c r="D20" s="361" t="s">
        <v>2580</v>
      </c>
      <c r="E20" s="354">
        <v>2200</v>
      </c>
      <c r="F20" s="354">
        <f t="shared" si="0"/>
        <v>2200</v>
      </c>
      <c r="G20" s="346"/>
      <c r="H20" s="346"/>
    </row>
    <row r="21" spans="1:20" ht="24" customHeight="1" x14ac:dyDescent="0.2">
      <c r="A21" s="380" t="s">
        <v>2587</v>
      </c>
      <c r="B21" s="355" t="s">
        <v>2588</v>
      </c>
      <c r="C21" s="362">
        <v>3</v>
      </c>
      <c r="D21" s="361" t="s">
        <v>2580</v>
      </c>
      <c r="E21" s="354">
        <v>800</v>
      </c>
      <c r="F21" s="354">
        <f t="shared" si="0"/>
        <v>2400</v>
      </c>
      <c r="G21" s="346"/>
      <c r="H21" s="346"/>
      <c r="I21" s="346"/>
      <c r="J21" s="346"/>
      <c r="K21" s="346"/>
      <c r="L21" s="346"/>
      <c r="M21" s="346"/>
      <c r="N21" s="346"/>
      <c r="O21" s="346"/>
      <c r="P21" s="346"/>
      <c r="Q21" s="346"/>
      <c r="R21" s="346"/>
      <c r="S21" s="346"/>
      <c r="T21" s="346"/>
    </row>
    <row r="22" spans="1:20" ht="15" x14ac:dyDescent="0.2">
      <c r="A22" s="380" t="s">
        <v>2589</v>
      </c>
      <c r="B22" s="355" t="s">
        <v>2631</v>
      </c>
      <c r="C22" s="363"/>
      <c r="D22" s="364">
        <v>0.2</v>
      </c>
      <c r="E22" s="354">
        <f>SUM(F16:F21)</f>
        <v>24610</v>
      </c>
      <c r="F22" s="354">
        <f>E22*0.2</f>
        <v>4922</v>
      </c>
    </row>
    <row r="23" spans="1:20" ht="15" x14ac:dyDescent="0.2">
      <c r="A23" s="380"/>
      <c r="B23" s="352"/>
      <c r="C23" s="361"/>
      <c r="D23" s="361"/>
      <c r="E23" s="356"/>
      <c r="F23" s="354"/>
    </row>
    <row r="24" spans="1:20" ht="15" x14ac:dyDescent="0.2">
      <c r="A24" s="380"/>
      <c r="B24" s="352" t="s">
        <v>2590</v>
      </c>
      <c r="C24" s="361"/>
      <c r="D24" s="361"/>
      <c r="E24" s="354">
        <f>E22+F22</f>
        <v>29532</v>
      </c>
      <c r="F24" s="354">
        <f>-(E24*0.6)</f>
        <v>-17719.2</v>
      </c>
    </row>
    <row r="25" spans="1:20" ht="15" x14ac:dyDescent="0.2">
      <c r="A25" s="380"/>
      <c r="B25" s="365"/>
      <c r="C25" s="361"/>
      <c r="D25" s="361"/>
      <c r="E25" s="353"/>
      <c r="F25" s="354"/>
    </row>
    <row r="26" spans="1:20" ht="15" x14ac:dyDescent="0.2">
      <c r="A26" s="380"/>
      <c r="B26" s="352"/>
      <c r="C26" s="361"/>
      <c r="D26" s="361"/>
      <c r="E26" s="356"/>
      <c r="F26" s="354"/>
    </row>
    <row r="27" spans="1:20" ht="15" x14ac:dyDescent="0.2">
      <c r="A27" s="380"/>
      <c r="B27" s="352"/>
      <c r="C27" s="361"/>
      <c r="D27" s="361"/>
      <c r="E27" s="356"/>
      <c r="F27" s="354"/>
    </row>
    <row r="28" spans="1:20" ht="15" x14ac:dyDescent="0.2">
      <c r="A28" s="380"/>
      <c r="B28" s="352"/>
      <c r="C28" s="361"/>
      <c r="D28" s="361"/>
      <c r="E28" s="356"/>
      <c r="F28" s="357"/>
    </row>
    <row r="29" spans="1:20" ht="15" x14ac:dyDescent="0.2">
      <c r="A29" s="380"/>
      <c r="B29" s="352"/>
      <c r="C29" s="361"/>
      <c r="D29" s="361"/>
      <c r="E29" s="356"/>
      <c r="F29" s="354"/>
    </row>
    <row r="30" spans="1:20" ht="15" x14ac:dyDescent="0.2">
      <c r="A30" s="380"/>
      <c r="B30" s="352"/>
      <c r="C30" s="361"/>
      <c r="D30" s="361"/>
      <c r="E30" s="356"/>
      <c r="F30" s="357"/>
    </row>
    <row r="31" spans="1:20" ht="15" x14ac:dyDescent="0.2">
      <c r="A31" s="380"/>
      <c r="B31" s="352"/>
      <c r="C31" s="361"/>
      <c r="D31" s="361"/>
      <c r="E31" s="356"/>
      <c r="F31" s="357"/>
      <c r="I31" s="347"/>
    </row>
    <row r="32" spans="1:20" ht="15" x14ac:dyDescent="0.2">
      <c r="A32" s="380"/>
      <c r="B32" s="352"/>
      <c r="C32" s="361"/>
      <c r="D32" s="361"/>
      <c r="E32" s="356"/>
      <c r="F32" s="357"/>
    </row>
    <row r="33" spans="1:8" ht="15" x14ac:dyDescent="0.2">
      <c r="A33" s="380"/>
      <c r="B33" s="352"/>
      <c r="C33" s="361"/>
      <c r="D33" s="361"/>
      <c r="E33" s="356"/>
      <c r="F33" s="357"/>
    </row>
    <row r="34" spans="1:8" ht="15" x14ac:dyDescent="0.2">
      <c r="A34" s="380"/>
      <c r="B34" s="352"/>
      <c r="C34" s="361"/>
      <c r="D34" s="361"/>
      <c r="E34" s="356"/>
      <c r="F34" s="357"/>
    </row>
    <row r="35" spans="1:8" ht="15" x14ac:dyDescent="0.2">
      <c r="A35" s="380"/>
      <c r="B35" s="352"/>
      <c r="C35" s="361"/>
      <c r="D35" s="361"/>
      <c r="E35" s="356"/>
      <c r="F35" s="357"/>
    </row>
    <row r="36" spans="1:8" ht="15" x14ac:dyDescent="0.2">
      <c r="A36" s="380"/>
      <c r="B36" s="352"/>
      <c r="C36" s="361"/>
      <c r="D36" s="361"/>
      <c r="E36" s="356"/>
      <c r="F36" s="357"/>
    </row>
    <row r="37" spans="1:8" ht="15" x14ac:dyDescent="0.2">
      <c r="A37" s="380"/>
      <c r="B37" s="352"/>
      <c r="C37" s="361"/>
      <c r="D37" s="361"/>
      <c r="E37" s="356"/>
      <c r="F37" s="357"/>
    </row>
    <row r="38" spans="1:8" ht="15" x14ac:dyDescent="0.2">
      <c r="A38" s="380"/>
      <c r="B38" s="352"/>
      <c r="C38" s="361"/>
      <c r="D38" s="361"/>
      <c r="E38" s="357"/>
      <c r="F38" s="357"/>
    </row>
    <row r="39" spans="1:8" ht="15" x14ac:dyDescent="0.2">
      <c r="A39" s="380"/>
      <c r="B39" s="352"/>
      <c r="C39" s="352"/>
      <c r="D39" s="352"/>
      <c r="E39" s="357"/>
      <c r="F39" s="357"/>
    </row>
    <row r="40" spans="1:8" ht="18.75" x14ac:dyDescent="0.2">
      <c r="A40" s="392" t="s">
        <v>2629</v>
      </c>
      <c r="B40" s="393"/>
      <c r="C40" s="393"/>
      <c r="D40" s="393"/>
      <c r="E40" s="394"/>
      <c r="F40" s="358">
        <f>E24+F24</f>
        <v>11812.8</v>
      </c>
      <c r="G40" s="348"/>
      <c r="H40" s="348"/>
    </row>
    <row r="41" spans="1:8" ht="13.5" x14ac:dyDescent="0.25">
      <c r="A41" s="351"/>
      <c r="B41" s="351"/>
      <c r="C41" s="351"/>
      <c r="D41" s="351"/>
      <c r="E41" s="351"/>
      <c r="F41" s="351"/>
      <c r="G41" s="348"/>
      <c r="H41" s="348"/>
    </row>
    <row r="42" spans="1:8" ht="13.5" x14ac:dyDescent="0.25">
      <c r="A42" s="351"/>
      <c r="B42" s="351"/>
      <c r="C42" s="351"/>
      <c r="D42" s="351"/>
      <c r="E42" s="351"/>
      <c r="F42" s="351"/>
      <c r="G42" s="348"/>
      <c r="H42" s="348"/>
    </row>
    <row r="43" spans="1:8" ht="13.5" x14ac:dyDescent="0.25">
      <c r="A43" s="351"/>
      <c r="B43" s="351"/>
      <c r="C43" s="351"/>
      <c r="D43" s="351"/>
      <c r="E43" s="351"/>
      <c r="F43" s="351"/>
      <c r="G43" s="348"/>
      <c r="H43" s="348"/>
    </row>
    <row r="44" spans="1:8" ht="13.5" x14ac:dyDescent="0.25">
      <c r="A44" s="400" t="s">
        <v>2591</v>
      </c>
      <c r="B44" s="401"/>
      <c r="C44" s="400" t="s">
        <v>2592</v>
      </c>
      <c r="D44" s="402"/>
      <c r="E44" s="402"/>
      <c r="F44" s="401"/>
      <c r="G44" s="348"/>
      <c r="H44" s="348"/>
    </row>
    <row r="45" spans="1:8" ht="13.5" x14ac:dyDescent="0.25">
      <c r="A45" s="360"/>
      <c r="B45" s="372"/>
      <c r="C45" s="359"/>
      <c r="D45" s="351"/>
      <c r="E45" s="351"/>
      <c r="F45" s="373"/>
      <c r="G45" s="348"/>
      <c r="H45" s="348"/>
    </row>
    <row r="46" spans="1:8" ht="13.5" x14ac:dyDescent="0.25">
      <c r="A46" s="360"/>
      <c r="B46" s="372"/>
      <c r="C46" s="359"/>
      <c r="D46" s="351"/>
      <c r="E46" s="351"/>
      <c r="F46" s="373"/>
    </row>
    <row r="47" spans="1:8" ht="13.5" x14ac:dyDescent="0.25">
      <c r="A47" s="360"/>
      <c r="B47" s="372"/>
      <c r="C47" s="359"/>
      <c r="D47" s="351"/>
      <c r="E47" s="351"/>
      <c r="F47" s="373"/>
    </row>
    <row r="48" spans="1:8" ht="13.5" x14ac:dyDescent="0.25">
      <c r="A48" s="360"/>
      <c r="B48" s="351"/>
      <c r="C48" s="360"/>
      <c r="D48" s="351"/>
      <c r="E48" s="351"/>
      <c r="F48" s="373"/>
    </row>
    <row r="49" spans="1:6" ht="13.5" x14ac:dyDescent="0.25">
      <c r="A49" s="389" t="s">
        <v>2593</v>
      </c>
      <c r="B49" s="390"/>
      <c r="C49" s="389" t="s">
        <v>2593</v>
      </c>
      <c r="D49" s="391"/>
      <c r="E49" s="391"/>
      <c r="F49" s="390"/>
    </row>
    <row r="50" spans="1:6" x14ac:dyDescent="0.2">
      <c r="B50" s="349"/>
    </row>
  </sheetData>
  <mergeCells count="16">
    <mergeCell ref="A49:B49"/>
    <mergeCell ref="C49:F49"/>
    <mergeCell ref="B13:F13"/>
    <mergeCell ref="C12:D12"/>
    <mergeCell ref="E12:F12"/>
    <mergeCell ref="A44:B44"/>
    <mergeCell ref="C44:F44"/>
    <mergeCell ref="C11:D11"/>
    <mergeCell ref="E11:F11"/>
    <mergeCell ref="A40:E40"/>
    <mergeCell ref="A14:F14"/>
    <mergeCell ref="A6:F6"/>
    <mergeCell ref="C8:D9"/>
    <mergeCell ref="E8:F9"/>
    <mergeCell ref="C10:D10"/>
    <mergeCell ref="E10:F10"/>
  </mergeCells>
  <pageMargins left="0.7" right="0.7" top="0.75" bottom="0.75" header="0.3" footer="0.3"/>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7651-D608-49A5-B718-5DFA0ACF46D1}">
  <sheetPr>
    <pageSetUpPr fitToPage="1"/>
  </sheetPr>
  <dimension ref="A5:T50"/>
  <sheetViews>
    <sheetView tabSelected="1" view="pageBreakPreview" topLeftCell="A2" zoomScaleNormal="100" workbookViewId="0">
      <selection activeCell="B24" sqref="B24"/>
    </sheetView>
  </sheetViews>
  <sheetFormatPr defaultColWidth="9.140625" defaultRowHeight="12.75" x14ac:dyDescent="0.2"/>
  <cols>
    <col min="1" max="1" width="12.7109375" style="345" bestFit="1" customWidth="1"/>
    <col min="2" max="2" width="48" style="345" customWidth="1"/>
    <col min="3" max="3" width="4.5703125" style="345" bestFit="1" customWidth="1"/>
    <col min="4" max="4" width="12.85546875" style="345" bestFit="1" customWidth="1"/>
    <col min="5" max="5" width="12.5703125" style="345" customWidth="1"/>
    <col min="6" max="6" width="19" style="345" customWidth="1"/>
    <col min="7" max="7" width="9.140625" style="345"/>
    <col min="8" max="8" width="10.140625" style="345" customWidth="1"/>
    <col min="9" max="9" width="11.140625" style="345" customWidth="1"/>
    <col min="10" max="16384" width="9.140625" style="345"/>
  </cols>
  <sheetData>
    <row r="5" spans="1:7" ht="56.45" customHeight="1" x14ac:dyDescent="0.2"/>
    <row r="6" spans="1:7" s="376" customFormat="1" ht="21" x14ac:dyDescent="0.35">
      <c r="A6" s="403" t="s">
        <v>2634</v>
      </c>
      <c r="B6" s="404"/>
      <c r="C6" s="404"/>
      <c r="D6" s="404"/>
      <c r="E6" s="404"/>
      <c r="F6" s="405"/>
    </row>
    <row r="7" spans="1:7" ht="13.9" customHeight="1" x14ac:dyDescent="0.25">
      <c r="A7" s="351"/>
      <c r="B7" s="351"/>
      <c r="C7" s="351"/>
      <c r="D7" s="351"/>
      <c r="E7" s="351"/>
      <c r="F7" s="351"/>
    </row>
    <row r="8" spans="1:7" ht="21" customHeight="1" x14ac:dyDescent="0.25">
      <c r="A8" s="377" t="s">
        <v>2560</v>
      </c>
      <c r="B8" s="387" t="str">
        <f>'Service Ticket (Original)'!B8</f>
        <v>HAROUGE</v>
      </c>
      <c r="C8" s="406" t="s">
        <v>2562</v>
      </c>
      <c r="D8" s="406"/>
      <c r="E8" s="407">
        <f>'Service Ticket (Original)'!E8</f>
        <v>1897</v>
      </c>
      <c r="F8" s="407"/>
    </row>
    <row r="9" spans="1:7" ht="21" customHeight="1" x14ac:dyDescent="0.25">
      <c r="A9" s="377" t="s">
        <v>2563</v>
      </c>
      <c r="B9" s="387" t="str">
        <f>'Service Ticket (Original)'!B9</f>
        <v>GHANI</v>
      </c>
      <c r="C9" s="406"/>
      <c r="D9" s="406"/>
      <c r="E9" s="407"/>
      <c r="F9" s="407"/>
    </row>
    <row r="10" spans="1:7" ht="21" customHeight="1" x14ac:dyDescent="0.25">
      <c r="A10" s="377" t="s">
        <v>2565</v>
      </c>
      <c r="B10" s="387" t="str">
        <f>'Service Ticket (Original)'!B10</f>
        <v>VVV08-11</v>
      </c>
      <c r="C10" s="398" t="s">
        <v>2632</v>
      </c>
      <c r="D10" s="398"/>
      <c r="E10" s="408" t="str">
        <f>'Service Ticket (Original)'!E10</f>
        <v>M. Gomoha , Abdsalam</v>
      </c>
      <c r="F10" s="408"/>
    </row>
    <row r="11" spans="1:7" ht="21" customHeight="1" x14ac:dyDescent="0.25">
      <c r="A11" s="377" t="s">
        <v>2568</v>
      </c>
      <c r="B11" s="387" t="str">
        <f>'Service Ticket (Original)'!B11</f>
        <v>ADC#27</v>
      </c>
      <c r="C11" s="398" t="s">
        <v>2570</v>
      </c>
      <c r="D11" s="398"/>
      <c r="E11" s="399">
        <f>'Service Ticket (Original)'!E11</f>
        <v>46207</v>
      </c>
      <c r="F11" s="399"/>
    </row>
    <row r="12" spans="1:7" ht="21" customHeight="1" x14ac:dyDescent="0.25">
      <c r="A12" s="377" t="s">
        <v>2571</v>
      </c>
      <c r="B12" s="387">
        <f>'Service Ticket (Original)'!B12</f>
        <v>450</v>
      </c>
      <c r="C12" s="398" t="s">
        <v>2572</v>
      </c>
      <c r="D12" s="398"/>
      <c r="E12" s="399">
        <f>'Service Ticket (Original)'!E12</f>
        <v>46220</v>
      </c>
      <c r="F12" s="399"/>
    </row>
    <row r="13" spans="1:7" ht="21" customHeight="1" x14ac:dyDescent="0.25">
      <c r="A13" s="377" t="s">
        <v>2626</v>
      </c>
      <c r="B13" s="537" t="str">
        <f>'Service Ticket (Original)'!B13</f>
        <v>Operational Base Coordinates: Awjilah (+29.107970, +21.376782)</v>
      </c>
      <c r="C13" s="537"/>
      <c r="D13" s="537"/>
      <c r="E13" s="537"/>
      <c r="F13" s="537"/>
    </row>
    <row r="14" spans="1:7" ht="26.45" customHeight="1" x14ac:dyDescent="0.2">
      <c r="A14" s="395" t="str">
        <f>'Service Ticket (Original)'!A14</f>
        <v xml:space="preserve"> 7'' Combination For CSG Test &amp; Cement Job</v>
      </c>
      <c r="B14" s="396"/>
      <c r="C14" s="396"/>
      <c r="D14" s="396"/>
      <c r="E14" s="396"/>
      <c r="F14" s="397"/>
    </row>
    <row r="15" spans="1:7" ht="15.75" x14ac:dyDescent="0.2">
      <c r="A15" s="378" t="s">
        <v>2573</v>
      </c>
      <c r="B15" s="378" t="s">
        <v>2574</v>
      </c>
      <c r="C15" s="378" t="s">
        <v>2575</v>
      </c>
      <c r="D15" s="378" t="s">
        <v>9</v>
      </c>
      <c r="E15" s="378" t="s">
        <v>2627</v>
      </c>
      <c r="F15" s="378" t="s">
        <v>2628</v>
      </c>
    </row>
    <row r="16" spans="1:7" ht="21" customHeight="1" x14ac:dyDescent="0.2">
      <c r="A16" s="388" t="str">
        <f>'Service Ticket (Original)'!A16</f>
        <v>MKN-1801</v>
      </c>
      <c r="B16" s="352" t="str">
        <f>'Service Ticket (Original)'!B16</f>
        <v>Pick-up with tools traveling to wells, per KM.</v>
      </c>
      <c r="C16" s="361">
        <f>'Service Ticket (Original)'!C16</f>
        <v>900</v>
      </c>
      <c r="D16" s="366" t="str">
        <f>'Service Ticket (Original)'!D16</f>
        <v>km (Round Trip)</v>
      </c>
      <c r="E16" s="353">
        <f>'Service Ticket (Original)'!E16</f>
        <v>3.9</v>
      </c>
      <c r="F16" s="354">
        <f>'Service Ticket (Original)'!F16</f>
        <v>3510</v>
      </c>
      <c r="G16" s="346"/>
    </row>
    <row r="17" spans="1:20" ht="24" customHeight="1" x14ac:dyDescent="0.2">
      <c r="A17" s="388" t="str">
        <f>'Service Ticket (Original)'!A17</f>
        <v>MKN-1804</v>
      </c>
      <c r="B17" s="352" t="str">
        <f>'Service Ticket (Original)'!B17</f>
        <v>Supervisor or Engineer, per day or fraction</v>
      </c>
      <c r="C17" s="361">
        <f>'Service Ticket (Original)'!C17</f>
        <v>4</v>
      </c>
      <c r="D17" s="361" t="str">
        <f>'Service Ticket (Original)'!D17</f>
        <v>Day</v>
      </c>
      <c r="E17" s="353">
        <f>'Service Ticket (Original)'!E17</f>
        <v>1050</v>
      </c>
      <c r="F17" s="354">
        <f>'Service Ticket (Original)'!F17</f>
        <v>4200</v>
      </c>
      <c r="G17" s="346"/>
      <c r="H17" s="346"/>
    </row>
    <row r="18" spans="1:20" ht="24" customHeight="1" x14ac:dyDescent="0.2">
      <c r="A18" s="388" t="str">
        <f>'Service Ticket (Original)'!A18</f>
        <v>MKN-1828</v>
      </c>
      <c r="B18" s="352" t="str">
        <f>'Service Ticket (Original)'!B18</f>
        <v>Retrievable Bridg Plug Size thru 7'': First  Day</v>
      </c>
      <c r="C18" s="361">
        <f>'Service Ticket (Original)'!C18</f>
        <v>1</v>
      </c>
      <c r="D18" s="361" t="str">
        <f>'Service Ticket (Original)'!D18</f>
        <v>Day</v>
      </c>
      <c r="E18" s="353">
        <f>'Service Ticket (Original)'!E18</f>
        <v>1900</v>
      </c>
      <c r="F18" s="354">
        <f>'Service Ticket (Original)'!F18</f>
        <v>1900</v>
      </c>
      <c r="G18" s="346"/>
      <c r="H18" s="346"/>
      <c r="I18" s="346"/>
      <c r="J18" s="346"/>
      <c r="K18" s="346"/>
      <c r="L18" s="346"/>
      <c r="M18" s="346"/>
      <c r="N18" s="346"/>
      <c r="O18" s="346"/>
      <c r="P18" s="346"/>
      <c r="Q18" s="346"/>
      <c r="R18" s="346"/>
      <c r="S18" s="346"/>
      <c r="T18" s="346"/>
    </row>
    <row r="19" spans="1:20" ht="30.75" customHeight="1" x14ac:dyDescent="0.2">
      <c r="A19" s="388" t="str">
        <f>'Service Ticket (Original)'!A19</f>
        <v>MKN-1829</v>
      </c>
      <c r="B19" s="352" t="str">
        <f>'Service Ticket (Original)'!B19</f>
        <v>Retrievable Bridg Plug Size thru 7'': After First  Day</v>
      </c>
      <c r="C19" s="361">
        <f>'Service Ticket (Original)'!C19</f>
        <v>13</v>
      </c>
      <c r="D19" s="361" t="str">
        <f>'Service Ticket (Original)'!D19</f>
        <v>Day</v>
      </c>
      <c r="E19" s="353">
        <f>'Service Ticket (Original)'!E19</f>
        <v>800</v>
      </c>
      <c r="F19" s="354">
        <f>'Service Ticket (Original)'!F19</f>
        <v>10400</v>
      </c>
      <c r="G19" s="346"/>
      <c r="H19" s="346"/>
      <c r="I19" s="346"/>
      <c r="J19" s="346"/>
      <c r="K19" s="346"/>
      <c r="L19" s="346"/>
      <c r="M19" s="346"/>
      <c r="N19" s="346"/>
      <c r="O19" s="346"/>
      <c r="P19" s="346"/>
      <c r="Q19" s="346"/>
      <c r="R19" s="346"/>
      <c r="S19" s="346"/>
      <c r="T19" s="346"/>
    </row>
    <row r="20" spans="1:20" ht="24" customHeight="1" x14ac:dyDescent="0.2">
      <c r="A20" s="388" t="str">
        <f>'Service Ticket (Original)'!A20</f>
        <v>MKN-1808</v>
      </c>
      <c r="B20" s="352" t="str">
        <f>'Service Ticket (Original)'!B20</f>
        <v xml:space="preserve">Packer Size thru 7'': First Day </v>
      </c>
      <c r="C20" s="361">
        <f>'Service Ticket (Original)'!C20</f>
        <v>1</v>
      </c>
      <c r="D20" s="361" t="str">
        <f>'Service Ticket (Original)'!D20</f>
        <v>Day</v>
      </c>
      <c r="E20" s="353">
        <f>'Service Ticket (Original)'!E20</f>
        <v>2200</v>
      </c>
      <c r="F20" s="354">
        <f>'Service Ticket (Original)'!F20</f>
        <v>2200</v>
      </c>
      <c r="G20" s="346"/>
      <c r="H20" s="346"/>
    </row>
    <row r="21" spans="1:20" ht="24" customHeight="1" x14ac:dyDescent="0.2">
      <c r="A21" s="388" t="str">
        <f>'Service Ticket (Original)'!A21</f>
        <v>MKN-1809</v>
      </c>
      <c r="B21" s="352" t="str">
        <f>'Service Ticket (Original)'!B21</f>
        <v xml:space="preserve">Packer Size thru 7'': After First Day </v>
      </c>
      <c r="C21" s="361">
        <f>'Service Ticket (Original)'!C21</f>
        <v>3</v>
      </c>
      <c r="D21" s="361" t="str">
        <f>'Service Ticket (Original)'!D21</f>
        <v>Day</v>
      </c>
      <c r="E21" s="353">
        <f>'Service Ticket (Original)'!E21</f>
        <v>800</v>
      </c>
      <c r="F21" s="354">
        <f>'Service Ticket (Original)'!F21</f>
        <v>2400</v>
      </c>
      <c r="G21" s="346"/>
      <c r="H21" s="346"/>
      <c r="I21" s="346"/>
      <c r="J21" s="346"/>
      <c r="K21" s="346"/>
      <c r="L21" s="346"/>
      <c r="M21" s="346"/>
      <c r="N21" s="346"/>
      <c r="O21" s="346"/>
      <c r="P21" s="346"/>
      <c r="Q21" s="346"/>
      <c r="R21" s="346"/>
      <c r="S21" s="346"/>
      <c r="T21" s="346"/>
    </row>
    <row r="22" spans="1:20" ht="15" x14ac:dyDescent="0.2">
      <c r="A22" s="388" t="str">
        <f>'Service Ticket (Original)'!A22</f>
        <v>MKN-1963</v>
      </c>
      <c r="B22" s="352" t="str">
        <f>'Service Ticket (Original)'!B22</f>
        <v>DESERT/MARINE Surchargeadd to all invoices</v>
      </c>
      <c r="C22" s="361">
        <f>'Service Ticket (Original)'!C22</f>
        <v>0</v>
      </c>
      <c r="D22" s="361">
        <f>'Service Ticket (Original)'!D22</f>
        <v>0.2</v>
      </c>
      <c r="E22" s="353">
        <f>'Service Ticket (Original)'!E22</f>
        <v>24610</v>
      </c>
      <c r="F22" s="354">
        <f>'Service Ticket (Original)'!F22</f>
        <v>4922</v>
      </c>
    </row>
    <row r="23" spans="1:20" ht="15" x14ac:dyDescent="0.2">
      <c r="A23" s="388">
        <f>'Service Ticket (Original)'!A23</f>
        <v>0</v>
      </c>
      <c r="B23" s="352">
        <f>'Service Ticket (Original)'!B23</f>
        <v>0</v>
      </c>
      <c r="C23" s="361">
        <f>'Service Ticket (Original)'!C23</f>
        <v>0</v>
      </c>
      <c r="D23" s="361">
        <f>'Service Ticket (Original)'!D23</f>
        <v>0</v>
      </c>
      <c r="E23" s="353">
        <f>'Service Ticket (Original)'!E23</f>
        <v>0</v>
      </c>
      <c r="F23" s="354">
        <f>'Service Ticket (Original)'!F23</f>
        <v>0</v>
      </c>
    </row>
    <row r="24" spans="1:20" ht="15" x14ac:dyDescent="0.2">
      <c r="A24" s="388">
        <f>'Service Ticket (Original)'!A24</f>
        <v>0</v>
      </c>
      <c r="B24" s="352" t="str">
        <f>'Service Ticket (Original)'!B24</f>
        <v>Discount 60%</v>
      </c>
      <c r="C24" s="361">
        <f>'Service Ticket (Original)'!C24</f>
        <v>0</v>
      </c>
      <c r="D24" s="361">
        <f>'Service Ticket (Original)'!D24</f>
        <v>0</v>
      </c>
      <c r="E24" s="353">
        <f>'Service Ticket (Original)'!E24</f>
        <v>29532</v>
      </c>
      <c r="F24" s="354">
        <f>'Service Ticket (Original)'!F24</f>
        <v>-17719.2</v>
      </c>
    </row>
    <row r="25" spans="1:20" ht="15" x14ac:dyDescent="0.2">
      <c r="A25" s="388">
        <f>'Service Ticket (Original)'!A25</f>
        <v>0</v>
      </c>
      <c r="B25" s="352">
        <f>'Service Ticket (Original)'!B25</f>
        <v>0</v>
      </c>
      <c r="C25" s="361">
        <f>'Service Ticket (Original)'!C25</f>
        <v>0</v>
      </c>
      <c r="D25" s="361">
        <f>'Service Ticket (Original)'!D25</f>
        <v>0</v>
      </c>
      <c r="E25" s="353">
        <f>'Service Ticket (Original)'!E25</f>
        <v>0</v>
      </c>
      <c r="F25" s="354">
        <f>'Service Ticket (Original)'!F25</f>
        <v>0</v>
      </c>
    </row>
    <row r="26" spans="1:20" ht="15" x14ac:dyDescent="0.2">
      <c r="A26" s="388">
        <f>'Service Ticket (Original)'!A26</f>
        <v>0</v>
      </c>
      <c r="B26" s="352">
        <f>'Service Ticket (Original)'!B26</f>
        <v>0</v>
      </c>
      <c r="C26" s="361">
        <f>'Service Ticket (Original)'!C26</f>
        <v>0</v>
      </c>
      <c r="D26" s="361">
        <f>'Service Ticket (Original)'!D26</f>
        <v>0</v>
      </c>
      <c r="E26" s="353">
        <f>'Service Ticket (Original)'!E26</f>
        <v>0</v>
      </c>
      <c r="F26" s="354">
        <f>'Service Ticket (Original)'!F26</f>
        <v>0</v>
      </c>
    </row>
    <row r="27" spans="1:20" ht="15" x14ac:dyDescent="0.2">
      <c r="A27" s="388">
        <f>'Service Ticket (Original)'!A27</f>
        <v>0</v>
      </c>
      <c r="B27" s="352">
        <f>'Service Ticket (Original)'!B27</f>
        <v>0</v>
      </c>
      <c r="C27" s="361">
        <f>'Service Ticket (Original)'!C27</f>
        <v>0</v>
      </c>
      <c r="D27" s="361">
        <f>'Service Ticket (Original)'!D27</f>
        <v>0</v>
      </c>
      <c r="E27" s="353">
        <f>'Service Ticket (Original)'!E27</f>
        <v>0</v>
      </c>
      <c r="F27" s="354">
        <f>'Service Ticket (Original)'!F27</f>
        <v>0</v>
      </c>
    </row>
    <row r="28" spans="1:20" ht="15" x14ac:dyDescent="0.2">
      <c r="A28" s="388">
        <f>'Service Ticket (Original)'!A28</f>
        <v>0</v>
      </c>
      <c r="B28" s="352">
        <f>'Service Ticket (Original)'!B28</f>
        <v>0</v>
      </c>
      <c r="C28" s="361">
        <f>'Service Ticket (Original)'!C28</f>
        <v>0</v>
      </c>
      <c r="D28" s="361">
        <f>'Service Ticket (Original)'!D28</f>
        <v>0</v>
      </c>
      <c r="E28" s="353">
        <f>'Service Ticket (Original)'!E28</f>
        <v>0</v>
      </c>
      <c r="F28" s="354">
        <f>'Service Ticket (Original)'!F28</f>
        <v>0</v>
      </c>
    </row>
    <row r="29" spans="1:20" ht="15" x14ac:dyDescent="0.2">
      <c r="A29" s="388">
        <f>'Service Ticket (Original)'!A29</f>
        <v>0</v>
      </c>
      <c r="B29" s="352">
        <f>'Service Ticket (Original)'!B29</f>
        <v>0</v>
      </c>
      <c r="C29" s="361">
        <f>'Service Ticket (Original)'!C29</f>
        <v>0</v>
      </c>
      <c r="D29" s="361">
        <f>'Service Ticket (Original)'!D29</f>
        <v>0</v>
      </c>
      <c r="E29" s="353">
        <f>'Service Ticket (Original)'!E29</f>
        <v>0</v>
      </c>
      <c r="F29" s="354">
        <f>'Service Ticket (Original)'!F29</f>
        <v>0</v>
      </c>
    </row>
    <row r="30" spans="1:20" ht="15" x14ac:dyDescent="0.2">
      <c r="A30" s="388">
        <f>'Service Ticket (Original)'!A30</f>
        <v>0</v>
      </c>
      <c r="B30" s="352">
        <f>'Service Ticket (Original)'!B30</f>
        <v>0</v>
      </c>
      <c r="C30" s="361">
        <f>'Service Ticket (Original)'!C30</f>
        <v>0</v>
      </c>
      <c r="D30" s="361">
        <f>'Service Ticket (Original)'!D30</f>
        <v>0</v>
      </c>
      <c r="E30" s="353">
        <f>'Service Ticket (Original)'!E30</f>
        <v>0</v>
      </c>
      <c r="F30" s="354">
        <f>'Service Ticket (Original)'!F30</f>
        <v>0</v>
      </c>
    </row>
    <row r="31" spans="1:20" ht="15" x14ac:dyDescent="0.2">
      <c r="A31" s="388">
        <f>'Service Ticket (Original)'!A31</f>
        <v>0</v>
      </c>
      <c r="B31" s="352">
        <f>'Service Ticket (Original)'!B31</f>
        <v>0</v>
      </c>
      <c r="C31" s="361">
        <f>'Service Ticket (Original)'!C31</f>
        <v>0</v>
      </c>
      <c r="D31" s="361">
        <f>'Service Ticket (Original)'!D31</f>
        <v>0</v>
      </c>
      <c r="E31" s="353">
        <f>'Service Ticket (Original)'!E31</f>
        <v>0</v>
      </c>
      <c r="F31" s="354">
        <f>'Service Ticket (Original)'!F31</f>
        <v>0</v>
      </c>
      <c r="I31" s="347"/>
    </row>
    <row r="32" spans="1:20" ht="15" x14ac:dyDescent="0.2">
      <c r="A32" s="388">
        <f>'Service Ticket (Original)'!A32</f>
        <v>0</v>
      </c>
      <c r="B32" s="352">
        <f>'Service Ticket (Original)'!B32</f>
        <v>0</v>
      </c>
      <c r="C32" s="361">
        <f>'Service Ticket (Original)'!C32</f>
        <v>0</v>
      </c>
      <c r="D32" s="361">
        <f>'Service Ticket (Original)'!D32</f>
        <v>0</v>
      </c>
      <c r="E32" s="353">
        <f>'Service Ticket (Original)'!E32</f>
        <v>0</v>
      </c>
      <c r="F32" s="354">
        <f>'Service Ticket (Original)'!F32</f>
        <v>0</v>
      </c>
    </row>
    <row r="33" spans="1:8" ht="15" x14ac:dyDescent="0.2">
      <c r="A33" s="388">
        <f>'Service Ticket (Original)'!A33</f>
        <v>0</v>
      </c>
      <c r="B33" s="352">
        <f>'Service Ticket (Original)'!B33</f>
        <v>0</v>
      </c>
      <c r="C33" s="361">
        <f>'Service Ticket (Original)'!C33</f>
        <v>0</v>
      </c>
      <c r="D33" s="361">
        <f>'Service Ticket (Original)'!D33</f>
        <v>0</v>
      </c>
      <c r="E33" s="353">
        <f>'Service Ticket (Original)'!E33</f>
        <v>0</v>
      </c>
      <c r="F33" s="354">
        <f>'Service Ticket (Original)'!F33</f>
        <v>0</v>
      </c>
    </row>
    <row r="34" spans="1:8" ht="15" x14ac:dyDescent="0.2">
      <c r="A34" s="388">
        <f>'Service Ticket (Original)'!A34</f>
        <v>0</v>
      </c>
      <c r="B34" s="352">
        <f>'Service Ticket (Original)'!B34</f>
        <v>0</v>
      </c>
      <c r="C34" s="361">
        <f>'Service Ticket (Original)'!C34</f>
        <v>0</v>
      </c>
      <c r="D34" s="361">
        <f>'Service Ticket (Original)'!D34</f>
        <v>0</v>
      </c>
      <c r="E34" s="353">
        <f>'Service Ticket (Original)'!E34</f>
        <v>0</v>
      </c>
      <c r="F34" s="354">
        <f>'Service Ticket (Original)'!F34</f>
        <v>0</v>
      </c>
    </row>
    <row r="35" spans="1:8" ht="15" x14ac:dyDescent="0.2">
      <c r="A35" s="388">
        <f>'Service Ticket (Original)'!A35</f>
        <v>0</v>
      </c>
      <c r="B35" s="352">
        <f>'Service Ticket (Original)'!B35</f>
        <v>0</v>
      </c>
      <c r="C35" s="361">
        <f>'Service Ticket (Original)'!C35</f>
        <v>0</v>
      </c>
      <c r="D35" s="361">
        <f>'Service Ticket (Original)'!D35</f>
        <v>0</v>
      </c>
      <c r="E35" s="353">
        <f>'Service Ticket (Original)'!E35</f>
        <v>0</v>
      </c>
      <c r="F35" s="354">
        <f>'Service Ticket (Original)'!F35</f>
        <v>0</v>
      </c>
    </row>
    <row r="36" spans="1:8" ht="15" x14ac:dyDescent="0.2">
      <c r="A36" s="388">
        <f>'Service Ticket (Original)'!A36</f>
        <v>0</v>
      </c>
      <c r="B36" s="352">
        <f>'Service Ticket (Original)'!B36</f>
        <v>0</v>
      </c>
      <c r="C36" s="361">
        <f>'Service Ticket (Original)'!C36</f>
        <v>0</v>
      </c>
      <c r="D36" s="361">
        <f>'Service Ticket (Original)'!D36</f>
        <v>0</v>
      </c>
      <c r="E36" s="353">
        <f>'Service Ticket (Original)'!E36</f>
        <v>0</v>
      </c>
      <c r="F36" s="354">
        <f>'Service Ticket (Original)'!F36</f>
        <v>0</v>
      </c>
    </row>
    <row r="37" spans="1:8" ht="15" x14ac:dyDescent="0.2">
      <c r="A37" s="388">
        <f>'Service Ticket (Original)'!A37</f>
        <v>0</v>
      </c>
      <c r="B37" s="352">
        <f>'Service Ticket (Original)'!B37</f>
        <v>0</v>
      </c>
      <c r="C37" s="361">
        <f>'Service Ticket (Original)'!C37</f>
        <v>0</v>
      </c>
      <c r="D37" s="361">
        <f>'Service Ticket (Original)'!D37</f>
        <v>0</v>
      </c>
      <c r="E37" s="353">
        <f>'Service Ticket (Original)'!E37</f>
        <v>0</v>
      </c>
      <c r="F37" s="354">
        <f>'Service Ticket (Original)'!F37</f>
        <v>0</v>
      </c>
    </row>
    <row r="38" spans="1:8" ht="15" x14ac:dyDescent="0.2">
      <c r="A38" s="388">
        <f>'Service Ticket (Original)'!A38</f>
        <v>0</v>
      </c>
      <c r="B38" s="352">
        <f>'Service Ticket (Original)'!B38</f>
        <v>0</v>
      </c>
      <c r="C38" s="361">
        <f>'Service Ticket (Original)'!C38</f>
        <v>0</v>
      </c>
      <c r="D38" s="361">
        <f>'Service Ticket (Original)'!D38</f>
        <v>0</v>
      </c>
      <c r="E38" s="353">
        <f>'Service Ticket (Original)'!E38</f>
        <v>0</v>
      </c>
      <c r="F38" s="354">
        <f>'Service Ticket (Original)'!F38</f>
        <v>0</v>
      </c>
    </row>
    <row r="39" spans="1:8" ht="15" x14ac:dyDescent="0.2">
      <c r="A39" s="388">
        <f>'Service Ticket (Original)'!A39</f>
        <v>0</v>
      </c>
      <c r="B39" s="352">
        <f>'Service Ticket (Original)'!B39</f>
        <v>0</v>
      </c>
      <c r="C39" s="361">
        <f>'Service Ticket (Original)'!C39</f>
        <v>0</v>
      </c>
      <c r="D39" s="361">
        <f>'Service Ticket (Original)'!D39</f>
        <v>0</v>
      </c>
      <c r="E39" s="353">
        <f>'Service Ticket (Original)'!E39</f>
        <v>0</v>
      </c>
      <c r="F39" s="354">
        <f>'Service Ticket (Original)'!F39</f>
        <v>0</v>
      </c>
    </row>
    <row r="40" spans="1:8" ht="18.75" x14ac:dyDescent="0.2">
      <c r="A40" s="392" t="str">
        <f>'Service Ticket (Original)'!A40</f>
        <v xml:space="preserve"> Total =</v>
      </c>
      <c r="B40" s="393"/>
      <c r="C40" s="393"/>
      <c r="D40" s="393"/>
      <c r="E40" s="394"/>
      <c r="F40" s="358">
        <f>'Service Ticket (Original)'!F40</f>
        <v>11812.8</v>
      </c>
      <c r="G40" s="348"/>
      <c r="H40" s="348"/>
    </row>
    <row r="41" spans="1:8" ht="13.5" x14ac:dyDescent="0.25">
      <c r="A41" s="351"/>
      <c r="B41" s="351"/>
      <c r="C41" s="351"/>
      <c r="D41" s="351"/>
      <c r="E41" s="351"/>
      <c r="F41" s="351"/>
      <c r="G41" s="348"/>
      <c r="H41" s="348"/>
    </row>
    <row r="42" spans="1:8" ht="13.5" x14ac:dyDescent="0.25">
      <c r="A42" s="351"/>
      <c r="B42" s="351"/>
      <c r="C42" s="351"/>
      <c r="D42" s="351"/>
      <c r="E42" s="351"/>
      <c r="F42" s="351"/>
      <c r="G42" s="348"/>
      <c r="H42" s="348"/>
    </row>
    <row r="43" spans="1:8" ht="13.5" x14ac:dyDescent="0.25">
      <c r="A43" s="351"/>
      <c r="B43" s="351"/>
      <c r="C43" s="351"/>
      <c r="D43" s="351"/>
      <c r="E43" s="351"/>
      <c r="F43" s="351"/>
      <c r="G43" s="348"/>
      <c r="H43" s="348"/>
    </row>
    <row r="44" spans="1:8" ht="13.5" x14ac:dyDescent="0.25">
      <c r="A44" s="400" t="s">
        <v>2591</v>
      </c>
      <c r="B44" s="401"/>
      <c r="C44" s="400" t="s">
        <v>2592</v>
      </c>
      <c r="D44" s="402"/>
      <c r="E44" s="402"/>
      <c r="F44" s="401"/>
      <c r="G44" s="348"/>
      <c r="H44" s="348"/>
    </row>
    <row r="45" spans="1:8" ht="13.5" x14ac:dyDescent="0.25">
      <c r="A45" s="360"/>
      <c r="B45" s="372"/>
      <c r="C45" s="359"/>
      <c r="D45" s="351"/>
      <c r="E45" s="351"/>
      <c r="F45" s="373"/>
      <c r="G45" s="348"/>
      <c r="H45" s="348"/>
    </row>
    <row r="46" spans="1:8" ht="13.5" x14ac:dyDescent="0.25">
      <c r="A46" s="360"/>
      <c r="B46" s="372"/>
      <c r="C46" s="359"/>
      <c r="D46" s="351"/>
      <c r="E46" s="351"/>
      <c r="F46" s="373"/>
    </row>
    <row r="47" spans="1:8" ht="13.5" x14ac:dyDescent="0.25">
      <c r="A47" s="360"/>
      <c r="B47" s="372"/>
      <c r="C47" s="359"/>
      <c r="D47" s="351"/>
      <c r="E47" s="351"/>
      <c r="F47" s="373"/>
    </row>
    <row r="48" spans="1:8" ht="13.5" x14ac:dyDescent="0.25">
      <c r="A48" s="360"/>
      <c r="B48" s="351"/>
      <c r="C48" s="360"/>
      <c r="D48" s="351"/>
      <c r="E48" s="351"/>
      <c r="F48" s="373"/>
    </row>
    <row r="49" spans="1:6" ht="13.5" x14ac:dyDescent="0.25">
      <c r="A49" s="389" t="s">
        <v>2593</v>
      </c>
      <c r="B49" s="390"/>
      <c r="C49" s="389" t="s">
        <v>2593</v>
      </c>
      <c r="D49" s="391"/>
      <c r="E49" s="391"/>
      <c r="F49" s="390"/>
    </row>
    <row r="50" spans="1:6" x14ac:dyDescent="0.2">
      <c r="B50" s="349"/>
    </row>
  </sheetData>
  <mergeCells count="16">
    <mergeCell ref="C11:D11"/>
    <mergeCell ref="E11:F11"/>
    <mergeCell ref="A6:F6"/>
    <mergeCell ref="C8:D9"/>
    <mergeCell ref="E8:F9"/>
    <mergeCell ref="C10:D10"/>
    <mergeCell ref="E10:F10"/>
    <mergeCell ref="A49:B49"/>
    <mergeCell ref="C49:F49"/>
    <mergeCell ref="A40:E40"/>
    <mergeCell ref="A14:F14"/>
    <mergeCell ref="C12:D12"/>
    <mergeCell ref="E12:F12"/>
    <mergeCell ref="B13:F13"/>
    <mergeCell ref="A44:B44"/>
    <mergeCell ref="C44:F44"/>
  </mergeCells>
  <pageMargins left="0.7" right="0.7" top="0.75" bottom="0.75" header="0.3" footer="0.3"/>
  <pageSetup scale="8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453D-EFE6-4A34-815A-1BE9F07E2485}">
  <sheetPr>
    <pageSetUpPr fitToPage="1"/>
  </sheetPr>
  <dimension ref="A6:I48"/>
  <sheetViews>
    <sheetView view="pageBreakPreview" topLeftCell="A6" zoomScaleNormal="100" workbookViewId="0">
      <selection activeCell="E28" sqref="E28:I28"/>
    </sheetView>
  </sheetViews>
  <sheetFormatPr defaultColWidth="8.85546875" defaultRowHeight="12.75" x14ac:dyDescent="0.2"/>
  <cols>
    <col min="1" max="1" width="14" style="350" customWidth="1"/>
    <col min="2" max="2" width="9.85546875" style="350" customWidth="1"/>
    <col min="3" max="3" width="8.140625" style="350" customWidth="1"/>
    <col min="4" max="4" width="9.140625" style="350" customWidth="1"/>
    <col min="5" max="5" width="13.85546875" style="350" customWidth="1"/>
    <col min="6" max="7" width="8.7109375" style="350" customWidth="1"/>
    <col min="8" max="8" width="8.85546875" style="350"/>
    <col min="9" max="9" width="14.28515625" style="350" customWidth="1"/>
    <col min="10" max="16384" width="8.85546875" style="350"/>
  </cols>
  <sheetData>
    <row r="6" spans="1:9" s="345" customFormat="1" ht="21" x14ac:dyDescent="0.35">
      <c r="A6" s="403" t="s">
        <v>2594</v>
      </c>
      <c r="B6" s="404"/>
      <c r="C6" s="404"/>
      <c r="D6" s="404"/>
      <c r="E6" s="404"/>
      <c r="F6" s="404"/>
      <c r="G6" s="405"/>
      <c r="H6" s="415">
        <f>'Service Ticket (Original)'!E8</f>
        <v>1897</v>
      </c>
      <c r="I6" s="416"/>
    </row>
    <row r="7" spans="1:9" ht="17.45" customHeight="1" x14ac:dyDescent="0.25">
      <c r="A7" s="367"/>
      <c r="B7" s="421"/>
      <c r="C7" s="421"/>
      <c r="D7" s="368"/>
      <c r="E7" s="367"/>
      <c r="F7" s="424" t="s">
        <v>2595</v>
      </c>
      <c r="G7" s="425"/>
      <c r="H7" s="417"/>
      <c r="I7" s="418"/>
    </row>
    <row r="8" spans="1:9" ht="13.15" customHeight="1" x14ac:dyDescent="0.25">
      <c r="A8" s="367"/>
      <c r="B8" s="367"/>
      <c r="C8" s="367"/>
      <c r="D8" s="367"/>
      <c r="E8" s="367"/>
      <c r="F8" s="426"/>
      <c r="G8" s="427"/>
      <c r="H8" s="417"/>
      <c r="I8" s="418"/>
    </row>
    <row r="9" spans="1:9" ht="13.5" x14ac:dyDescent="0.25">
      <c r="A9" s="367"/>
      <c r="B9" s="367"/>
      <c r="C9" s="367"/>
      <c r="D9" s="367"/>
      <c r="E9" s="367"/>
      <c r="F9" s="428"/>
      <c r="G9" s="429"/>
      <c r="H9" s="419"/>
      <c r="I9" s="420"/>
    </row>
    <row r="10" spans="1:9" ht="13.5" x14ac:dyDescent="0.25">
      <c r="A10" s="375" t="s">
        <v>2560</v>
      </c>
      <c r="B10" s="422" t="str">
        <f>'Service Ticket (Original)'!B8</f>
        <v>HAROUGE</v>
      </c>
      <c r="C10" s="422"/>
      <c r="D10" s="422"/>
      <c r="E10" s="375" t="s">
        <v>3</v>
      </c>
      <c r="F10" s="423">
        <f>'Service Ticket (Original)'!E12</f>
        <v>46220</v>
      </c>
      <c r="G10" s="423"/>
      <c r="H10" s="423"/>
      <c r="I10" s="423"/>
    </row>
    <row r="11" spans="1:9" ht="13.5" x14ac:dyDescent="0.25">
      <c r="A11" s="369"/>
      <c r="B11" s="430"/>
      <c r="C11" s="430"/>
      <c r="D11" s="430"/>
      <c r="E11" s="369"/>
      <c r="F11" s="430"/>
      <c r="G11" s="430"/>
      <c r="H11" s="430"/>
      <c r="I11" s="430"/>
    </row>
    <row r="12" spans="1:9" ht="15.75" customHeight="1" x14ac:dyDescent="0.25">
      <c r="A12" s="375" t="s">
        <v>2596</v>
      </c>
      <c r="B12" s="422" t="str">
        <f>'Service Ticket (Original)'!B9</f>
        <v>GHANI</v>
      </c>
      <c r="C12" s="422"/>
      <c r="D12" s="422"/>
      <c r="E12" s="375" t="s">
        <v>2597</v>
      </c>
      <c r="F12" s="431" t="str">
        <f>'Service Ticket (Original)'!A14</f>
        <v xml:space="preserve"> 7'' Combination For CSG Test &amp; Cement Job</v>
      </c>
      <c r="G12" s="431"/>
      <c r="H12" s="431"/>
      <c r="I12" s="431"/>
    </row>
    <row r="13" spans="1:9" ht="13.5" x14ac:dyDescent="0.25">
      <c r="A13" s="369"/>
      <c r="B13" s="430"/>
      <c r="C13" s="430"/>
      <c r="D13" s="430"/>
      <c r="E13" s="369"/>
      <c r="F13" s="430"/>
      <c r="G13" s="430"/>
      <c r="H13" s="430"/>
      <c r="I13" s="430"/>
    </row>
    <row r="14" spans="1:9" ht="13.5" x14ac:dyDescent="0.25">
      <c r="A14" s="375" t="s">
        <v>2565</v>
      </c>
      <c r="B14" s="422" t="str">
        <f>'Service Ticket (Original)'!B10</f>
        <v>VVV08-11</v>
      </c>
      <c r="C14" s="422"/>
      <c r="D14" s="422"/>
      <c r="E14" s="375" t="s">
        <v>2598</v>
      </c>
      <c r="F14" s="422" t="s">
        <v>2599</v>
      </c>
      <c r="G14" s="422"/>
      <c r="H14" s="422"/>
      <c r="I14" s="422"/>
    </row>
    <row r="15" spans="1:9" ht="13.5" x14ac:dyDescent="0.25">
      <c r="A15" s="369"/>
      <c r="B15" s="430"/>
      <c r="C15" s="430"/>
      <c r="D15" s="430"/>
      <c r="E15" s="369"/>
      <c r="F15" s="430"/>
      <c r="G15" s="430"/>
      <c r="H15" s="430"/>
      <c r="I15" s="430"/>
    </row>
    <row r="16" spans="1:9" ht="13.5" x14ac:dyDescent="0.25">
      <c r="A16" s="375" t="s">
        <v>2600</v>
      </c>
      <c r="B16" s="422" t="str">
        <f>'Service Ticket (Original)'!E10</f>
        <v>M. Gomoha , Abdsalam</v>
      </c>
      <c r="C16" s="422"/>
      <c r="D16" s="422"/>
      <c r="E16" s="375" t="s">
        <v>2568</v>
      </c>
      <c r="F16" s="422" t="str">
        <f>'Service Ticket (Original)'!B11</f>
        <v>ADC#27</v>
      </c>
      <c r="G16" s="422"/>
      <c r="H16" s="422"/>
      <c r="I16" s="422"/>
    </row>
    <row r="17" spans="1:9" ht="15.75" customHeight="1" x14ac:dyDescent="0.2">
      <c r="A17" s="433" t="s">
        <v>2601</v>
      </c>
      <c r="B17" s="434"/>
      <c r="C17" s="435"/>
      <c r="D17" s="432" t="s">
        <v>2602</v>
      </c>
      <c r="E17" s="432"/>
      <c r="F17" s="433" t="s">
        <v>2635</v>
      </c>
      <c r="G17" s="434"/>
      <c r="H17" s="434"/>
      <c r="I17" s="435"/>
    </row>
    <row r="18" spans="1:9" ht="17.25" customHeight="1" x14ac:dyDescent="0.2">
      <c r="A18" s="436">
        <f>'Service Ticket (Original)'!E11</f>
        <v>46207</v>
      </c>
      <c r="B18" s="437"/>
      <c r="C18" s="438"/>
      <c r="D18" s="423">
        <f>'Service Ticket (Original)'!E12</f>
        <v>46220</v>
      </c>
      <c r="E18" s="423"/>
      <c r="F18" s="436">
        <f>'Service Ticket (Original)'!E11</f>
        <v>46207</v>
      </c>
      <c r="G18" s="437"/>
      <c r="H18" s="437"/>
      <c r="I18" s="438"/>
    </row>
    <row r="19" spans="1:9" ht="21" customHeight="1" x14ac:dyDescent="0.2">
      <c r="A19" s="374" t="s">
        <v>2603</v>
      </c>
      <c r="B19" s="374" t="s">
        <v>2604</v>
      </c>
      <c r="C19" s="374" t="s">
        <v>2605</v>
      </c>
      <c r="D19" s="374" t="s">
        <v>2606</v>
      </c>
      <c r="E19" s="432" t="s">
        <v>2607</v>
      </c>
      <c r="F19" s="432"/>
      <c r="G19" s="432"/>
      <c r="H19" s="432"/>
      <c r="I19" s="432"/>
    </row>
    <row r="20" spans="1:9" ht="13.5" x14ac:dyDescent="0.2">
      <c r="A20" s="381">
        <f>A18</f>
        <v>46207</v>
      </c>
      <c r="B20" s="382">
        <v>0.47916666666666669</v>
      </c>
      <c r="C20" s="382" t="s">
        <v>2378</v>
      </c>
      <c r="D20" s="382" t="s">
        <v>2378</v>
      </c>
      <c r="E20" s="440" t="s">
        <v>2608</v>
      </c>
      <c r="F20" s="440"/>
      <c r="G20" s="440"/>
      <c r="H20" s="440"/>
      <c r="I20" s="440"/>
    </row>
    <row r="21" spans="1:9" ht="12.75" customHeight="1" x14ac:dyDescent="0.2">
      <c r="A21" s="381">
        <v>46208</v>
      </c>
      <c r="B21" s="382">
        <v>0.3125</v>
      </c>
      <c r="C21" s="382" t="s">
        <v>2378</v>
      </c>
      <c r="D21" s="382" t="s">
        <v>2378</v>
      </c>
      <c r="E21" s="439" t="s">
        <v>2609</v>
      </c>
      <c r="F21" s="439"/>
      <c r="G21" s="439"/>
      <c r="H21" s="439"/>
      <c r="I21" s="439"/>
    </row>
    <row r="22" spans="1:9" ht="15.75" customHeight="1" x14ac:dyDescent="0.2">
      <c r="A22" s="381" t="s">
        <v>2378</v>
      </c>
      <c r="B22" s="382">
        <v>0.375</v>
      </c>
      <c r="C22" s="382" t="s">
        <v>2378</v>
      </c>
      <c r="D22" s="382" t="s">
        <v>2378</v>
      </c>
      <c r="E22" s="439" t="s">
        <v>2610</v>
      </c>
      <c r="F22" s="439"/>
      <c r="G22" s="439"/>
      <c r="H22" s="439"/>
      <c r="I22" s="439"/>
    </row>
    <row r="23" spans="1:9" ht="15" customHeight="1" x14ac:dyDescent="0.2">
      <c r="A23" s="381" t="s">
        <v>2378</v>
      </c>
      <c r="B23" s="382">
        <v>0.39583333333333331</v>
      </c>
      <c r="C23" s="382" t="s">
        <v>2378</v>
      </c>
      <c r="D23" s="382" t="s">
        <v>2378</v>
      </c>
      <c r="E23" s="439" t="s">
        <v>2611</v>
      </c>
      <c r="F23" s="439"/>
      <c r="G23" s="439"/>
      <c r="H23" s="439"/>
      <c r="I23" s="439"/>
    </row>
    <row r="24" spans="1:9" ht="15" customHeight="1" x14ac:dyDescent="0.2">
      <c r="A24" s="381" t="s">
        <v>2378</v>
      </c>
      <c r="B24" s="382" t="s">
        <v>2378</v>
      </c>
      <c r="C24" s="382" t="s">
        <v>2378</v>
      </c>
      <c r="D24" s="382" t="s">
        <v>2378</v>
      </c>
      <c r="E24" s="439" t="s">
        <v>2378</v>
      </c>
      <c r="F24" s="439"/>
      <c r="G24" s="439"/>
      <c r="H24" s="439"/>
      <c r="I24" s="439"/>
    </row>
    <row r="25" spans="1:9" ht="15" customHeight="1" x14ac:dyDescent="0.2">
      <c r="A25" s="381" t="s">
        <v>2378</v>
      </c>
      <c r="B25" s="382" t="s">
        <v>2378</v>
      </c>
      <c r="C25" s="382" t="s">
        <v>2378</v>
      </c>
      <c r="D25" s="382" t="s">
        <v>2378</v>
      </c>
      <c r="E25" s="441" t="s">
        <v>2612</v>
      </c>
      <c r="F25" s="441"/>
      <c r="G25" s="441"/>
      <c r="H25" s="441"/>
      <c r="I25" s="441"/>
    </row>
    <row r="26" spans="1:9" ht="14.25" customHeight="1" x14ac:dyDescent="0.2">
      <c r="A26" s="381" t="s">
        <v>2378</v>
      </c>
      <c r="B26" s="382" t="s">
        <v>2378</v>
      </c>
      <c r="C26" s="382" t="s">
        <v>2378</v>
      </c>
      <c r="D26" s="382" t="s">
        <v>2378</v>
      </c>
      <c r="E26" s="439" t="s">
        <v>2378</v>
      </c>
      <c r="F26" s="439"/>
      <c r="G26" s="439"/>
      <c r="H26" s="439"/>
      <c r="I26" s="439"/>
    </row>
    <row r="27" spans="1:9" ht="13.15" customHeight="1" x14ac:dyDescent="0.2">
      <c r="A27" s="381" t="s">
        <v>2378</v>
      </c>
      <c r="B27" s="382" t="s">
        <v>2378</v>
      </c>
      <c r="C27" s="382" t="s">
        <v>2378</v>
      </c>
      <c r="D27" s="382" t="s">
        <v>2378</v>
      </c>
      <c r="E27" s="439" t="s">
        <v>2378</v>
      </c>
      <c r="F27" s="439"/>
      <c r="G27" s="439"/>
      <c r="H27" s="439"/>
      <c r="I27" s="439"/>
    </row>
    <row r="28" spans="1:9" ht="12.75" customHeight="1" x14ac:dyDescent="0.2">
      <c r="A28" s="381" t="s">
        <v>2378</v>
      </c>
      <c r="B28" s="382" t="s">
        <v>2378</v>
      </c>
      <c r="C28" s="382" t="s">
        <v>2378</v>
      </c>
      <c r="D28" s="382" t="s">
        <v>2378</v>
      </c>
      <c r="E28" s="439" t="s">
        <v>2378</v>
      </c>
      <c r="F28" s="439"/>
      <c r="G28" s="439"/>
      <c r="H28" s="439"/>
      <c r="I28" s="439"/>
    </row>
    <row r="29" spans="1:9" ht="13.5" x14ac:dyDescent="0.2">
      <c r="A29" s="381">
        <v>46216</v>
      </c>
      <c r="B29" s="382">
        <v>0.33333333333333331</v>
      </c>
      <c r="C29" s="382" t="s">
        <v>2378</v>
      </c>
      <c r="D29" s="382" t="s">
        <v>2378</v>
      </c>
      <c r="E29" s="439" t="s">
        <v>2613</v>
      </c>
      <c r="F29" s="439"/>
      <c r="G29" s="439"/>
      <c r="H29" s="439"/>
      <c r="I29" s="439"/>
    </row>
    <row r="30" spans="1:9" ht="15" customHeight="1" x14ac:dyDescent="0.2">
      <c r="A30" s="381" t="s">
        <v>2378</v>
      </c>
      <c r="B30" s="382">
        <v>0.54166666666666663</v>
      </c>
      <c r="C30" s="382" t="s">
        <v>2378</v>
      </c>
      <c r="D30" s="382" t="s">
        <v>2378</v>
      </c>
      <c r="E30" s="439" t="s">
        <v>2614</v>
      </c>
      <c r="F30" s="439"/>
      <c r="G30" s="439"/>
      <c r="H30" s="439"/>
      <c r="I30" s="439"/>
    </row>
    <row r="31" spans="1:9" ht="12.75" customHeight="1" x14ac:dyDescent="0.2">
      <c r="A31" s="381" t="s">
        <v>2378</v>
      </c>
      <c r="B31" s="382">
        <v>0.58333333333333337</v>
      </c>
      <c r="C31" s="382" t="s">
        <v>2378</v>
      </c>
      <c r="D31" s="382" t="s">
        <v>2378</v>
      </c>
      <c r="E31" s="439" t="s">
        <v>2615</v>
      </c>
      <c r="F31" s="439"/>
      <c r="G31" s="439"/>
      <c r="H31" s="439"/>
      <c r="I31" s="439"/>
    </row>
    <row r="32" spans="1:9" ht="15" customHeight="1" x14ac:dyDescent="0.2">
      <c r="A32" s="381">
        <v>46217</v>
      </c>
      <c r="B32" s="382" t="s">
        <v>2378</v>
      </c>
      <c r="C32" s="382" t="s">
        <v>2378</v>
      </c>
      <c r="D32" s="382" t="s">
        <v>2378</v>
      </c>
      <c r="E32" s="439" t="s">
        <v>2378</v>
      </c>
      <c r="F32" s="439"/>
      <c r="G32" s="439"/>
      <c r="H32" s="439"/>
      <c r="I32" s="439"/>
    </row>
    <row r="33" spans="1:9" ht="12.75" customHeight="1" x14ac:dyDescent="0.2">
      <c r="A33" s="381" t="s">
        <v>2378</v>
      </c>
      <c r="B33" s="382">
        <v>0.29166666666666669</v>
      </c>
      <c r="C33" s="382" t="s">
        <v>2378</v>
      </c>
      <c r="D33" s="382" t="s">
        <v>2378</v>
      </c>
      <c r="E33" s="439" t="s">
        <v>2616</v>
      </c>
      <c r="F33" s="439"/>
      <c r="G33" s="439"/>
      <c r="H33" s="439"/>
      <c r="I33" s="439"/>
    </row>
    <row r="34" spans="1:9" ht="13.5" x14ac:dyDescent="0.2">
      <c r="A34" s="381" t="s">
        <v>2378</v>
      </c>
      <c r="B34" s="382" t="s">
        <v>2378</v>
      </c>
      <c r="C34" s="382" t="s">
        <v>2378</v>
      </c>
      <c r="D34" s="382" t="s">
        <v>2378</v>
      </c>
      <c r="E34" s="439" t="s">
        <v>2378</v>
      </c>
      <c r="F34" s="439"/>
      <c r="G34" s="439"/>
      <c r="H34" s="439"/>
      <c r="I34" s="439"/>
    </row>
    <row r="35" spans="1:9" ht="13.5" x14ac:dyDescent="0.2">
      <c r="A35" s="381" t="s">
        <v>2378</v>
      </c>
      <c r="B35" s="382" t="s">
        <v>2378</v>
      </c>
      <c r="C35" s="382" t="s">
        <v>2378</v>
      </c>
      <c r="D35" s="382" t="s">
        <v>2378</v>
      </c>
      <c r="E35" s="439" t="s">
        <v>2378</v>
      </c>
      <c r="F35" s="439"/>
      <c r="G35" s="439"/>
      <c r="H35" s="439"/>
      <c r="I35" s="439"/>
    </row>
    <row r="36" spans="1:9" ht="12.75" customHeight="1" x14ac:dyDescent="0.2">
      <c r="A36" s="381">
        <v>46219</v>
      </c>
      <c r="B36" s="382" t="s">
        <v>2378</v>
      </c>
      <c r="C36" s="382" t="s">
        <v>2378</v>
      </c>
      <c r="D36" s="382" t="s">
        <v>2378</v>
      </c>
      <c r="E36" s="439" t="s">
        <v>2378</v>
      </c>
      <c r="F36" s="439"/>
      <c r="G36" s="439"/>
      <c r="H36" s="439"/>
      <c r="I36" s="439"/>
    </row>
    <row r="37" spans="1:9" ht="13.5" x14ac:dyDescent="0.2">
      <c r="A37" s="381" t="s">
        <v>2378</v>
      </c>
      <c r="B37" s="382">
        <v>0.29166666666666669</v>
      </c>
      <c r="C37" s="382" t="s">
        <v>2378</v>
      </c>
      <c r="D37" s="382" t="s">
        <v>2378</v>
      </c>
      <c r="E37" s="439" t="s">
        <v>2617</v>
      </c>
      <c r="F37" s="439"/>
      <c r="G37" s="439"/>
      <c r="H37" s="439"/>
      <c r="I37" s="439"/>
    </row>
    <row r="38" spans="1:9" ht="13.5" x14ac:dyDescent="0.2">
      <c r="A38" s="381" t="s">
        <v>2378</v>
      </c>
      <c r="B38" s="382">
        <v>0.64583333333333337</v>
      </c>
      <c r="C38" s="382" t="s">
        <v>2378</v>
      </c>
      <c r="D38" s="382" t="s">
        <v>2378</v>
      </c>
      <c r="E38" s="439" t="s">
        <v>2618</v>
      </c>
      <c r="F38" s="439"/>
      <c r="G38" s="439"/>
      <c r="H38" s="439"/>
      <c r="I38" s="439"/>
    </row>
    <row r="39" spans="1:9" ht="13.5" x14ac:dyDescent="0.2">
      <c r="A39" s="381" t="s">
        <v>2378</v>
      </c>
      <c r="B39" s="382" t="s">
        <v>2378</v>
      </c>
      <c r="C39" s="382" t="s">
        <v>2378</v>
      </c>
      <c r="D39" s="382" t="s">
        <v>2378</v>
      </c>
      <c r="E39" s="439" t="s">
        <v>2378</v>
      </c>
      <c r="F39" s="439"/>
      <c r="G39" s="439"/>
      <c r="H39" s="439"/>
      <c r="I39" s="439"/>
    </row>
    <row r="40" spans="1:9" ht="13.5" x14ac:dyDescent="0.2">
      <c r="A40" s="381">
        <v>46220</v>
      </c>
      <c r="B40" s="382">
        <v>0.39583333333333331</v>
      </c>
      <c r="C40" s="382" t="s">
        <v>2378</v>
      </c>
      <c r="D40" s="382" t="s">
        <v>2378</v>
      </c>
      <c r="E40" s="439" t="s">
        <v>2619</v>
      </c>
      <c r="F40" s="439"/>
      <c r="G40" s="439"/>
      <c r="H40" s="439"/>
      <c r="I40" s="439"/>
    </row>
    <row r="41" spans="1:9" ht="12.75" customHeight="1" x14ac:dyDescent="0.2">
      <c r="A41" s="381" t="s">
        <v>2378</v>
      </c>
      <c r="B41" s="382" t="s">
        <v>2378</v>
      </c>
      <c r="C41" s="382" t="s">
        <v>2378</v>
      </c>
      <c r="D41" s="382" t="s">
        <v>2378</v>
      </c>
      <c r="E41" s="439" t="s">
        <v>2378</v>
      </c>
      <c r="F41" s="439"/>
      <c r="G41" s="439"/>
      <c r="H41" s="439"/>
      <c r="I41" s="439"/>
    </row>
    <row r="42" spans="1:9" ht="12.75" customHeight="1" x14ac:dyDescent="0.2">
      <c r="A42" s="381" t="s">
        <v>2378</v>
      </c>
      <c r="B42" s="382" t="s">
        <v>2378</v>
      </c>
      <c r="C42" s="382" t="s">
        <v>2378</v>
      </c>
      <c r="D42" s="382" t="s">
        <v>2378</v>
      </c>
      <c r="E42" s="439" t="s">
        <v>2378</v>
      </c>
      <c r="F42" s="439"/>
      <c r="G42" s="439"/>
      <c r="H42" s="439"/>
      <c r="I42" s="439"/>
    </row>
    <row r="43" spans="1:9" ht="12.75" customHeight="1" x14ac:dyDescent="0.2">
      <c r="A43" s="381" t="s">
        <v>2378</v>
      </c>
      <c r="B43" s="382" t="s">
        <v>2378</v>
      </c>
      <c r="C43" s="382" t="s">
        <v>2378</v>
      </c>
      <c r="D43" s="382" t="s">
        <v>2378</v>
      </c>
      <c r="E43" s="439" t="s">
        <v>2378</v>
      </c>
      <c r="F43" s="439"/>
      <c r="G43" s="439"/>
      <c r="H43" s="439"/>
      <c r="I43" s="439"/>
    </row>
    <row r="44" spans="1:9" ht="12.75" customHeight="1" x14ac:dyDescent="0.2">
      <c r="A44" s="381">
        <f>D18</f>
        <v>46220</v>
      </c>
      <c r="B44" s="382" t="s">
        <v>2378</v>
      </c>
      <c r="C44" s="382" t="s">
        <v>2378</v>
      </c>
      <c r="D44" s="382" t="s">
        <v>2378</v>
      </c>
      <c r="E44" s="439" t="s">
        <v>2378</v>
      </c>
      <c r="F44" s="439"/>
      <c r="G44" s="439"/>
      <c r="H44" s="439"/>
      <c r="I44" s="439"/>
    </row>
    <row r="45" spans="1:9" ht="13.5" x14ac:dyDescent="0.25">
      <c r="A45" s="442" t="s">
        <v>2591</v>
      </c>
      <c r="B45" s="443"/>
      <c r="C45" s="443"/>
      <c r="D45" s="444"/>
      <c r="E45" s="442" t="s">
        <v>2620</v>
      </c>
      <c r="F45" s="443"/>
      <c r="G45" s="443"/>
      <c r="H45" s="443"/>
      <c r="I45" s="444"/>
    </row>
    <row r="46" spans="1:9" ht="13.5" x14ac:dyDescent="0.25">
      <c r="A46" s="370"/>
      <c r="B46" s="367"/>
      <c r="C46" s="367"/>
      <c r="D46" s="371"/>
      <c r="E46" s="367"/>
      <c r="F46" s="367"/>
      <c r="G46" s="367"/>
      <c r="H46" s="367"/>
      <c r="I46" s="371"/>
    </row>
    <row r="47" spans="1:9" ht="13.5" x14ac:dyDescent="0.25">
      <c r="A47" s="370"/>
      <c r="B47" s="367"/>
      <c r="C47" s="367"/>
      <c r="D47" s="371"/>
      <c r="E47" s="367"/>
      <c r="F47" s="367"/>
      <c r="G47" s="367"/>
      <c r="H47" s="367"/>
      <c r="I47" s="371"/>
    </row>
    <row r="48" spans="1:9" ht="13.5" x14ac:dyDescent="0.25">
      <c r="A48" s="445" t="s">
        <v>2593</v>
      </c>
      <c r="B48" s="446"/>
      <c r="C48" s="446"/>
      <c r="D48" s="447"/>
      <c r="E48" s="445" t="s">
        <v>2593</v>
      </c>
      <c r="F48" s="446"/>
      <c r="G48" s="446"/>
      <c r="H48" s="446"/>
      <c r="I48" s="447"/>
    </row>
  </sheetData>
  <mergeCells count="54">
    <mergeCell ref="E43:I43"/>
    <mergeCell ref="E44:I44"/>
    <mergeCell ref="A45:D45"/>
    <mergeCell ref="E45:I45"/>
    <mergeCell ref="A48:D48"/>
    <mergeCell ref="E48:I48"/>
    <mergeCell ref="E42:I42"/>
    <mergeCell ref="E31:I31"/>
    <mergeCell ref="E32:I32"/>
    <mergeCell ref="E33:I33"/>
    <mergeCell ref="E34:I34"/>
    <mergeCell ref="E35:I35"/>
    <mergeCell ref="E36:I36"/>
    <mergeCell ref="E37:I37"/>
    <mergeCell ref="E38:I38"/>
    <mergeCell ref="E39:I39"/>
    <mergeCell ref="E40:I40"/>
    <mergeCell ref="E41:I41"/>
    <mergeCell ref="E30:I30"/>
    <mergeCell ref="E19:I19"/>
    <mergeCell ref="E20:I20"/>
    <mergeCell ref="E21:I21"/>
    <mergeCell ref="E22:I22"/>
    <mergeCell ref="E23:I23"/>
    <mergeCell ref="E24:I24"/>
    <mergeCell ref="E25:I25"/>
    <mergeCell ref="E26:I26"/>
    <mergeCell ref="E27:I27"/>
    <mergeCell ref="E28:I28"/>
    <mergeCell ref="E29:I29"/>
    <mergeCell ref="D17:E17"/>
    <mergeCell ref="D18:E18"/>
    <mergeCell ref="F17:I17"/>
    <mergeCell ref="F18:I18"/>
    <mergeCell ref="A17:C17"/>
    <mergeCell ref="A18:C18"/>
    <mergeCell ref="B14:D14"/>
    <mergeCell ref="F14:I14"/>
    <mergeCell ref="B15:D15"/>
    <mergeCell ref="F15:I15"/>
    <mergeCell ref="B16:D16"/>
    <mergeCell ref="F16:I16"/>
    <mergeCell ref="B11:D11"/>
    <mergeCell ref="F11:I11"/>
    <mergeCell ref="B12:D12"/>
    <mergeCell ref="F12:I12"/>
    <mergeCell ref="B13:D13"/>
    <mergeCell ref="F13:I13"/>
    <mergeCell ref="H6:I9"/>
    <mergeCell ref="B7:C7"/>
    <mergeCell ref="B10:D10"/>
    <mergeCell ref="F10:I10"/>
    <mergeCell ref="A6:G6"/>
    <mergeCell ref="F7:G9"/>
  </mergeCells>
  <pageMargins left="0.75" right="0.75" top="1" bottom="1" header="0.5" footer="0.5"/>
  <pageSetup paperSize="9" scale="90" fitToHeight="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DF34-5F44-4AB9-A7EB-82A05AACC08A}">
  <sheetPr>
    <pageSetUpPr fitToPage="1"/>
  </sheetPr>
  <dimension ref="A6:I48"/>
  <sheetViews>
    <sheetView view="pageBreakPreview" zoomScaleNormal="100" workbookViewId="0">
      <selection activeCell="F16" sqref="F16:I16"/>
    </sheetView>
  </sheetViews>
  <sheetFormatPr defaultColWidth="8.85546875" defaultRowHeight="12.75" x14ac:dyDescent="0.2"/>
  <cols>
    <col min="1" max="1" width="14" style="350" customWidth="1"/>
    <col min="2" max="2" width="9.85546875" style="350" customWidth="1"/>
    <col min="3" max="3" width="8.140625" style="350" customWidth="1"/>
    <col min="4" max="4" width="9.140625" style="350" customWidth="1"/>
    <col min="5" max="5" width="13.85546875" style="350" customWidth="1"/>
    <col min="6" max="7" width="8.7109375" style="350" customWidth="1"/>
    <col min="8" max="8" width="8.85546875" style="350"/>
    <col min="9" max="9" width="14.28515625" style="350" customWidth="1"/>
    <col min="10" max="16384" width="8.85546875" style="350"/>
  </cols>
  <sheetData>
    <row r="6" spans="1:9" s="345" customFormat="1" ht="21" x14ac:dyDescent="0.35">
      <c r="A6" s="403" t="s">
        <v>2636</v>
      </c>
      <c r="B6" s="404"/>
      <c r="C6" s="404"/>
      <c r="D6" s="404"/>
      <c r="E6" s="404"/>
      <c r="F6" s="404"/>
      <c r="G6" s="405"/>
      <c r="H6" s="448">
        <f>'Service Ticket (Original)'!E8</f>
        <v>1897</v>
      </c>
      <c r="I6" s="449"/>
    </row>
    <row r="7" spans="1:9" ht="17.45" customHeight="1" x14ac:dyDescent="0.25">
      <c r="A7" s="367"/>
      <c r="B7" s="421"/>
      <c r="C7" s="421"/>
      <c r="D7" s="368"/>
      <c r="E7" s="367"/>
      <c r="F7" s="424" t="s">
        <v>2595</v>
      </c>
      <c r="G7" s="425"/>
      <c r="H7" s="450"/>
      <c r="I7" s="451"/>
    </row>
    <row r="8" spans="1:9" ht="13.15" customHeight="1" x14ac:dyDescent="0.25">
      <c r="A8" s="367"/>
      <c r="B8" s="367"/>
      <c r="C8" s="367"/>
      <c r="D8" s="367"/>
      <c r="E8" s="367"/>
      <c r="F8" s="426"/>
      <c r="G8" s="427"/>
      <c r="H8" s="450"/>
      <c r="I8" s="451"/>
    </row>
    <row r="9" spans="1:9" ht="13.5" x14ac:dyDescent="0.25">
      <c r="A9" s="367"/>
      <c r="B9" s="367"/>
      <c r="C9" s="367"/>
      <c r="D9" s="367"/>
      <c r="E9" s="367"/>
      <c r="F9" s="428"/>
      <c r="G9" s="429"/>
      <c r="H9" s="452"/>
      <c r="I9" s="453"/>
    </row>
    <row r="10" spans="1:9" ht="13.5" x14ac:dyDescent="0.25">
      <c r="A10" s="375" t="s">
        <v>2560</v>
      </c>
      <c r="B10" s="454" t="str">
        <f>'Service Ticket (Original)'!B8</f>
        <v>HAROUGE</v>
      </c>
      <c r="C10" s="454"/>
      <c r="D10" s="454"/>
      <c r="E10" s="375" t="s">
        <v>3</v>
      </c>
      <c r="F10" s="455">
        <f>'Service Ticket (Original)'!E12</f>
        <v>46220</v>
      </c>
      <c r="G10" s="455"/>
      <c r="H10" s="455"/>
      <c r="I10" s="455"/>
    </row>
    <row r="11" spans="1:9" ht="13.5" x14ac:dyDescent="0.25">
      <c r="A11" s="369"/>
      <c r="B11" s="430"/>
      <c r="C11" s="430"/>
      <c r="D11" s="430"/>
      <c r="E11" s="369"/>
      <c r="F11" s="430"/>
      <c r="G11" s="430"/>
      <c r="H11" s="430"/>
      <c r="I11" s="430"/>
    </row>
    <row r="12" spans="1:9" ht="15.75" customHeight="1" x14ac:dyDescent="0.25">
      <c r="A12" s="375" t="s">
        <v>2596</v>
      </c>
      <c r="B12" s="454" t="str">
        <f>'Service Ticket (Original)'!B9</f>
        <v>GHANI</v>
      </c>
      <c r="C12" s="454"/>
      <c r="D12" s="454"/>
      <c r="E12" s="375" t="s">
        <v>2597</v>
      </c>
      <c r="F12" s="456" t="str">
        <f>'Service Ticket (Original)'!A14</f>
        <v xml:space="preserve"> 7'' Combination For CSG Test &amp; Cement Job</v>
      </c>
      <c r="G12" s="456"/>
      <c r="H12" s="456"/>
      <c r="I12" s="456"/>
    </row>
    <row r="13" spans="1:9" ht="13.5" x14ac:dyDescent="0.25">
      <c r="A13" s="369"/>
      <c r="B13" s="430"/>
      <c r="C13" s="430"/>
      <c r="D13" s="430"/>
      <c r="E13" s="369"/>
      <c r="F13" s="430"/>
      <c r="G13" s="430"/>
      <c r="H13" s="430"/>
      <c r="I13" s="430"/>
    </row>
    <row r="14" spans="1:9" ht="13.5" x14ac:dyDescent="0.25">
      <c r="A14" s="375" t="s">
        <v>2565</v>
      </c>
      <c r="B14" s="454" t="str">
        <f>'Service Ticket (Original)'!B10</f>
        <v>VVV08-11</v>
      </c>
      <c r="C14" s="454"/>
      <c r="D14" s="454"/>
      <c r="E14" s="375" t="s">
        <v>2598</v>
      </c>
      <c r="F14" s="454" t="s">
        <v>2599</v>
      </c>
      <c r="G14" s="454"/>
      <c r="H14" s="454"/>
      <c r="I14" s="454"/>
    </row>
    <row r="15" spans="1:9" ht="13.5" x14ac:dyDescent="0.25">
      <c r="A15" s="369"/>
      <c r="B15" s="430"/>
      <c r="C15" s="430"/>
      <c r="D15" s="430"/>
      <c r="E15" s="369"/>
      <c r="F15" s="430"/>
      <c r="G15" s="430"/>
      <c r="H15" s="430"/>
      <c r="I15" s="430"/>
    </row>
    <row r="16" spans="1:9" ht="13.5" x14ac:dyDescent="0.25">
      <c r="A16" s="375" t="s">
        <v>2600</v>
      </c>
      <c r="B16" s="454" t="str">
        <f>'Service Ticket (Original)'!E10</f>
        <v>M. Gomoha , Abdsalam</v>
      </c>
      <c r="C16" s="454"/>
      <c r="D16" s="454"/>
      <c r="E16" s="375" t="s">
        <v>2568</v>
      </c>
      <c r="F16" s="454" t="str">
        <f>'Service Ticket (Original)'!B11</f>
        <v>ADC#27</v>
      </c>
      <c r="G16" s="454"/>
      <c r="H16" s="454"/>
      <c r="I16" s="454"/>
    </row>
    <row r="17" spans="1:9" ht="15.75" customHeight="1" x14ac:dyDescent="0.2">
      <c r="A17" s="433" t="s">
        <v>2601</v>
      </c>
      <c r="B17" s="434"/>
      <c r="C17" s="435"/>
      <c r="D17" s="432" t="s">
        <v>2602</v>
      </c>
      <c r="E17" s="432"/>
      <c r="F17" s="433" t="s">
        <v>2635</v>
      </c>
      <c r="G17" s="434"/>
      <c r="H17" s="434"/>
      <c r="I17" s="435"/>
    </row>
    <row r="18" spans="1:9" ht="17.25" customHeight="1" x14ac:dyDescent="0.2">
      <c r="A18" s="457">
        <f>'Service Ticket (Original)'!E11</f>
        <v>46207</v>
      </c>
      <c r="B18" s="458"/>
      <c r="C18" s="459"/>
      <c r="D18" s="455">
        <f>'Service Ticket (Original)'!E12</f>
        <v>46220</v>
      </c>
      <c r="E18" s="455"/>
      <c r="F18" s="457">
        <f>'Service Ticket (Original)'!E11</f>
        <v>46207</v>
      </c>
      <c r="G18" s="458"/>
      <c r="H18" s="458"/>
      <c r="I18" s="459"/>
    </row>
    <row r="19" spans="1:9" ht="21" customHeight="1" x14ac:dyDescent="0.2">
      <c r="A19" s="374" t="s">
        <v>2603</v>
      </c>
      <c r="B19" s="374" t="s">
        <v>2604</v>
      </c>
      <c r="C19" s="374" t="s">
        <v>2605</v>
      </c>
      <c r="D19" s="374" t="s">
        <v>2606</v>
      </c>
      <c r="E19" s="432" t="s">
        <v>2607</v>
      </c>
      <c r="F19" s="432"/>
      <c r="G19" s="432"/>
      <c r="H19" s="432"/>
      <c r="I19" s="432"/>
    </row>
    <row r="20" spans="1:9" ht="13.5" x14ac:dyDescent="0.2">
      <c r="A20" s="384">
        <f>'Job Log (Original)'!A20</f>
        <v>46207</v>
      </c>
      <c r="B20" s="385">
        <f>'Job Log (Original)'!B20</f>
        <v>0.47916666666666669</v>
      </c>
      <c r="C20" s="386" t="str">
        <f>'Job Log (Original)'!C20</f>
        <v>-</v>
      </c>
      <c r="D20" s="386" t="str">
        <f>'Job Log (Original)'!D20</f>
        <v>-</v>
      </c>
      <c r="E20" s="460" t="str">
        <f>'Job Log (Original)'!E20</f>
        <v>M/Up 7''( RBP &amp; PKR) &amp;  RIH</v>
      </c>
      <c r="F20" s="460"/>
      <c r="G20" s="460"/>
      <c r="H20" s="460"/>
      <c r="I20" s="460"/>
    </row>
    <row r="21" spans="1:9" ht="12.75" customHeight="1" x14ac:dyDescent="0.2">
      <c r="A21" s="384">
        <f>'Job Log (Original)'!A21</f>
        <v>46208</v>
      </c>
      <c r="B21" s="385">
        <f>'Job Log (Original)'!B21</f>
        <v>0.3125</v>
      </c>
      <c r="C21" s="386" t="str">
        <f>'Job Log (Original)'!C21</f>
        <v>-</v>
      </c>
      <c r="D21" s="386" t="str">
        <f>'Job Log (Original)'!D21</f>
        <v>-</v>
      </c>
      <c r="E21" s="460" t="str">
        <f>'Job Log (Original)'!E21</f>
        <v>Set 7'' RBP@5250ft,Set 7'' PKR @5200ft, P/T 500psi BTW..Good</v>
      </c>
      <c r="F21" s="460"/>
      <c r="G21" s="460"/>
      <c r="H21" s="460"/>
      <c r="I21" s="460"/>
    </row>
    <row r="22" spans="1:9" ht="15.75" customHeight="1" x14ac:dyDescent="0.2">
      <c r="A22" s="384" t="str">
        <f>'Job Log (Original)'!A22</f>
        <v>-</v>
      </c>
      <c r="B22" s="385">
        <f>'Job Log (Original)'!B22</f>
        <v>0.375</v>
      </c>
      <c r="C22" s="386" t="str">
        <f>'Job Log (Original)'!C22</f>
        <v>-</v>
      </c>
      <c r="D22" s="386" t="str">
        <f>'Job Log (Original)'!D22</f>
        <v>-</v>
      </c>
      <c r="E22" s="460" t="str">
        <f>'Job Log (Original)'!E22</f>
        <v>Set 7'' PKR@(5015)ft , Injectivity Test</v>
      </c>
      <c r="F22" s="460"/>
      <c r="G22" s="460"/>
      <c r="H22" s="460"/>
      <c r="I22" s="460"/>
    </row>
    <row r="23" spans="1:9" ht="15" customHeight="1" x14ac:dyDescent="0.2">
      <c r="A23" s="384" t="str">
        <f>'Job Log (Original)'!A23</f>
        <v>-</v>
      </c>
      <c r="B23" s="385">
        <f>'Job Log (Original)'!B23</f>
        <v>0.39583333333333331</v>
      </c>
      <c r="C23" s="386" t="str">
        <f>'Job Log (Original)'!C23</f>
        <v>-</v>
      </c>
      <c r="D23" s="386" t="str">
        <f>'Job Log (Original)'!D23</f>
        <v>-</v>
      </c>
      <c r="E23" s="460" t="str">
        <f>'Job Log (Original)'!E23</f>
        <v xml:space="preserve"> POOH with 7" PKR &amp; Overshot.</v>
      </c>
      <c r="F23" s="460"/>
      <c r="G23" s="460"/>
      <c r="H23" s="460"/>
      <c r="I23" s="460"/>
    </row>
    <row r="24" spans="1:9" ht="15" customHeight="1" x14ac:dyDescent="0.2">
      <c r="A24" s="384" t="str">
        <f>'Job Log (Original)'!A24</f>
        <v>-</v>
      </c>
      <c r="B24" s="385" t="str">
        <f>'Job Log (Original)'!B24</f>
        <v>-</v>
      </c>
      <c r="C24" s="386" t="str">
        <f>'Job Log (Original)'!C24</f>
        <v>-</v>
      </c>
      <c r="D24" s="386" t="str">
        <f>'Job Log (Original)'!D24</f>
        <v>-</v>
      </c>
      <c r="E24" s="460" t="str">
        <f>'Job Log (Original)'!E24</f>
        <v>-</v>
      </c>
      <c r="F24" s="460"/>
      <c r="G24" s="460"/>
      <c r="H24" s="460"/>
      <c r="I24" s="460"/>
    </row>
    <row r="25" spans="1:9" ht="15" customHeight="1" x14ac:dyDescent="0.2">
      <c r="A25" s="384" t="str">
        <f>'Job Log (Original)'!A25</f>
        <v>-</v>
      </c>
      <c r="B25" s="385" t="str">
        <f>'Job Log (Original)'!B25</f>
        <v>-</v>
      </c>
      <c r="C25" s="386" t="str">
        <f>'Job Log (Original)'!C25</f>
        <v>-</v>
      </c>
      <c r="D25" s="386" t="str">
        <f>'Job Log (Original)'!D25</f>
        <v>-</v>
      </c>
      <c r="E25" s="460" t="str">
        <f>'Job Log (Original)'!E25</f>
        <v>Cement Job Operation.</v>
      </c>
      <c r="F25" s="460"/>
      <c r="G25" s="460"/>
      <c r="H25" s="460"/>
      <c r="I25" s="460"/>
    </row>
    <row r="26" spans="1:9" ht="14.25" customHeight="1" x14ac:dyDescent="0.2">
      <c r="A26" s="384" t="str">
        <f>'Job Log (Original)'!A26</f>
        <v>-</v>
      </c>
      <c r="B26" s="385" t="str">
        <f>'Job Log (Original)'!B26</f>
        <v>-</v>
      </c>
      <c r="C26" s="386" t="str">
        <f>'Job Log (Original)'!C26</f>
        <v>-</v>
      </c>
      <c r="D26" s="386" t="str">
        <f>'Job Log (Original)'!D26</f>
        <v>-</v>
      </c>
      <c r="E26" s="460" t="str">
        <f>'Job Log (Original)'!E26</f>
        <v>-</v>
      </c>
      <c r="F26" s="460"/>
      <c r="G26" s="460"/>
      <c r="H26" s="460"/>
      <c r="I26" s="460"/>
    </row>
    <row r="27" spans="1:9" ht="13.15" customHeight="1" x14ac:dyDescent="0.2">
      <c r="A27" s="384" t="str">
        <f>'Job Log (Original)'!A27</f>
        <v>-</v>
      </c>
      <c r="B27" s="385" t="str">
        <f>'Job Log (Original)'!B27</f>
        <v>-</v>
      </c>
      <c r="C27" s="386" t="str">
        <f>'Job Log (Original)'!C27</f>
        <v>-</v>
      </c>
      <c r="D27" s="386" t="str">
        <f>'Job Log (Original)'!D27</f>
        <v>-</v>
      </c>
      <c r="E27" s="460" t="str">
        <f>'Job Log (Original)'!E27</f>
        <v>-</v>
      </c>
      <c r="F27" s="460"/>
      <c r="G27" s="460"/>
      <c r="H27" s="460"/>
      <c r="I27" s="460"/>
    </row>
    <row r="28" spans="1:9" ht="12.75" customHeight="1" x14ac:dyDescent="0.2">
      <c r="A28" s="384" t="str">
        <f>'Job Log (Original)'!A28</f>
        <v>-</v>
      </c>
      <c r="B28" s="385" t="str">
        <f>'Job Log (Original)'!B28</f>
        <v>-</v>
      </c>
      <c r="C28" s="386" t="str">
        <f>'Job Log (Original)'!C28</f>
        <v>-</v>
      </c>
      <c r="D28" s="386" t="str">
        <f>'Job Log (Original)'!D28</f>
        <v>-</v>
      </c>
      <c r="E28" s="460" t="str">
        <f>'Job Log (Original)'!E28</f>
        <v>-</v>
      </c>
      <c r="F28" s="460"/>
      <c r="G28" s="460"/>
      <c r="H28" s="460"/>
      <c r="I28" s="460"/>
    </row>
    <row r="29" spans="1:9" ht="13.5" x14ac:dyDescent="0.2">
      <c r="A29" s="384">
        <f>'Job Log (Original)'!A29</f>
        <v>46216</v>
      </c>
      <c r="B29" s="385">
        <f>'Job Log (Original)'!B29</f>
        <v>0.33333333333333331</v>
      </c>
      <c r="C29" s="386" t="str">
        <f>'Job Log (Original)'!C29</f>
        <v>-</v>
      </c>
      <c r="D29" s="386" t="str">
        <f>'Job Log (Original)'!D29</f>
        <v>-</v>
      </c>
      <c r="E29" s="460" t="str">
        <f>'Job Log (Original)'!E29</f>
        <v>RIH 7'' PKR ,</v>
      </c>
      <c r="F29" s="460"/>
      <c r="G29" s="460"/>
      <c r="H29" s="460"/>
      <c r="I29" s="460"/>
    </row>
    <row r="30" spans="1:9" ht="15" customHeight="1" x14ac:dyDescent="0.2">
      <c r="A30" s="384" t="str">
        <f>'Job Log (Original)'!A30</f>
        <v>-</v>
      </c>
      <c r="B30" s="385">
        <f>'Job Log (Original)'!B30</f>
        <v>0.54166666666666663</v>
      </c>
      <c r="C30" s="386" t="str">
        <f>'Job Log (Original)'!C30</f>
        <v>-</v>
      </c>
      <c r="D30" s="386" t="str">
        <f>'Job Log (Original)'!D30</f>
        <v>-</v>
      </c>
      <c r="E30" s="460" t="str">
        <f>'Job Log (Original)'!E30</f>
        <v>Set 7'' PKR @ 5008ft, P/T Good  Test</v>
      </c>
      <c r="F30" s="460"/>
      <c r="G30" s="460"/>
      <c r="H30" s="460"/>
      <c r="I30" s="460"/>
    </row>
    <row r="31" spans="1:9" ht="12.75" customHeight="1" x14ac:dyDescent="0.2">
      <c r="A31" s="384" t="str">
        <f>'Job Log (Original)'!A31</f>
        <v>-</v>
      </c>
      <c r="B31" s="385">
        <f>'Job Log (Original)'!B31</f>
        <v>0.58333333333333337</v>
      </c>
      <c r="C31" s="386" t="str">
        <f>'Job Log (Original)'!C31</f>
        <v>-</v>
      </c>
      <c r="D31" s="386" t="str">
        <f>'Job Log (Original)'!D31</f>
        <v>-</v>
      </c>
      <c r="E31" s="460" t="str">
        <f>'Job Log (Original)'!E31</f>
        <v>Unset 7'' PKT &amp; POOH .</v>
      </c>
      <c r="F31" s="460"/>
      <c r="G31" s="460"/>
      <c r="H31" s="460"/>
      <c r="I31" s="460"/>
    </row>
    <row r="32" spans="1:9" ht="15" customHeight="1" x14ac:dyDescent="0.2">
      <c r="A32" s="384">
        <f>'Job Log (Original)'!A32</f>
        <v>46217</v>
      </c>
      <c r="B32" s="385" t="str">
        <f>'Job Log (Original)'!B32</f>
        <v>-</v>
      </c>
      <c r="C32" s="386" t="str">
        <f>'Job Log (Original)'!C32</f>
        <v>-</v>
      </c>
      <c r="D32" s="386" t="str">
        <f>'Job Log (Original)'!D32</f>
        <v>-</v>
      </c>
      <c r="E32" s="460" t="str">
        <f>'Job Log (Original)'!E32</f>
        <v>-</v>
      </c>
      <c r="F32" s="460"/>
      <c r="G32" s="460"/>
      <c r="H32" s="460"/>
      <c r="I32" s="460"/>
    </row>
    <row r="33" spans="1:9" ht="12.75" customHeight="1" x14ac:dyDescent="0.2">
      <c r="A33" s="384" t="str">
        <f>'Job Log (Original)'!A33</f>
        <v>-</v>
      </c>
      <c r="B33" s="385">
        <f>'Job Log (Original)'!B33</f>
        <v>0.29166666666666669</v>
      </c>
      <c r="C33" s="386" t="str">
        <f>'Job Log (Original)'!C33</f>
        <v>-</v>
      </c>
      <c r="D33" s="386" t="str">
        <f>'Job Log (Original)'!D33</f>
        <v>-</v>
      </c>
      <c r="E33" s="460" t="str">
        <f>'Job Log (Original)'!E33</f>
        <v>7'' PKR On  Surface</v>
      </c>
      <c r="F33" s="460"/>
      <c r="G33" s="460"/>
      <c r="H33" s="460"/>
      <c r="I33" s="460"/>
    </row>
    <row r="34" spans="1:9" ht="13.5" x14ac:dyDescent="0.2">
      <c r="A34" s="384" t="str">
        <f>'Job Log (Original)'!A34</f>
        <v>-</v>
      </c>
      <c r="B34" s="385" t="str">
        <f>'Job Log (Original)'!B34</f>
        <v>-</v>
      </c>
      <c r="C34" s="386" t="str">
        <f>'Job Log (Original)'!C34</f>
        <v>-</v>
      </c>
      <c r="D34" s="386" t="str">
        <f>'Job Log (Original)'!D34</f>
        <v>-</v>
      </c>
      <c r="E34" s="460" t="str">
        <f>'Job Log (Original)'!E34</f>
        <v>-</v>
      </c>
      <c r="F34" s="460"/>
      <c r="G34" s="460"/>
      <c r="H34" s="460"/>
      <c r="I34" s="460"/>
    </row>
    <row r="35" spans="1:9" ht="13.5" x14ac:dyDescent="0.2">
      <c r="A35" s="384" t="str">
        <f>'Job Log (Original)'!A35</f>
        <v>-</v>
      </c>
      <c r="B35" s="385" t="str">
        <f>'Job Log (Original)'!B35</f>
        <v>-</v>
      </c>
      <c r="C35" s="386" t="str">
        <f>'Job Log (Original)'!C35</f>
        <v>-</v>
      </c>
      <c r="D35" s="386" t="str">
        <f>'Job Log (Original)'!D35</f>
        <v>-</v>
      </c>
      <c r="E35" s="460" t="str">
        <f>'Job Log (Original)'!E35</f>
        <v>-</v>
      </c>
      <c r="F35" s="460"/>
      <c r="G35" s="460"/>
      <c r="H35" s="460"/>
      <c r="I35" s="460"/>
    </row>
    <row r="36" spans="1:9" ht="12.75" customHeight="1" x14ac:dyDescent="0.2">
      <c r="A36" s="384">
        <f>'Job Log (Original)'!A36</f>
        <v>46219</v>
      </c>
      <c r="B36" s="385" t="str">
        <f>'Job Log (Original)'!B36</f>
        <v>-</v>
      </c>
      <c r="C36" s="386" t="str">
        <f>'Job Log (Original)'!C36</f>
        <v>-</v>
      </c>
      <c r="D36" s="386" t="str">
        <f>'Job Log (Original)'!D36</f>
        <v>-</v>
      </c>
      <c r="E36" s="460" t="str">
        <f>'Job Log (Original)'!E36</f>
        <v>-</v>
      </c>
      <c r="F36" s="460"/>
      <c r="G36" s="460"/>
      <c r="H36" s="460"/>
      <c r="I36" s="460"/>
    </row>
    <row r="37" spans="1:9" ht="13.5" x14ac:dyDescent="0.2">
      <c r="A37" s="384" t="str">
        <f>'Job Log (Original)'!A37</f>
        <v>-</v>
      </c>
      <c r="B37" s="385">
        <f>'Job Log (Original)'!B37</f>
        <v>0.29166666666666669</v>
      </c>
      <c r="C37" s="386" t="str">
        <f>'Job Log (Original)'!C37</f>
        <v>-</v>
      </c>
      <c r="D37" s="386" t="str">
        <f>'Job Log (Original)'!D37</f>
        <v>-</v>
      </c>
      <c r="E37" s="460" t="str">
        <f>'Job Log (Original)'!E37</f>
        <v>RIH 7" Overshot</v>
      </c>
      <c r="F37" s="460"/>
      <c r="G37" s="460"/>
      <c r="H37" s="460"/>
      <c r="I37" s="460"/>
    </row>
    <row r="38" spans="1:9" ht="13.5" customHeight="1" x14ac:dyDescent="0.2">
      <c r="A38" s="384" t="str">
        <f>'Job Log (Original)'!A38</f>
        <v>-</v>
      </c>
      <c r="B38" s="385">
        <f>'Job Log (Original)'!B38</f>
        <v>0.64583333333333337</v>
      </c>
      <c r="C38" s="386" t="str">
        <f>'Job Log (Original)'!C38</f>
        <v>-</v>
      </c>
      <c r="D38" s="386" t="str">
        <f>'Job Log (Original)'!D38</f>
        <v>-</v>
      </c>
      <c r="E38" s="460" t="str">
        <f>'Job Log (Original)'!E38</f>
        <v>Unset 7" RBP &amp; POOH</v>
      </c>
      <c r="F38" s="460"/>
      <c r="G38" s="460"/>
      <c r="H38" s="460"/>
      <c r="I38" s="460"/>
    </row>
    <row r="39" spans="1:9" ht="13.5" x14ac:dyDescent="0.2">
      <c r="A39" s="384" t="str">
        <f>'Job Log (Original)'!A39</f>
        <v>-</v>
      </c>
      <c r="B39" s="385" t="str">
        <f>'Job Log (Original)'!B39</f>
        <v>-</v>
      </c>
      <c r="C39" s="386" t="str">
        <f>'Job Log (Original)'!C39</f>
        <v>-</v>
      </c>
      <c r="D39" s="386" t="str">
        <f>'Job Log (Original)'!D39</f>
        <v>-</v>
      </c>
      <c r="E39" s="460" t="str">
        <f>'Job Log (Original)'!E39</f>
        <v>-</v>
      </c>
      <c r="F39" s="460"/>
      <c r="G39" s="460"/>
      <c r="H39" s="460"/>
      <c r="I39" s="460"/>
    </row>
    <row r="40" spans="1:9" ht="13.5" x14ac:dyDescent="0.2">
      <c r="A40" s="384">
        <f>'Job Log (Original)'!A40</f>
        <v>46220</v>
      </c>
      <c r="B40" s="385">
        <f>'Job Log (Original)'!B40</f>
        <v>0.39583333333333331</v>
      </c>
      <c r="C40" s="386" t="str">
        <f>'Job Log (Original)'!C40</f>
        <v>-</v>
      </c>
      <c r="D40" s="386" t="str">
        <f>'Job Log (Original)'!D40</f>
        <v>-</v>
      </c>
      <c r="E40" s="460" t="str">
        <f>'Job Log (Original)'!E40</f>
        <v xml:space="preserve">RBP on surface </v>
      </c>
      <c r="F40" s="460"/>
      <c r="G40" s="460"/>
      <c r="H40" s="460"/>
      <c r="I40" s="460"/>
    </row>
    <row r="41" spans="1:9" ht="12.75" customHeight="1" x14ac:dyDescent="0.2">
      <c r="A41" s="384" t="str">
        <f>'Job Log (Original)'!A41</f>
        <v>-</v>
      </c>
      <c r="B41" s="385" t="str">
        <f>'Job Log (Original)'!B41</f>
        <v>-</v>
      </c>
      <c r="C41" s="386" t="str">
        <f>'Job Log (Original)'!C41</f>
        <v>-</v>
      </c>
      <c r="D41" s="386" t="str">
        <f>'Job Log (Original)'!D41</f>
        <v>-</v>
      </c>
      <c r="E41" s="460" t="str">
        <f>'Job Log (Original)'!E41</f>
        <v>-</v>
      </c>
      <c r="F41" s="460"/>
      <c r="G41" s="460"/>
      <c r="H41" s="460"/>
      <c r="I41" s="460"/>
    </row>
    <row r="42" spans="1:9" ht="12.75" customHeight="1" x14ac:dyDescent="0.2">
      <c r="A42" s="384" t="str">
        <f>'Job Log (Original)'!A42</f>
        <v>-</v>
      </c>
      <c r="B42" s="385" t="str">
        <f>'Job Log (Original)'!B42</f>
        <v>-</v>
      </c>
      <c r="C42" s="386" t="str">
        <f>'Job Log (Original)'!C42</f>
        <v>-</v>
      </c>
      <c r="D42" s="386" t="str">
        <f>'Job Log (Original)'!D42</f>
        <v>-</v>
      </c>
      <c r="E42" s="460" t="str">
        <f>'Job Log (Original)'!E42</f>
        <v>-</v>
      </c>
      <c r="F42" s="460"/>
      <c r="G42" s="460"/>
      <c r="H42" s="460"/>
      <c r="I42" s="460"/>
    </row>
    <row r="43" spans="1:9" ht="12.75" customHeight="1" x14ac:dyDescent="0.2">
      <c r="A43" s="384" t="str">
        <f>'Job Log (Original)'!A43</f>
        <v>-</v>
      </c>
      <c r="B43" s="385" t="str">
        <f>'Job Log (Original)'!B43</f>
        <v>-</v>
      </c>
      <c r="C43" s="386" t="str">
        <f>'Job Log (Original)'!C43</f>
        <v>-</v>
      </c>
      <c r="D43" s="386" t="str">
        <f>'Job Log (Original)'!D43</f>
        <v>-</v>
      </c>
      <c r="E43" s="460" t="str">
        <f>'Job Log (Original)'!E43</f>
        <v>-</v>
      </c>
      <c r="F43" s="460"/>
      <c r="G43" s="460"/>
      <c r="H43" s="460"/>
      <c r="I43" s="460"/>
    </row>
    <row r="44" spans="1:9" ht="12.75" customHeight="1" x14ac:dyDescent="0.2">
      <c r="A44" s="384">
        <f>'Job Log (Original)'!A44</f>
        <v>46220</v>
      </c>
      <c r="B44" s="385" t="str">
        <f>'Job Log (Original)'!B44</f>
        <v>-</v>
      </c>
      <c r="C44" s="386" t="str">
        <f>'Job Log (Original)'!C44</f>
        <v>-</v>
      </c>
      <c r="D44" s="386" t="str">
        <f>'Job Log (Original)'!D44</f>
        <v>-</v>
      </c>
      <c r="E44" s="460" t="str">
        <f>'Job Log (Original)'!E44</f>
        <v>-</v>
      </c>
      <c r="F44" s="460"/>
      <c r="G44" s="460"/>
      <c r="H44" s="460"/>
      <c r="I44" s="460"/>
    </row>
    <row r="45" spans="1:9" ht="13.5" x14ac:dyDescent="0.25">
      <c r="A45" s="442" t="s">
        <v>2591</v>
      </c>
      <c r="B45" s="443"/>
      <c r="C45" s="443"/>
      <c r="D45" s="444"/>
      <c r="E45" s="442" t="s">
        <v>2620</v>
      </c>
      <c r="F45" s="443"/>
      <c r="G45" s="443"/>
      <c r="H45" s="443"/>
      <c r="I45" s="444"/>
    </row>
    <row r="46" spans="1:9" ht="13.5" x14ac:dyDescent="0.25">
      <c r="A46" s="370"/>
      <c r="B46" s="367"/>
      <c r="C46" s="367"/>
      <c r="D46" s="371"/>
      <c r="E46" s="367"/>
      <c r="F46" s="367"/>
      <c r="G46" s="367"/>
      <c r="H46" s="367"/>
      <c r="I46" s="371"/>
    </row>
    <row r="47" spans="1:9" ht="13.5" x14ac:dyDescent="0.25">
      <c r="A47" s="370"/>
      <c r="B47" s="367"/>
      <c r="C47" s="367"/>
      <c r="D47" s="371"/>
      <c r="E47" s="367"/>
      <c r="F47" s="367"/>
      <c r="G47" s="367"/>
      <c r="H47" s="367"/>
      <c r="I47" s="371"/>
    </row>
    <row r="48" spans="1:9" ht="13.5" x14ac:dyDescent="0.25">
      <c r="A48" s="445" t="s">
        <v>2593</v>
      </c>
      <c r="B48" s="446"/>
      <c r="C48" s="446"/>
      <c r="D48" s="447"/>
      <c r="E48" s="445" t="s">
        <v>2593</v>
      </c>
      <c r="F48" s="446"/>
      <c r="G48" s="446"/>
      <c r="H48" s="446"/>
      <c r="I48" s="447"/>
    </row>
  </sheetData>
  <mergeCells count="54">
    <mergeCell ref="E43:I43"/>
    <mergeCell ref="E44:I44"/>
    <mergeCell ref="A45:D45"/>
    <mergeCell ref="E45:I45"/>
    <mergeCell ref="A48:D48"/>
    <mergeCell ref="E48:I48"/>
    <mergeCell ref="E42:I42"/>
    <mergeCell ref="E31:I31"/>
    <mergeCell ref="E32:I32"/>
    <mergeCell ref="E33:I33"/>
    <mergeCell ref="E34:I34"/>
    <mergeCell ref="E35:I35"/>
    <mergeCell ref="E36:I36"/>
    <mergeCell ref="E37:I37"/>
    <mergeCell ref="E38:I38"/>
    <mergeCell ref="E39:I39"/>
    <mergeCell ref="E40:I40"/>
    <mergeCell ref="E41:I41"/>
    <mergeCell ref="E30:I30"/>
    <mergeCell ref="E19:I19"/>
    <mergeCell ref="E20:I20"/>
    <mergeCell ref="E21:I21"/>
    <mergeCell ref="E22:I22"/>
    <mergeCell ref="E23:I23"/>
    <mergeCell ref="E24:I24"/>
    <mergeCell ref="E25:I25"/>
    <mergeCell ref="E26:I26"/>
    <mergeCell ref="E27:I27"/>
    <mergeCell ref="E28:I28"/>
    <mergeCell ref="E29:I29"/>
    <mergeCell ref="A17:C17"/>
    <mergeCell ref="D17:E17"/>
    <mergeCell ref="F17:I17"/>
    <mergeCell ref="A18:C18"/>
    <mergeCell ref="D18:E18"/>
    <mergeCell ref="F18:I18"/>
    <mergeCell ref="B14:D14"/>
    <mergeCell ref="F14:I14"/>
    <mergeCell ref="B15:D15"/>
    <mergeCell ref="F15:I15"/>
    <mergeCell ref="B16:D16"/>
    <mergeCell ref="F16:I16"/>
    <mergeCell ref="B11:D11"/>
    <mergeCell ref="F11:I11"/>
    <mergeCell ref="B12:D12"/>
    <mergeCell ref="F12:I12"/>
    <mergeCell ref="B13:D13"/>
    <mergeCell ref="F13:I13"/>
    <mergeCell ref="A6:G6"/>
    <mergeCell ref="H6:I9"/>
    <mergeCell ref="B7:C7"/>
    <mergeCell ref="F7:G9"/>
    <mergeCell ref="B10:D10"/>
    <mergeCell ref="F10:I10"/>
  </mergeCells>
  <pageMargins left="0.75" right="0.75" top="1" bottom="1" header="0.5" footer="0.5"/>
  <pageSetup paperSize="9" scale="90"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6B00-4A1E-4DBB-A66A-851C980754CC}">
  <sheetPr>
    <pageSetUpPr fitToPage="1"/>
  </sheetPr>
  <dimension ref="A1:XFD384"/>
  <sheetViews>
    <sheetView zoomScale="85" zoomScaleNormal="85" workbookViewId="0">
      <pane ySplit="4" topLeftCell="A5" activePane="bottomLeft" state="frozen"/>
      <selection pane="bottomLeft" activeCell="F15" sqref="F15"/>
    </sheetView>
  </sheetViews>
  <sheetFormatPr defaultRowHeight="15" x14ac:dyDescent="0.25"/>
  <cols>
    <col min="1" max="1" width="16.28515625" customWidth="1"/>
    <col min="2" max="2" width="45.28515625" customWidth="1"/>
    <col min="3" max="3" width="11.42578125" customWidth="1"/>
    <col min="4" max="5" width="12.5703125" customWidth="1"/>
  </cols>
  <sheetData>
    <row r="1" spans="1:6" ht="21" x14ac:dyDescent="0.25">
      <c r="A1" s="56" t="s">
        <v>2625</v>
      </c>
      <c r="B1" s="57"/>
      <c r="C1" s="57"/>
      <c r="D1" s="57"/>
      <c r="E1" s="57"/>
    </row>
    <row r="2" spans="1:6" x14ac:dyDescent="0.25">
      <c r="A2" s="57" t="s">
        <v>0</v>
      </c>
      <c r="B2" s="57"/>
      <c r="C2" s="57"/>
      <c r="D2" s="57"/>
      <c r="E2" s="57"/>
    </row>
    <row r="3" spans="1:6" x14ac:dyDescent="0.25">
      <c r="A3" s="58" t="s">
        <v>158</v>
      </c>
      <c r="B3" s="57"/>
      <c r="C3" s="57"/>
      <c r="D3" s="57"/>
      <c r="E3" s="57"/>
    </row>
    <row r="4" spans="1:6" x14ac:dyDescent="0.25">
      <c r="A4" s="39" t="s">
        <v>2</v>
      </c>
      <c r="B4" s="59"/>
      <c r="C4" s="57"/>
      <c r="D4" s="60" t="s">
        <v>3</v>
      </c>
      <c r="E4" s="61"/>
    </row>
    <row r="5" spans="1:6" ht="24" customHeight="1" x14ac:dyDescent="0.25">
      <c r="A5" s="57"/>
      <c r="B5" s="57"/>
      <c r="C5" s="57"/>
      <c r="D5" s="57"/>
      <c r="E5" s="57"/>
    </row>
    <row r="6" spans="1:6" ht="24" customHeight="1" thickBot="1" x14ac:dyDescent="0.3">
      <c r="A6" s="62" t="s">
        <v>159</v>
      </c>
      <c r="B6" s="63"/>
      <c r="C6" s="64"/>
      <c r="D6" s="65"/>
      <c r="E6" s="65"/>
      <c r="F6" s="66" t="s">
        <v>5</v>
      </c>
    </row>
    <row r="7" spans="1:6" ht="15.75" thickTop="1" x14ac:dyDescent="0.25">
      <c r="A7" s="67"/>
      <c r="B7" s="68"/>
      <c r="C7" s="67"/>
      <c r="D7" s="69"/>
      <c r="E7" s="69"/>
    </row>
    <row r="8" spans="1:6" ht="18" customHeight="1" x14ac:dyDescent="0.25">
      <c r="A8" s="42" t="s">
        <v>160</v>
      </c>
      <c r="B8" s="70"/>
      <c r="C8" s="71"/>
      <c r="D8" s="72"/>
      <c r="E8" s="72"/>
    </row>
    <row r="9" spans="1:6" x14ac:dyDescent="0.25">
      <c r="A9" s="73" t="s">
        <v>7</v>
      </c>
      <c r="B9" s="74" t="s">
        <v>8</v>
      </c>
      <c r="C9" s="73" t="s">
        <v>9</v>
      </c>
      <c r="D9" s="75" t="s">
        <v>75</v>
      </c>
      <c r="E9" s="75"/>
    </row>
    <row r="10" spans="1:6" x14ac:dyDescent="0.25">
      <c r="A10" s="76" t="str">
        <f>'[1]1'!A7</f>
        <v>MKN-001</v>
      </c>
      <c r="B10" s="77" t="str">
        <f>'[1]1'!B7</f>
        <v>Pick-up with tools traveling to wells, per KM.</v>
      </c>
      <c r="C10" s="76" t="s">
        <v>161</v>
      </c>
      <c r="D10" s="78">
        <f>'[1]1'!C7</f>
        <v>3</v>
      </c>
      <c r="E10" s="78"/>
    </row>
    <row r="11" spans="1:6" x14ac:dyDescent="0.25">
      <c r="A11" s="79" t="str">
        <f>'[1]1'!A8</f>
        <v>MKN-002</v>
      </c>
      <c r="B11" s="80" t="str">
        <f>'[1]1'!B8</f>
        <v>Tool operator, per day or fraction</v>
      </c>
      <c r="C11" s="79" t="s">
        <v>162</v>
      </c>
      <c r="D11" s="81">
        <f>'[1]1'!C8</f>
        <v>950</v>
      </c>
      <c r="E11" s="81"/>
    </row>
    <row r="12" spans="1:6" x14ac:dyDescent="0.25">
      <c r="A12" s="79" t="str">
        <f>'[1]1'!A9</f>
        <v>MKN-003</v>
      </c>
      <c r="B12" s="80" t="str">
        <f>'[1]1'!B9</f>
        <v>Assistant Tool Operator, per day or fraction</v>
      </c>
      <c r="C12" s="79" t="s">
        <v>162</v>
      </c>
      <c r="D12" s="81">
        <f>'[1]1'!C9</f>
        <v>800</v>
      </c>
      <c r="E12" s="81"/>
    </row>
    <row r="13" spans="1:6" x14ac:dyDescent="0.25">
      <c r="A13" s="79" t="str">
        <f>'[1]1'!A10</f>
        <v>MKN-004</v>
      </c>
      <c r="B13" s="80" t="str">
        <f>'[1]1'!B10</f>
        <v>Supervisor or Engineer, per day or fraction</v>
      </c>
      <c r="C13" s="79" t="s">
        <v>162</v>
      </c>
      <c r="D13" s="81">
        <f>'[1]1'!C10</f>
        <v>1050</v>
      </c>
      <c r="E13" s="81"/>
    </row>
    <row r="14" spans="1:6" x14ac:dyDescent="0.25">
      <c r="A14" s="79" t="str">
        <f>'[1]1'!A11</f>
        <v>MKN-005</v>
      </c>
      <c r="B14" s="80" t="str">
        <f>'[1]1'!B11</f>
        <v>Helper, per day or fraction</v>
      </c>
      <c r="C14" s="79" t="s">
        <v>162</v>
      </c>
      <c r="D14" s="81">
        <f>'[1]1'!C11</f>
        <v>500</v>
      </c>
      <c r="E14" s="81"/>
    </row>
    <row r="15" spans="1:6" x14ac:dyDescent="0.25">
      <c r="A15" s="82"/>
      <c r="B15" s="83"/>
      <c r="C15" s="82"/>
      <c r="D15" s="84"/>
      <c r="E15" s="84"/>
    </row>
    <row r="16" spans="1:6" ht="24" customHeight="1" thickBot="1" x14ac:dyDescent="0.3">
      <c r="A16" s="62" t="s">
        <v>163</v>
      </c>
      <c r="B16" s="63"/>
      <c r="C16" s="64"/>
      <c r="D16" s="65"/>
      <c r="E16" s="65"/>
      <c r="F16" s="66" t="s">
        <v>5</v>
      </c>
    </row>
    <row r="17" spans="1:5" ht="15.75" thickTop="1" x14ac:dyDescent="0.25">
      <c r="A17" s="67"/>
      <c r="B17" s="68"/>
      <c r="C17" s="67"/>
      <c r="D17" s="69"/>
      <c r="E17" s="69"/>
    </row>
    <row r="18" spans="1:5" ht="18" customHeight="1" x14ac:dyDescent="0.25">
      <c r="A18" s="42" t="s">
        <v>164</v>
      </c>
      <c r="B18" s="70"/>
      <c r="C18" s="71"/>
      <c r="D18" s="72"/>
      <c r="E18" s="72"/>
    </row>
    <row r="19" spans="1:5" x14ac:dyDescent="0.25">
      <c r="A19" s="73" t="s">
        <v>7</v>
      </c>
      <c r="B19" s="74" t="s">
        <v>8</v>
      </c>
      <c r="C19" s="73" t="s">
        <v>9</v>
      </c>
      <c r="D19" s="75" t="s">
        <v>12</v>
      </c>
      <c r="E19" s="75" t="s">
        <v>86</v>
      </c>
    </row>
    <row r="20" spans="1:5" x14ac:dyDescent="0.25">
      <c r="A20" s="76" t="str">
        <f>'[1]1'!A13</f>
        <v>MKN-006</v>
      </c>
      <c r="B20" s="77" t="s">
        <v>165</v>
      </c>
      <c r="C20" s="76" t="s">
        <v>162</v>
      </c>
      <c r="D20" s="78">
        <f>'[1]1'!C13</f>
        <v>2200</v>
      </c>
      <c r="E20" s="78">
        <f>'[1]1'!C14</f>
        <v>850</v>
      </c>
    </row>
    <row r="21" spans="1:5" x14ac:dyDescent="0.25">
      <c r="A21" s="79" t="str">
        <f>'[1]1'!A15</f>
        <v>MKN-008</v>
      </c>
      <c r="B21" s="80" t="s">
        <v>166</v>
      </c>
      <c r="C21" s="79" t="s">
        <v>162</v>
      </c>
      <c r="D21" s="81">
        <f>'[1]1'!C15</f>
        <v>2900</v>
      </c>
      <c r="E21" s="81">
        <f>'[1]1'!C16</f>
        <v>950</v>
      </c>
    </row>
    <row r="22" spans="1:5" x14ac:dyDescent="0.25">
      <c r="A22" s="79" t="str">
        <f>'[1]1'!A17</f>
        <v>MKN-010</v>
      </c>
      <c r="B22" s="80" t="s">
        <v>167</v>
      </c>
      <c r="C22" s="79" t="s">
        <v>162</v>
      </c>
      <c r="D22" s="81">
        <f>'[1]1'!C17</f>
        <v>5000</v>
      </c>
      <c r="E22" s="81">
        <f>'[1]1'!C18</f>
        <v>1100</v>
      </c>
    </row>
    <row r="23" spans="1:5" x14ac:dyDescent="0.25">
      <c r="A23" s="82"/>
      <c r="B23" s="83"/>
      <c r="C23" s="82"/>
      <c r="D23" s="84"/>
      <c r="E23" s="84"/>
    </row>
    <row r="24" spans="1:5" ht="18" customHeight="1" x14ac:dyDescent="0.25">
      <c r="A24" s="42" t="s">
        <v>168</v>
      </c>
      <c r="B24" s="70"/>
      <c r="C24" s="71"/>
      <c r="D24" s="72"/>
      <c r="E24" s="72"/>
    </row>
    <row r="25" spans="1:5" x14ac:dyDescent="0.25">
      <c r="A25" s="73" t="s">
        <v>7</v>
      </c>
      <c r="B25" s="74" t="s">
        <v>8</v>
      </c>
      <c r="C25" s="73" t="s">
        <v>9</v>
      </c>
      <c r="D25" s="75" t="s">
        <v>12</v>
      </c>
      <c r="E25" s="75" t="s">
        <v>86</v>
      </c>
    </row>
    <row r="26" spans="1:5" x14ac:dyDescent="0.25">
      <c r="A26" s="76" t="str">
        <f>'[1]1'!A21</f>
        <v>MKN-012</v>
      </c>
      <c r="B26" s="77" t="s">
        <v>165</v>
      </c>
      <c r="C26" s="76" t="s">
        <v>162</v>
      </c>
      <c r="D26" s="78">
        <f>'[1]1'!C21</f>
        <v>2200</v>
      </c>
      <c r="E26" s="78">
        <f>'[1]1'!C22</f>
        <v>850</v>
      </c>
    </row>
    <row r="27" spans="1:5" x14ac:dyDescent="0.25">
      <c r="A27" s="79" t="str">
        <f>'[1]1'!A23</f>
        <v>MKN-014</v>
      </c>
      <c r="B27" s="80" t="s">
        <v>166</v>
      </c>
      <c r="C27" s="79" t="s">
        <v>162</v>
      </c>
      <c r="D27" s="81">
        <f>'[1]1'!C23</f>
        <v>2900</v>
      </c>
      <c r="E27" s="81">
        <f>'[1]1'!C24</f>
        <v>950</v>
      </c>
    </row>
    <row r="28" spans="1:5" x14ac:dyDescent="0.25">
      <c r="A28" s="79" t="str">
        <f>'[1]1'!A25</f>
        <v>MKN-016</v>
      </c>
      <c r="B28" s="80" t="s">
        <v>167</v>
      </c>
      <c r="C28" s="79" t="s">
        <v>162</v>
      </c>
      <c r="D28" s="81">
        <f>'[1]1'!C25</f>
        <v>5000</v>
      </c>
      <c r="E28" s="81">
        <f>'[1]1'!C26</f>
        <v>1100</v>
      </c>
    </row>
    <row r="29" spans="1:5" x14ac:dyDescent="0.25">
      <c r="A29" s="82"/>
      <c r="B29" s="83"/>
      <c r="C29" s="82"/>
      <c r="D29" s="84"/>
      <c r="E29" s="84"/>
    </row>
    <row r="30" spans="1:5" ht="18" customHeight="1" x14ac:dyDescent="0.25">
      <c r="A30" s="42" t="s">
        <v>169</v>
      </c>
      <c r="B30" s="70"/>
      <c r="C30" s="71"/>
      <c r="D30" s="72"/>
      <c r="E30" s="72"/>
    </row>
    <row r="31" spans="1:5" x14ac:dyDescent="0.25">
      <c r="A31" s="73" t="s">
        <v>7</v>
      </c>
      <c r="B31" s="74" t="s">
        <v>8</v>
      </c>
      <c r="C31" s="73" t="s">
        <v>9</v>
      </c>
      <c r="D31" s="75" t="s">
        <v>12</v>
      </c>
      <c r="E31" s="75" t="s">
        <v>86</v>
      </c>
    </row>
    <row r="32" spans="1:5" x14ac:dyDescent="0.25">
      <c r="A32" s="76" t="str">
        <f>'[1]1'!A29</f>
        <v>MKN-018</v>
      </c>
      <c r="B32" s="77" t="s">
        <v>165</v>
      </c>
      <c r="C32" s="76" t="s">
        <v>162</v>
      </c>
      <c r="D32" s="78">
        <f>'[1]1'!C29</f>
        <v>1900</v>
      </c>
      <c r="E32" s="78">
        <f>'[1]1'!C30</f>
        <v>800</v>
      </c>
    </row>
    <row r="33" spans="1:6" x14ac:dyDescent="0.25">
      <c r="A33" s="79" t="str">
        <f>'[1]1'!A31</f>
        <v>MKN-020</v>
      </c>
      <c r="B33" s="80" t="s">
        <v>166</v>
      </c>
      <c r="C33" s="79" t="s">
        <v>162</v>
      </c>
      <c r="D33" s="81">
        <f>'[1]1'!C31</f>
        <v>2700</v>
      </c>
      <c r="E33" s="81">
        <f>'[1]1'!C32</f>
        <v>1000</v>
      </c>
    </row>
    <row r="34" spans="1:6" x14ac:dyDescent="0.25">
      <c r="A34" s="79" t="str">
        <f>'[1]1'!A33</f>
        <v>MKN-022</v>
      </c>
      <c r="B34" s="80" t="s">
        <v>167</v>
      </c>
      <c r="C34" s="79" t="s">
        <v>162</v>
      </c>
      <c r="D34" s="81">
        <f>'[1]1'!C33</f>
        <v>4500</v>
      </c>
      <c r="E34" s="81">
        <f>'[1]1'!C34</f>
        <v>1200</v>
      </c>
    </row>
    <row r="35" spans="1:6" x14ac:dyDescent="0.25">
      <c r="A35" s="82"/>
      <c r="B35" s="83"/>
      <c r="C35" s="82"/>
      <c r="D35" s="84"/>
      <c r="E35" s="84"/>
    </row>
    <row r="36" spans="1:6" ht="18" customHeight="1" x14ac:dyDescent="0.25">
      <c r="A36" s="42" t="s">
        <v>65</v>
      </c>
      <c r="B36" s="70"/>
      <c r="C36" s="71"/>
      <c r="D36" s="72"/>
      <c r="E36" s="72"/>
    </row>
    <row r="37" spans="1:6" x14ac:dyDescent="0.25">
      <c r="A37" s="73" t="s">
        <v>7</v>
      </c>
      <c r="B37" s="74" t="s">
        <v>8</v>
      </c>
      <c r="C37" s="73" t="s">
        <v>9</v>
      </c>
      <c r="D37" s="75" t="s">
        <v>75</v>
      </c>
      <c r="E37" s="85"/>
    </row>
    <row r="38" spans="1:6" x14ac:dyDescent="0.25">
      <c r="A38" s="76" t="str">
        <f>'[1]1'!A35</f>
        <v>MKN-024</v>
      </c>
      <c r="B38" s="77" t="str">
        <f>'[1]1'!B35</f>
        <v>Crossover subs, Per sub, Per job.</v>
      </c>
      <c r="C38" s="76" t="s">
        <v>170</v>
      </c>
      <c r="D38" s="78">
        <f>'[1]1'!C35</f>
        <v>50</v>
      </c>
      <c r="E38" s="78"/>
    </row>
    <row r="39" spans="1:6" x14ac:dyDescent="0.25">
      <c r="A39" s="79" t="str">
        <f>'[1]2'!A5</f>
        <v> MKN-025</v>
      </c>
      <c r="B39" s="80" t="str">
        <f>TRIM('[1]2'!B5)</f>
        <v>MECHANICAL SETTING TOOL, per run</v>
      </c>
      <c r="C39" s="79" t="s">
        <v>171</v>
      </c>
      <c r="D39" s="81">
        <f>'[1]2'!C5</f>
        <v>1850</v>
      </c>
      <c r="E39" s="81"/>
    </row>
    <row r="40" spans="1:6" ht="30" x14ac:dyDescent="0.25">
      <c r="A40" s="79" t="str">
        <f>'[1]2'!A6</f>
        <v> MKN-026</v>
      </c>
      <c r="B40" s="80" t="str">
        <f>TRIM('[1]2'!B6)</f>
        <v>Wire line kit for cement Retainer/Bridge plug, Per run</v>
      </c>
      <c r="C40" s="79" t="s">
        <v>171</v>
      </c>
      <c r="D40" s="81">
        <f>'[1]2'!C6</f>
        <v>300</v>
      </c>
      <c r="E40" s="81"/>
    </row>
    <row r="41" spans="1:6" x14ac:dyDescent="0.25">
      <c r="A41" s="79" t="str">
        <f>'[1]2'!A7</f>
        <v> MKN-027</v>
      </c>
      <c r="B41" s="80" t="str">
        <f>TRIM('[1]2'!B7)</f>
        <v>Tubing Stinger Coupling/ (SSA), Per job</v>
      </c>
      <c r="C41" s="79" t="s">
        <v>170</v>
      </c>
      <c r="D41" s="81">
        <f>'[1]2'!C7</f>
        <v>350</v>
      </c>
      <c r="E41" s="81"/>
    </row>
    <row r="42" spans="1:6" x14ac:dyDescent="0.25">
      <c r="A42" s="79" t="str">
        <f>'[1]2'!A8</f>
        <v> MKN-028</v>
      </c>
      <c r="B42" s="80" t="str">
        <f>TRIM('[1]2'!B8)</f>
        <v>Tubing Centralizer ,Per job</v>
      </c>
      <c r="C42" s="79" t="s">
        <v>170</v>
      </c>
      <c r="D42" s="81">
        <f>'[1]2'!C8</f>
        <v>300</v>
      </c>
      <c r="E42" s="81"/>
    </row>
    <row r="43" spans="1:6" x14ac:dyDescent="0.25">
      <c r="A43" s="82"/>
      <c r="B43" s="83"/>
      <c r="C43" s="82"/>
      <c r="D43" s="84"/>
      <c r="E43" s="84"/>
    </row>
    <row r="44" spans="1:6" ht="24" customHeight="1" thickBot="1" x14ac:dyDescent="0.3">
      <c r="A44" s="62" t="s">
        <v>172</v>
      </c>
      <c r="B44" s="63"/>
      <c r="C44" s="64"/>
      <c r="D44" s="65"/>
      <c r="E44" s="65"/>
      <c r="F44" s="66" t="s">
        <v>5</v>
      </c>
    </row>
    <row r="45" spans="1:6" ht="15.75" thickTop="1" x14ac:dyDescent="0.25">
      <c r="A45" s="67"/>
      <c r="B45" s="68"/>
      <c r="C45" s="67"/>
      <c r="D45" s="69"/>
      <c r="E45" s="69"/>
    </row>
    <row r="46" spans="1:6" ht="18" customHeight="1" x14ac:dyDescent="0.25">
      <c r="A46" s="42" t="s">
        <v>173</v>
      </c>
      <c r="B46" s="70"/>
      <c r="C46" s="71"/>
      <c r="D46" s="72"/>
      <c r="E46" s="72"/>
    </row>
    <row r="47" spans="1:6" x14ac:dyDescent="0.25">
      <c r="A47" s="73" t="s">
        <v>7</v>
      </c>
      <c r="B47" s="74" t="s">
        <v>8</v>
      </c>
      <c r="C47" s="73" t="s">
        <v>9</v>
      </c>
      <c r="D47" s="75" t="s">
        <v>75</v>
      </c>
      <c r="E47" s="85"/>
    </row>
    <row r="48" spans="1:6" x14ac:dyDescent="0.25">
      <c r="A48" s="76" t="str">
        <f>'[1]2'!A14</f>
        <v>MKN-029</v>
      </c>
      <c r="B48" s="77" t="str">
        <f>"Casing OD "&amp;'[1]2'!B14</f>
        <v>Casing OD 4 1/2"</v>
      </c>
      <c r="C48" s="76" t="s">
        <v>174</v>
      </c>
      <c r="D48" s="78">
        <f>'[1]2'!C14</f>
        <v>3000</v>
      </c>
      <c r="E48" s="78"/>
    </row>
    <row r="49" spans="1:6" x14ac:dyDescent="0.25">
      <c r="A49" s="79" t="str">
        <f>'[1]2'!A15</f>
        <v>MKN-030</v>
      </c>
      <c r="B49" s="80" t="str">
        <f>"Casing OD "&amp;'[1]2'!B15</f>
        <v>Casing OD 5"</v>
      </c>
      <c r="C49" s="79" t="s">
        <v>174</v>
      </c>
      <c r="D49" s="81">
        <f>'[1]2'!C15</f>
        <v>3200</v>
      </c>
      <c r="E49" s="81"/>
    </row>
    <row r="50" spans="1:6" x14ac:dyDescent="0.25">
      <c r="A50" s="79" t="str">
        <f>'[1]2'!A16</f>
        <v>MKN-031</v>
      </c>
      <c r="B50" s="80" t="str">
        <f>"Casing OD "&amp;'[1]2'!B16</f>
        <v>Casing OD 5 1/2"</v>
      </c>
      <c r="C50" s="79" t="s">
        <v>174</v>
      </c>
      <c r="D50" s="81">
        <f>'[1]2'!C16</f>
        <v>3250</v>
      </c>
      <c r="E50" s="81"/>
    </row>
    <row r="51" spans="1:6" x14ac:dyDescent="0.25">
      <c r="A51" s="79" t="str">
        <f>'[1]2'!A17</f>
        <v>MKN-032</v>
      </c>
      <c r="B51" s="80" t="str">
        <f>"Casing OD "&amp;'[1]2'!B17</f>
        <v>Casing OD 7"</v>
      </c>
      <c r="C51" s="79" t="s">
        <v>174</v>
      </c>
      <c r="D51" s="81">
        <f>'[1]2'!C17</f>
        <v>2700</v>
      </c>
      <c r="E51" s="81"/>
    </row>
    <row r="52" spans="1:6" x14ac:dyDescent="0.25">
      <c r="A52" s="79" t="str">
        <f>'[1]2'!A18</f>
        <v>MKN-033</v>
      </c>
      <c r="B52" s="80" t="str">
        <f>"Casing OD "&amp;'[1]2'!B18</f>
        <v>Casing OD 9 5/8"</v>
      </c>
      <c r="C52" s="79" t="s">
        <v>174</v>
      </c>
      <c r="D52" s="81">
        <f>'[1]2'!C18</f>
        <v>4500</v>
      </c>
      <c r="E52" s="81"/>
    </row>
    <row r="53" spans="1:6" x14ac:dyDescent="0.25">
      <c r="A53" s="79" t="str">
        <f>'[1]2'!A19</f>
        <v>MKN-034</v>
      </c>
      <c r="B53" s="80" t="str">
        <f>"Casing OD "&amp;'[1]2'!B19</f>
        <v>Casing OD 13 3/8"</v>
      </c>
      <c r="C53" s="79" t="s">
        <v>174</v>
      </c>
      <c r="D53" s="81">
        <f>'[1]2'!C19</f>
        <v>7200</v>
      </c>
      <c r="E53" s="81"/>
    </row>
    <row r="54" spans="1:6" x14ac:dyDescent="0.25">
      <c r="A54" s="82"/>
      <c r="B54" s="83"/>
      <c r="C54" s="82"/>
      <c r="D54" s="84"/>
      <c r="E54" s="84"/>
    </row>
    <row r="55" spans="1:6" ht="24" customHeight="1" thickBot="1" x14ac:dyDescent="0.3">
      <c r="A55" s="62" t="s">
        <v>175</v>
      </c>
      <c r="B55" s="63"/>
      <c r="C55" s="64"/>
      <c r="D55" s="65"/>
      <c r="E55" s="65"/>
      <c r="F55" s="66" t="s">
        <v>5</v>
      </c>
    </row>
    <row r="56" spans="1:6" ht="15.75" thickTop="1" x14ac:dyDescent="0.25">
      <c r="A56" s="67"/>
      <c r="B56" s="68"/>
      <c r="C56" s="67"/>
      <c r="D56" s="69"/>
      <c r="E56" s="69"/>
    </row>
    <row r="57" spans="1:6" ht="18" customHeight="1" x14ac:dyDescent="0.25">
      <c r="A57" s="42" t="s">
        <v>176</v>
      </c>
      <c r="B57" s="70"/>
      <c r="C57" s="71"/>
      <c r="D57" s="72"/>
      <c r="E57" s="72"/>
    </row>
    <row r="58" spans="1:6" x14ac:dyDescent="0.25">
      <c r="A58" s="73" t="s">
        <v>7</v>
      </c>
      <c r="B58" s="74" t="s">
        <v>8</v>
      </c>
      <c r="C58" s="73" t="s">
        <v>9</v>
      </c>
      <c r="D58" s="75" t="s">
        <v>75</v>
      </c>
      <c r="E58" s="85"/>
    </row>
    <row r="59" spans="1:6" x14ac:dyDescent="0.25">
      <c r="A59" s="76" t="str">
        <f>'[1]3'!A7</f>
        <v>MKN 100-0205</v>
      </c>
      <c r="B59" s="77" t="str">
        <f>'[1]3'!B7</f>
        <v>Fishing Tool Supervisor</v>
      </c>
      <c r="C59" s="76" t="str">
        <f>'[1]3'!C7</f>
        <v>$/day</v>
      </c>
      <c r="D59" s="78">
        <f>'[1]3'!D7</f>
        <v>1200</v>
      </c>
      <c r="E59" s="78"/>
    </row>
    <row r="60" spans="1:6" x14ac:dyDescent="0.25">
      <c r="A60" s="79" t="str">
        <f>'[1]3'!A8</f>
        <v>MKN 100-0210</v>
      </c>
      <c r="B60" s="80" t="str">
        <f>TRIM('[1]3'!B8)</f>
        <v>Tools pick up</v>
      </c>
      <c r="C60" s="79" t="str">
        <f>'[1]3'!C8</f>
        <v>$/day</v>
      </c>
      <c r="D60" s="81">
        <f>'[1]3'!D8</f>
        <v>2</v>
      </c>
      <c r="E60" s="81"/>
    </row>
    <row r="61" spans="1:6" x14ac:dyDescent="0.25">
      <c r="A61" s="79" t="str">
        <f>'[1]3'!A9</f>
        <v>MKN 100-0215</v>
      </c>
      <c r="B61" s="80" t="str">
        <f>TRIM('[1]3'!B9)</f>
        <v>Truck</v>
      </c>
      <c r="C61" s="79" t="str">
        <f>'[1]3'!C9</f>
        <v>$/1 km</v>
      </c>
      <c r="D61" s="81">
        <f>'[1]3'!D9</f>
        <v>3</v>
      </c>
      <c r="E61" s="81"/>
    </row>
    <row r="62" spans="1:6" x14ac:dyDescent="0.25">
      <c r="A62" s="82"/>
      <c r="B62" s="83"/>
      <c r="C62" s="82"/>
      <c r="D62" s="84"/>
      <c r="E62" s="84"/>
    </row>
    <row r="63" spans="1:6" ht="18" customHeight="1" x14ac:dyDescent="0.25">
      <c r="A63" s="42" t="s">
        <v>177</v>
      </c>
      <c r="B63" s="70"/>
      <c r="C63" s="71"/>
      <c r="D63" s="72"/>
      <c r="E63" s="72"/>
    </row>
    <row r="64" spans="1:6" x14ac:dyDescent="0.25">
      <c r="A64" s="73" t="s">
        <v>7</v>
      </c>
      <c r="B64" s="74" t="s">
        <v>8</v>
      </c>
      <c r="C64" s="73" t="s">
        <v>9</v>
      </c>
      <c r="D64" s="75" t="s">
        <v>12</v>
      </c>
      <c r="E64" s="75" t="s">
        <v>86</v>
      </c>
    </row>
    <row r="65" spans="1:5" x14ac:dyDescent="0.25">
      <c r="A65" s="76" t="str">
        <f>'[1]3'!A14</f>
        <v>MKN 100-001</v>
      </c>
      <c r="B65" s="77" t="str">
        <f>'[1]3'!B14</f>
        <v>Thru 3-3/4" OD</v>
      </c>
      <c r="C65" s="76" t="s">
        <v>178</v>
      </c>
      <c r="D65" s="78">
        <f>'[1]3'!D14</f>
        <v>270</v>
      </c>
      <c r="E65" s="78">
        <f>'[1]3'!E14</f>
        <v>25</v>
      </c>
    </row>
    <row r="66" spans="1:5" x14ac:dyDescent="0.25">
      <c r="A66" s="79" t="str">
        <f>'[1]3'!A15</f>
        <v>MKN 100-002</v>
      </c>
      <c r="B66" s="80" t="str">
        <f>'[1]3'!B15</f>
        <v>Thru 4-1/4" OD</v>
      </c>
      <c r="C66" s="79" t="s">
        <v>178</v>
      </c>
      <c r="D66" s="81">
        <f>'[1]3'!D15</f>
        <v>280</v>
      </c>
      <c r="E66" s="81">
        <f>'[1]3'!E15</f>
        <v>25</v>
      </c>
    </row>
    <row r="67" spans="1:5" x14ac:dyDescent="0.25">
      <c r="A67" s="79" t="str">
        <f>'[1]3'!A16</f>
        <v>MKN 100-003</v>
      </c>
      <c r="B67" s="80" t="str">
        <f>'[1]3'!B16</f>
        <v>Thru 4-3/4" OD</v>
      </c>
      <c r="C67" s="79" t="s">
        <v>178</v>
      </c>
      <c r="D67" s="81">
        <f>'[1]3'!D16</f>
        <v>380</v>
      </c>
      <c r="E67" s="81">
        <f>'[1]3'!E16</f>
        <v>35</v>
      </c>
    </row>
    <row r="68" spans="1:5" x14ac:dyDescent="0.25">
      <c r="A68" s="79" t="str">
        <f>'[1]3'!A17</f>
        <v>MKN 100-004</v>
      </c>
      <c r="B68" s="80" t="str">
        <f>'[1]3'!B17</f>
        <v>Thru 5-3/4" OD</v>
      </c>
      <c r="C68" s="79" t="s">
        <v>178</v>
      </c>
      <c r="D68" s="81">
        <f>'[1]3'!D17</f>
        <v>400</v>
      </c>
      <c r="E68" s="81">
        <f>'[1]3'!E17</f>
        <v>40</v>
      </c>
    </row>
    <row r="69" spans="1:5" x14ac:dyDescent="0.25">
      <c r="A69" s="79" t="str">
        <f>'[1]3'!A18</f>
        <v>MKN 100-005</v>
      </c>
      <c r="B69" s="80" t="str">
        <f>'[1]3'!B18</f>
        <v>Thru 6-1/8" OD</v>
      </c>
      <c r="C69" s="79" t="s">
        <v>178</v>
      </c>
      <c r="D69" s="81">
        <f>'[1]3'!D18</f>
        <v>420</v>
      </c>
      <c r="E69" s="81">
        <f>'[1]3'!E18</f>
        <v>40</v>
      </c>
    </row>
    <row r="70" spans="1:5" x14ac:dyDescent="0.25">
      <c r="A70" s="79" t="str">
        <f>'[1]3'!A19</f>
        <v>MKN 100-006</v>
      </c>
      <c r="B70" s="80" t="str">
        <f>'[1]3'!B19</f>
        <v>Thru 6-3/4" OD</v>
      </c>
      <c r="C70" s="79" t="s">
        <v>178</v>
      </c>
      <c r="D70" s="81">
        <f>'[1]3'!D19</f>
        <v>470</v>
      </c>
      <c r="E70" s="81">
        <f>'[1]3'!E19</f>
        <v>45</v>
      </c>
    </row>
    <row r="71" spans="1:5" x14ac:dyDescent="0.25">
      <c r="A71" s="79" t="str">
        <f>'[1]3'!A20</f>
        <v>MKN 100-007</v>
      </c>
      <c r="B71" s="80" t="str">
        <f>'[1]3'!B20</f>
        <v>Thru 7-3/4" OD</v>
      </c>
      <c r="C71" s="79" t="s">
        <v>178</v>
      </c>
      <c r="D71" s="81">
        <f>'[1]3'!D20</f>
        <v>490</v>
      </c>
      <c r="E71" s="81">
        <f>'[1]3'!E20</f>
        <v>50</v>
      </c>
    </row>
    <row r="72" spans="1:5" x14ac:dyDescent="0.25">
      <c r="A72" s="79" t="str">
        <f>'[1]3'!A21</f>
        <v>MKN 100-008</v>
      </c>
      <c r="B72" s="80" t="str">
        <f>'[1]3'!B21</f>
        <v>Thru 9-3/4" OD</v>
      </c>
      <c r="C72" s="79" t="s">
        <v>178</v>
      </c>
      <c r="D72" s="81">
        <f>'[1]3'!D21</f>
        <v>550</v>
      </c>
      <c r="E72" s="81">
        <f>'[1]3'!E21</f>
        <v>65</v>
      </c>
    </row>
    <row r="73" spans="1:5" x14ac:dyDescent="0.25">
      <c r="A73" s="79" t="str">
        <f>'[1]3'!A22</f>
        <v>MKN 100-009</v>
      </c>
      <c r="B73" s="80" t="str">
        <f>'[1]3'!B22</f>
        <v>Thru 10-3/4" OD</v>
      </c>
      <c r="C73" s="79" t="s">
        <v>178</v>
      </c>
      <c r="D73" s="81">
        <f>'[1]3'!D22</f>
        <v>600</v>
      </c>
      <c r="E73" s="81">
        <f>'[1]3'!E22</f>
        <v>85</v>
      </c>
    </row>
    <row r="74" spans="1:5" x14ac:dyDescent="0.25">
      <c r="A74" s="79" t="str">
        <f>'[1]3'!A23</f>
        <v>MKN 100-011</v>
      </c>
      <c r="B74" s="80" t="str">
        <f>'[1]3'!B23</f>
        <v>Thru 12-1/4" OD</v>
      </c>
      <c r="C74" s="79" t="s">
        <v>178</v>
      </c>
      <c r="D74" s="81">
        <f>'[1]3'!D23</f>
        <v>1050</v>
      </c>
      <c r="E74" s="81">
        <f>'[1]3'!E23</f>
        <v>100</v>
      </c>
    </row>
    <row r="75" spans="1:5" x14ac:dyDescent="0.25">
      <c r="A75" s="82"/>
      <c r="B75" s="83"/>
      <c r="C75" s="82"/>
      <c r="D75" s="84"/>
      <c r="E75" s="84"/>
    </row>
    <row r="76" spans="1:5" ht="18" customHeight="1" x14ac:dyDescent="0.25">
      <c r="A76" s="42" t="s">
        <v>179</v>
      </c>
      <c r="B76" s="70"/>
      <c r="C76" s="71"/>
      <c r="D76" s="72"/>
      <c r="E76" s="72"/>
    </row>
    <row r="77" spans="1:5" x14ac:dyDescent="0.25">
      <c r="A77" s="73" t="s">
        <v>7</v>
      </c>
      <c r="B77" s="74" t="s">
        <v>8</v>
      </c>
      <c r="C77" s="73" t="s">
        <v>9</v>
      </c>
      <c r="D77" s="75" t="s">
        <v>75</v>
      </c>
      <c r="E77" s="85"/>
    </row>
    <row r="78" spans="1:5" x14ac:dyDescent="0.25">
      <c r="A78" s="76" t="str">
        <f>'[1]3'!A27</f>
        <v>MKN 100-012</v>
      </c>
      <c r="B78" s="77" t="str">
        <f>'[1]3'!B27</f>
        <v>Thru 8-3/4" OD</v>
      </c>
      <c r="C78" s="76" t="s">
        <v>171</v>
      </c>
      <c r="D78" s="78">
        <f>'[1]3'!D27</f>
        <v>230</v>
      </c>
      <c r="E78" s="78"/>
    </row>
    <row r="79" spans="1:5" x14ac:dyDescent="0.25">
      <c r="A79" s="79" t="str">
        <f>'[1]3'!A28</f>
        <v>MKN 100-013</v>
      </c>
      <c r="B79" s="80" t="str">
        <f>'[1]3'!B28</f>
        <v>Thru 17-1/2" OD</v>
      </c>
      <c r="C79" s="79" t="s">
        <v>171</v>
      </c>
      <c r="D79" s="81">
        <f>'[1]3'!D28</f>
        <v>300</v>
      </c>
      <c r="E79" s="81"/>
    </row>
    <row r="80" spans="1:5" x14ac:dyDescent="0.25">
      <c r="A80" s="82"/>
      <c r="B80" s="83"/>
      <c r="C80" s="82"/>
      <c r="D80" s="84"/>
      <c r="E80" s="84"/>
    </row>
    <row r="81" spans="1:6" ht="18" customHeight="1" x14ac:dyDescent="0.25">
      <c r="A81" s="42" t="s">
        <v>180</v>
      </c>
      <c r="B81" s="70"/>
      <c r="C81" s="71"/>
      <c r="D81" s="72"/>
      <c r="E81" s="72"/>
    </row>
    <row r="82" spans="1:6" x14ac:dyDescent="0.25">
      <c r="A82" s="73" t="s">
        <v>7</v>
      </c>
      <c r="B82" s="74" t="s">
        <v>8</v>
      </c>
      <c r="C82" s="73" t="s">
        <v>9</v>
      </c>
      <c r="D82" s="75" t="s">
        <v>75</v>
      </c>
      <c r="E82" s="85"/>
    </row>
    <row r="83" spans="1:6" x14ac:dyDescent="0.25">
      <c r="A83" s="76" t="str">
        <f>'[1]3'!A30</f>
        <v>MKN 100-014</v>
      </c>
      <c r="B83" s="77" t="str">
        <f>'[1]3'!B30</f>
        <v>Thru 7" OD</v>
      </c>
      <c r="C83" s="76" t="s">
        <v>171</v>
      </c>
      <c r="D83" s="78">
        <f>'[1]3'!D30</f>
        <v>510</v>
      </c>
      <c r="E83" s="78"/>
    </row>
    <row r="84" spans="1:6" x14ac:dyDescent="0.25">
      <c r="A84" s="79" t="str">
        <f>'[1]3'!A31</f>
        <v>MKN 100-015</v>
      </c>
      <c r="B84" s="80" t="str">
        <f>'[1]3'!B31</f>
        <v>Thru 10-3/4" OD</v>
      </c>
      <c r="C84" s="79" t="s">
        <v>171</v>
      </c>
      <c r="D84" s="81">
        <f>'[1]3'!D31</f>
        <v>820</v>
      </c>
      <c r="E84" s="81"/>
    </row>
    <row r="85" spans="1:6" x14ac:dyDescent="0.25">
      <c r="A85" s="79" t="str">
        <f>'[1]3'!A32</f>
        <v>MKN 100-016</v>
      </c>
      <c r="B85" s="80" t="str">
        <f>'[1]3'!B32</f>
        <v>Thru 13-3/8" OD</v>
      </c>
      <c r="C85" s="79" t="s">
        <v>171</v>
      </c>
      <c r="D85" s="81">
        <f>'[1]3'!D32</f>
        <v>1030</v>
      </c>
      <c r="E85" s="81"/>
    </row>
    <row r="86" spans="1:6" x14ac:dyDescent="0.25">
      <c r="A86" s="82"/>
      <c r="B86" s="83"/>
      <c r="C86" s="82"/>
      <c r="D86" s="84"/>
      <c r="E86" s="84"/>
    </row>
    <row r="87" spans="1:6" ht="18" customHeight="1" x14ac:dyDescent="0.25">
      <c r="A87" s="42" t="s">
        <v>122</v>
      </c>
      <c r="B87" s="70"/>
      <c r="C87" s="71"/>
      <c r="D87" s="72"/>
      <c r="E87" s="72"/>
    </row>
    <row r="88" spans="1:6" x14ac:dyDescent="0.25">
      <c r="A88" s="73" t="s">
        <v>7</v>
      </c>
      <c r="B88" s="74" t="s">
        <v>8</v>
      </c>
      <c r="C88" s="73" t="s">
        <v>9</v>
      </c>
      <c r="D88" s="75" t="s">
        <v>75</v>
      </c>
      <c r="E88" s="85"/>
    </row>
    <row r="89" spans="1:6" x14ac:dyDescent="0.25">
      <c r="A89" s="76" t="str">
        <f>'[1]3'!A37</f>
        <v>MKN 100-017</v>
      </c>
      <c r="B89" s="77" t="s">
        <v>181</v>
      </c>
      <c r="C89" s="76" t="s">
        <v>170</v>
      </c>
      <c r="D89" s="78">
        <f>'[1]3'!D37</f>
        <v>85</v>
      </c>
      <c r="E89" s="78"/>
    </row>
    <row r="90" spans="1:6" x14ac:dyDescent="0.25">
      <c r="A90" s="79" t="str">
        <f>'[1]3'!A38</f>
        <v>MKN 100-018</v>
      </c>
      <c r="B90" s="80" t="s">
        <v>182</v>
      </c>
      <c r="C90" s="79" t="s">
        <v>170</v>
      </c>
      <c r="D90" s="81">
        <f>'[1]3'!D38</f>
        <v>100</v>
      </c>
      <c r="E90" s="81"/>
    </row>
    <row r="91" spans="1:6" x14ac:dyDescent="0.25">
      <c r="A91" s="79" t="str">
        <f>'[1]3'!A40</f>
        <v>MKN 100-019</v>
      </c>
      <c r="B91" s="80" t="s">
        <v>183</v>
      </c>
      <c r="C91" s="79" t="s">
        <v>170</v>
      </c>
      <c r="D91" s="81">
        <f>'[1]3'!D40</f>
        <v>95</v>
      </c>
      <c r="E91" s="81"/>
    </row>
    <row r="92" spans="1:6" x14ac:dyDescent="0.25">
      <c r="A92" s="82"/>
      <c r="B92" s="83"/>
      <c r="C92" s="82"/>
      <c r="D92" s="84"/>
      <c r="E92" s="84"/>
    </row>
    <row r="93" spans="1:6" ht="24" customHeight="1" thickBot="1" x14ac:dyDescent="0.3">
      <c r="A93" s="62" t="s">
        <v>184</v>
      </c>
      <c r="B93" s="63"/>
      <c r="C93" s="64"/>
      <c r="D93" s="65"/>
      <c r="E93" s="65"/>
      <c r="F93" s="66" t="s">
        <v>5</v>
      </c>
    </row>
    <row r="94" spans="1:6" ht="15.75" thickTop="1" x14ac:dyDescent="0.25">
      <c r="A94" s="67"/>
      <c r="B94" s="68"/>
      <c r="C94" s="67"/>
      <c r="D94" s="69"/>
      <c r="E94" s="69"/>
    </row>
    <row r="95" spans="1:6" ht="18" customHeight="1" x14ac:dyDescent="0.25">
      <c r="A95" s="42" t="s">
        <v>185</v>
      </c>
      <c r="B95" s="70"/>
      <c r="C95" s="71"/>
      <c r="D95" s="72"/>
      <c r="E95" s="72"/>
    </row>
    <row r="96" spans="1:6" x14ac:dyDescent="0.25">
      <c r="A96" s="73" t="s">
        <v>7</v>
      </c>
      <c r="B96" s="74" t="s">
        <v>8</v>
      </c>
      <c r="C96" s="73" t="s">
        <v>9</v>
      </c>
      <c r="D96" s="75" t="s">
        <v>12</v>
      </c>
      <c r="E96" s="75" t="s">
        <v>86</v>
      </c>
    </row>
    <row r="97" spans="1:5" x14ac:dyDescent="0.25">
      <c r="A97" s="76" t="str">
        <f>'[1]4'!A9</f>
        <v>MKN100-020</v>
      </c>
      <c r="B97" s="77" t="str">
        <f>'[1]4'!B9</f>
        <v>Thru 4 1/2" Wasphip Pin</v>
      </c>
      <c r="C97" s="76" t="s">
        <v>178</v>
      </c>
      <c r="D97" s="78">
        <f>'[1]4'!D9</f>
        <v>300</v>
      </c>
      <c r="E97" s="78">
        <f>'[1]4'!E9</f>
        <v>165</v>
      </c>
    </row>
    <row r="98" spans="1:5" x14ac:dyDescent="0.25">
      <c r="A98" s="79" t="str">
        <f>'[1]4'!A10</f>
        <v>MKN100-021</v>
      </c>
      <c r="B98" s="80" t="str">
        <f>'[1]4'!B10</f>
        <v>Thru 5 3/4" Wasphip Pin</v>
      </c>
      <c r="C98" s="79" t="s">
        <v>178</v>
      </c>
      <c r="D98" s="81">
        <f>'[1]4'!D10</f>
        <v>360</v>
      </c>
      <c r="E98" s="81">
        <f>'[1]4'!E10</f>
        <v>185</v>
      </c>
    </row>
    <row r="99" spans="1:5" x14ac:dyDescent="0.25">
      <c r="A99" s="79" t="str">
        <f>'[1]4'!A11</f>
        <v>MKN100-022</v>
      </c>
      <c r="B99" s="80" t="str">
        <f>'[1]4'!B11</f>
        <v>Thru 8 3/8" Wasphip Pin</v>
      </c>
      <c r="C99" s="79" t="s">
        <v>178</v>
      </c>
      <c r="D99" s="81">
        <f>'[1]4'!D11</f>
        <v>460</v>
      </c>
      <c r="E99" s="81">
        <f>'[1]4'!E11</f>
        <v>250</v>
      </c>
    </row>
    <row r="100" spans="1:5" x14ac:dyDescent="0.25">
      <c r="A100" s="79" t="str">
        <f>'[1]4'!A12</f>
        <v>MKN100-023</v>
      </c>
      <c r="B100" s="80" t="str">
        <f>'[1]4'!B12</f>
        <v>Thru 10 3/4" Wasphip Pin</v>
      </c>
      <c r="C100" s="79" t="s">
        <v>178</v>
      </c>
      <c r="D100" s="81">
        <f>'[1]4'!D12</f>
        <v>490</v>
      </c>
      <c r="E100" s="81">
        <f>'[1]4'!E12</f>
        <v>265</v>
      </c>
    </row>
    <row r="101" spans="1:5" x14ac:dyDescent="0.25">
      <c r="A101" s="79" t="str">
        <f>'[1]4'!A13</f>
        <v>MKN100-024</v>
      </c>
      <c r="B101" s="80" t="str">
        <f>'[1]4'!B13</f>
        <v>Thru 13 3/8" Wasphip Pin</v>
      </c>
      <c r="C101" s="79" t="s">
        <v>178</v>
      </c>
      <c r="D101" s="81">
        <f>'[1]4'!D13</f>
        <v>680</v>
      </c>
      <c r="E101" s="81">
        <f>'[1]4'!E13</f>
        <v>370</v>
      </c>
    </row>
    <row r="102" spans="1:5" x14ac:dyDescent="0.25">
      <c r="A102" s="79" t="str">
        <f>'[1]4'!A14</f>
        <v>MKN100-025</v>
      </c>
      <c r="B102" s="80" t="str">
        <f>'[1]4'!B14</f>
        <v>Thru 16 1/2" Wasphip Pin</v>
      </c>
      <c r="C102" s="79" t="s">
        <v>178</v>
      </c>
      <c r="D102" s="81">
        <f>'[1]4'!D14</f>
        <v>760</v>
      </c>
      <c r="E102" s="81">
        <f>'[1]4'!E14</f>
        <v>440</v>
      </c>
    </row>
    <row r="103" spans="1:5" x14ac:dyDescent="0.25">
      <c r="A103" s="79" t="str">
        <f>'[1]4'!A15</f>
        <v>MKN100-026</v>
      </c>
      <c r="B103" s="80" t="str">
        <f>'[1]4'!B15</f>
        <v>Thru 20" Wasphip Pin</v>
      </c>
      <c r="C103" s="79" t="s">
        <v>178</v>
      </c>
      <c r="D103" s="81">
        <f>'[1]4'!D15</f>
        <v>850</v>
      </c>
      <c r="E103" s="81">
        <f>'[1]4'!E15</f>
        <v>475</v>
      </c>
    </row>
    <row r="104" spans="1:5" x14ac:dyDescent="0.25">
      <c r="A104" s="82"/>
      <c r="B104" s="83"/>
      <c r="C104" s="82"/>
      <c r="D104" s="84"/>
      <c r="E104" s="84"/>
    </row>
    <row r="105" spans="1:5" ht="18" customHeight="1" x14ac:dyDescent="0.25">
      <c r="A105" s="42" t="s">
        <v>186</v>
      </c>
      <c r="B105" s="70"/>
      <c r="C105" s="71"/>
      <c r="D105" s="72"/>
      <c r="E105" s="72"/>
    </row>
    <row r="106" spans="1:5" x14ac:dyDescent="0.25">
      <c r="A106" s="73" t="s">
        <v>7</v>
      </c>
      <c r="B106" s="74" t="s">
        <v>8</v>
      </c>
      <c r="C106" s="73" t="s">
        <v>9</v>
      </c>
      <c r="D106" s="75" t="s">
        <v>75</v>
      </c>
      <c r="E106" s="85"/>
    </row>
    <row r="107" spans="1:5" x14ac:dyDescent="0.25">
      <c r="A107" s="76" t="str">
        <f>'[1]4'!A20</f>
        <v>MKN100-027</v>
      </c>
      <c r="B107" s="77" t="str">
        <f>'[1]4'!B20</f>
        <v>7 5/8" OD &amp; Smaller</v>
      </c>
      <c r="C107" s="76" t="s">
        <v>162</v>
      </c>
      <c r="D107" s="78">
        <f>'[1]4'!D20</f>
        <v>165</v>
      </c>
      <c r="E107" s="78"/>
    </row>
    <row r="108" spans="1:5" x14ac:dyDescent="0.25">
      <c r="A108" s="79" t="str">
        <f>'[1]4'!A21</f>
        <v>MKN100-028</v>
      </c>
      <c r="B108" s="80" t="str">
        <f>'[1]4'!B21</f>
        <v>9 5/8" OD &amp; Smaller</v>
      </c>
      <c r="C108" s="79" t="s">
        <v>162</v>
      </c>
      <c r="D108" s="81">
        <f>'[1]4'!D21</f>
        <v>260</v>
      </c>
      <c r="E108" s="81"/>
    </row>
    <row r="109" spans="1:5" x14ac:dyDescent="0.25">
      <c r="A109" s="79" t="str">
        <f>'[1]4'!A22</f>
        <v>MKN100-029</v>
      </c>
      <c r="B109" s="80" t="str">
        <f>'[1]4'!B22</f>
        <v>11 3/4" OD &amp; Smaller</v>
      </c>
      <c r="C109" s="79" t="s">
        <v>162</v>
      </c>
      <c r="D109" s="81">
        <f>'[1]4'!D22</f>
        <v>300</v>
      </c>
      <c r="E109" s="81"/>
    </row>
    <row r="110" spans="1:5" x14ac:dyDescent="0.25">
      <c r="A110" s="82"/>
      <c r="B110" s="83"/>
      <c r="C110" s="82"/>
      <c r="D110" s="84"/>
      <c r="E110" s="84"/>
    </row>
    <row r="111" spans="1:5" ht="18" customHeight="1" x14ac:dyDescent="0.25">
      <c r="A111" s="42" t="s">
        <v>187</v>
      </c>
      <c r="B111" s="70"/>
      <c r="C111" s="71"/>
      <c r="D111" s="72"/>
      <c r="E111" s="72"/>
    </row>
    <row r="112" spans="1:5" x14ac:dyDescent="0.25">
      <c r="A112" s="73" t="s">
        <v>7</v>
      </c>
      <c r="B112" s="74" t="s">
        <v>8</v>
      </c>
      <c r="C112" s="73" t="s">
        <v>9</v>
      </c>
      <c r="D112" s="75" t="s">
        <v>12</v>
      </c>
      <c r="E112" s="75" t="s">
        <v>86</v>
      </c>
    </row>
    <row r="113" spans="1:6" x14ac:dyDescent="0.25">
      <c r="A113" s="76" t="str">
        <f>'[1]4'!A27</f>
        <v>MKN100-030</v>
      </c>
      <c r="B113" s="77" t="str">
        <f>'[1]4'!B27</f>
        <v>Thru 10 segments</v>
      </c>
      <c r="C113" s="76" t="s">
        <v>188</v>
      </c>
      <c r="D113" s="78">
        <f>'[1]4'!D27</f>
        <v>150</v>
      </c>
      <c r="E113" s="78">
        <f>'[1]4'!E27</f>
        <v>15</v>
      </c>
    </row>
    <row r="114" spans="1:6" x14ac:dyDescent="0.25">
      <c r="A114" s="79" t="str">
        <f>'[1]4'!A28</f>
        <v>MKN100-031</v>
      </c>
      <c r="B114" s="80" t="str">
        <f>'[1]4'!B28</f>
        <v>Larger than 10 segments</v>
      </c>
      <c r="C114" s="79" t="s">
        <v>188</v>
      </c>
      <c r="D114" s="81">
        <f>'[1]4'!D28</f>
        <v>190</v>
      </c>
      <c r="E114" s="81">
        <f>'[1]4'!E28</f>
        <v>25</v>
      </c>
    </row>
    <row r="115" spans="1:6" x14ac:dyDescent="0.25">
      <c r="A115" s="82"/>
      <c r="B115" s="83"/>
      <c r="C115" s="82"/>
      <c r="D115" s="84"/>
      <c r="E115" s="84"/>
    </row>
    <row r="116" spans="1:6" ht="24" customHeight="1" thickBot="1" x14ac:dyDescent="0.3">
      <c r="A116" s="62" t="s">
        <v>189</v>
      </c>
      <c r="B116" s="63"/>
      <c r="C116" s="64"/>
      <c r="D116" s="65"/>
      <c r="E116" s="65"/>
      <c r="F116" s="66" t="s">
        <v>5</v>
      </c>
    </row>
    <row r="117" spans="1:6" ht="15.75" thickTop="1" x14ac:dyDescent="0.25">
      <c r="A117" s="67"/>
      <c r="B117" s="68"/>
      <c r="C117" s="67"/>
      <c r="D117" s="69"/>
      <c r="E117" s="69"/>
    </row>
    <row r="118" spans="1:6" ht="18" customHeight="1" x14ac:dyDescent="0.25">
      <c r="A118" s="42" t="s">
        <v>190</v>
      </c>
      <c r="B118" s="70"/>
      <c r="C118" s="71"/>
      <c r="D118" s="72"/>
      <c r="E118" s="72"/>
    </row>
    <row r="119" spans="1:6" x14ac:dyDescent="0.25">
      <c r="A119" s="73" t="s">
        <v>7</v>
      </c>
      <c r="B119" s="74" t="s">
        <v>8</v>
      </c>
      <c r="C119" s="73" t="s">
        <v>9</v>
      </c>
      <c r="D119" s="75" t="s">
        <v>75</v>
      </c>
      <c r="E119" s="85"/>
    </row>
    <row r="120" spans="1:6" x14ac:dyDescent="0.25">
      <c r="A120" s="76" t="str">
        <f>'[1]4'!A32</f>
        <v>MKN 100-032</v>
      </c>
      <c r="B120" s="77" t="str">
        <f>'[1]4'!B32</f>
        <v>Casing Thru 6-5/8" OD</v>
      </c>
      <c r="C120" s="76" t="s">
        <v>191</v>
      </c>
      <c r="D120" s="78">
        <f>'[1]4'!D32</f>
        <v>1050</v>
      </c>
      <c r="E120" s="78"/>
    </row>
    <row r="121" spans="1:6" x14ac:dyDescent="0.25">
      <c r="A121" s="79" t="str">
        <f>'[1]4'!A33</f>
        <v>MKN 100-033</v>
      </c>
      <c r="B121" s="80" t="str">
        <f>'[1]4'!B33</f>
        <v>Casing Thru 8-5/8" OD</v>
      </c>
      <c r="C121" s="79" t="s">
        <v>191</v>
      </c>
      <c r="D121" s="81">
        <f>'[1]4'!D33</f>
        <v>1400</v>
      </c>
      <c r="E121" s="81"/>
    </row>
    <row r="122" spans="1:6" x14ac:dyDescent="0.25">
      <c r="A122" s="79"/>
      <c r="B122" s="80"/>
      <c r="C122" s="79"/>
      <c r="D122" s="81"/>
      <c r="E122" s="81"/>
    </row>
    <row r="123" spans="1:6" x14ac:dyDescent="0.25">
      <c r="A123" s="86" t="s">
        <v>192</v>
      </c>
      <c r="B123" s="83"/>
      <c r="C123" s="82"/>
      <c r="D123" s="84"/>
      <c r="E123" s="84"/>
    </row>
    <row r="124" spans="1:6" ht="18" customHeight="1" x14ac:dyDescent="0.25">
      <c r="A124" s="87" t="s">
        <v>7</v>
      </c>
      <c r="B124" s="88" t="s">
        <v>8</v>
      </c>
      <c r="C124" s="87" t="s">
        <v>9</v>
      </c>
      <c r="D124" s="89" t="s">
        <v>75</v>
      </c>
      <c r="E124" s="72"/>
    </row>
    <row r="125" spans="1:6" x14ac:dyDescent="0.25">
      <c r="A125" s="90" t="str">
        <f>'[1]4'!A35</f>
        <v>MKN 100-034</v>
      </c>
      <c r="B125" s="91" t="str">
        <f>'[1]4'!B35</f>
        <v>Mechanical cutter (Any size)</v>
      </c>
      <c r="C125" s="90" t="s">
        <v>191</v>
      </c>
      <c r="D125" s="85">
        <f>'[1]4'!D35</f>
        <v>1850</v>
      </c>
      <c r="E125" s="85"/>
    </row>
    <row r="126" spans="1:6" x14ac:dyDescent="0.25">
      <c r="A126" s="76" t="str">
        <f>'[1]4'!A36</f>
        <v>MKN 100-035</v>
      </c>
      <c r="B126" s="77" t="str">
        <f>'[1]4'!B36</f>
        <v>Hydraulic or washover cutter (Any size)</v>
      </c>
      <c r="C126" s="76" t="s">
        <v>191</v>
      </c>
      <c r="D126" s="78">
        <f>'[1]4'!D36</f>
        <v>2251</v>
      </c>
      <c r="E126" s="78"/>
    </row>
    <row r="127" spans="1:6" x14ac:dyDescent="0.25">
      <c r="A127" s="79"/>
      <c r="B127" s="80"/>
      <c r="C127" s="79"/>
      <c r="D127" s="81"/>
      <c r="E127" s="81"/>
    </row>
    <row r="128" spans="1:6" x14ac:dyDescent="0.25">
      <c r="A128" s="92" t="s">
        <v>193</v>
      </c>
      <c r="B128" s="80"/>
      <c r="C128" s="79"/>
      <c r="D128" s="81"/>
      <c r="E128" s="81"/>
    </row>
    <row r="129" spans="1:6" x14ac:dyDescent="0.25">
      <c r="A129" s="93" t="s">
        <v>7</v>
      </c>
      <c r="B129" s="94" t="s">
        <v>8</v>
      </c>
      <c r="C129" s="93" t="s">
        <v>9</v>
      </c>
      <c r="D129" s="95" t="s">
        <v>75</v>
      </c>
      <c r="E129" s="84"/>
    </row>
    <row r="130" spans="1:6" ht="18" customHeight="1" x14ac:dyDescent="0.25">
      <c r="A130" s="71" t="str">
        <f>'[1]4'!A41</f>
        <v>PER CUT</v>
      </c>
      <c r="B130" s="70" t="str">
        <f>'[1]4'!B41</f>
        <v>Thru 9-5/8" OD OR Smaller</v>
      </c>
      <c r="C130" s="71" t="s">
        <v>191</v>
      </c>
      <c r="D130" s="72">
        <f>'[1]4'!D41</f>
        <v>1800</v>
      </c>
      <c r="E130" s="72"/>
    </row>
    <row r="131" spans="1:6" x14ac:dyDescent="0.25">
      <c r="A131" s="90" t="str">
        <f>'[1]4'!A42</f>
        <v>PER CUT</v>
      </c>
      <c r="B131" s="91" t="str">
        <f>'[1]4'!B42</f>
        <v>Thru 10-3/4" OD</v>
      </c>
      <c r="C131" s="90" t="s">
        <v>191</v>
      </c>
      <c r="D131" s="85">
        <f>'[1]4'!D42</f>
        <v>2050</v>
      </c>
      <c r="E131" s="85"/>
    </row>
    <row r="132" spans="1:6" x14ac:dyDescent="0.25">
      <c r="A132" s="76" t="str">
        <f>'[1]4'!A43</f>
        <v>PER CUT</v>
      </c>
      <c r="B132" s="77" t="str">
        <f>'[1]4'!B43</f>
        <v>Thru 13-3/8" OD</v>
      </c>
      <c r="C132" s="76" t="s">
        <v>191</v>
      </c>
      <c r="D132" s="78">
        <f>'[1]4'!D43</f>
        <v>2500</v>
      </c>
      <c r="E132" s="78"/>
    </row>
    <row r="133" spans="1:6" x14ac:dyDescent="0.25">
      <c r="A133" s="79" t="str">
        <f>'[1]4'!A44</f>
        <v>PER CUT</v>
      </c>
      <c r="B133" s="80" t="str">
        <f>'[1]4'!B44</f>
        <v>Thru 18" OD</v>
      </c>
      <c r="C133" s="79" t="s">
        <v>191</v>
      </c>
      <c r="D133" s="81">
        <f>'[1]4'!D44</f>
        <v>2570</v>
      </c>
      <c r="E133" s="81"/>
    </row>
    <row r="134" spans="1:6" x14ac:dyDescent="0.25">
      <c r="A134" s="79" t="str">
        <f>'[1]4'!A45</f>
        <v>PER CUT</v>
      </c>
      <c r="B134" s="80" t="str">
        <f>'[1]4'!B45</f>
        <v>Thru 26" OD</v>
      </c>
      <c r="C134" s="79" t="s">
        <v>191</v>
      </c>
      <c r="D134" s="81">
        <f>'[1]4'!D45</f>
        <v>2600</v>
      </c>
      <c r="E134" s="81"/>
    </row>
    <row r="135" spans="1:6" x14ac:dyDescent="0.25">
      <c r="A135" s="79" t="str">
        <f>'[1]4'!A46</f>
        <v>PER CUT</v>
      </c>
      <c r="B135" s="80" t="str">
        <f>'[1]4'!B46</f>
        <v>Thru 30" OD</v>
      </c>
      <c r="C135" s="79" t="s">
        <v>191</v>
      </c>
      <c r="D135" s="81">
        <f>'[1]4'!D46</f>
        <v>3700</v>
      </c>
      <c r="E135" s="81"/>
    </row>
    <row r="136" spans="1:6" x14ac:dyDescent="0.25">
      <c r="A136" s="79" t="str">
        <f>'[1]4'!A47</f>
        <v>PER CUT</v>
      </c>
      <c r="B136" s="80" t="str">
        <f>'[1]4'!B47</f>
        <v>Thru 36" OD</v>
      </c>
      <c r="C136" s="79" t="s">
        <v>191</v>
      </c>
      <c r="D136" s="81">
        <f>'[1]4'!D47</f>
        <v>3700</v>
      </c>
      <c r="E136" s="81"/>
    </row>
    <row r="137" spans="1:6" x14ac:dyDescent="0.25">
      <c r="A137" s="79" t="str">
        <f>'[1]4'!A48</f>
        <v>PER CUT</v>
      </c>
      <c r="B137" s="80" t="str">
        <f>'[1]4'!B48</f>
        <v>Thru 42" OD</v>
      </c>
      <c r="C137" s="79" t="s">
        <v>191</v>
      </c>
      <c r="D137" s="81">
        <f>'[1]4'!D48</f>
        <v>5500</v>
      </c>
      <c r="E137" s="81"/>
    </row>
    <row r="138" spans="1:6" x14ac:dyDescent="0.25">
      <c r="A138" s="82"/>
      <c r="B138" s="83"/>
      <c r="C138" s="82"/>
      <c r="D138" s="84"/>
      <c r="E138" s="84"/>
    </row>
    <row r="139" spans="1:6" ht="24" customHeight="1" thickBot="1" x14ac:dyDescent="0.3">
      <c r="A139" s="62" t="s">
        <v>194</v>
      </c>
      <c r="B139" s="63"/>
      <c r="C139" s="64"/>
      <c r="D139" s="65"/>
      <c r="E139" s="65"/>
      <c r="F139" s="66" t="s">
        <v>5</v>
      </c>
    </row>
    <row r="140" spans="1:6" ht="15.75" thickTop="1" x14ac:dyDescent="0.25">
      <c r="A140" s="67"/>
      <c r="B140" s="68"/>
      <c r="C140" s="67"/>
      <c r="D140" s="69"/>
      <c r="E140" s="69"/>
    </row>
    <row r="141" spans="1:6" ht="18" customHeight="1" x14ac:dyDescent="0.25">
      <c r="A141" s="42" t="s">
        <v>195</v>
      </c>
      <c r="B141" s="70"/>
      <c r="C141" s="71"/>
      <c r="D141" s="72"/>
      <c r="E141" s="72"/>
    </row>
    <row r="142" spans="1:6" x14ac:dyDescent="0.25">
      <c r="A142" s="73" t="s">
        <v>7</v>
      </c>
      <c r="B142" s="74" t="s">
        <v>8</v>
      </c>
      <c r="C142" s="73" t="s">
        <v>9</v>
      </c>
      <c r="D142" s="75" t="s">
        <v>12</v>
      </c>
      <c r="E142" s="75" t="s">
        <v>86</v>
      </c>
    </row>
    <row r="143" spans="1:6" x14ac:dyDescent="0.25">
      <c r="A143" s="76" t="str">
        <f>'[1]4'!A55</f>
        <v>MKN 100-045</v>
      </c>
      <c r="B143" s="77" t="s">
        <v>196</v>
      </c>
      <c r="C143" s="76" t="s">
        <v>162</v>
      </c>
      <c r="D143" s="78">
        <f>'[1]4'!D55</f>
        <v>975</v>
      </c>
      <c r="E143" s="78">
        <f>'[1]4'!E55</f>
        <v>575</v>
      </c>
    </row>
    <row r="144" spans="1:6" x14ac:dyDescent="0.25">
      <c r="A144" s="79" t="str">
        <f>'[1]4'!A56</f>
        <v>MKN 100-046</v>
      </c>
      <c r="B144" s="80" t="s">
        <v>197</v>
      </c>
      <c r="C144" s="79" t="s">
        <v>162</v>
      </c>
      <c r="D144" s="81">
        <f>'[1]4'!D56</f>
        <v>1250</v>
      </c>
      <c r="E144" s="81">
        <f>'[1]4'!E56</f>
        <v>600</v>
      </c>
    </row>
    <row r="145" spans="1:6" x14ac:dyDescent="0.25">
      <c r="A145" s="79" t="str">
        <f>'[1]4'!A58</f>
        <v>MKN 100-047</v>
      </c>
      <c r="B145" s="80" t="s">
        <v>198</v>
      </c>
      <c r="C145" s="79" t="s">
        <v>162</v>
      </c>
      <c r="D145" s="81">
        <f>'[1]4'!D58</f>
        <v>750</v>
      </c>
      <c r="E145" s="81">
        <f>'[1]4'!E58</f>
        <v>240</v>
      </c>
    </row>
    <row r="146" spans="1:6" x14ac:dyDescent="0.25">
      <c r="A146" s="79" t="str">
        <f>'[1]4'!A59</f>
        <v>MKN 100-048</v>
      </c>
      <c r="B146" s="80" t="s">
        <v>199</v>
      </c>
      <c r="C146" s="79" t="s">
        <v>162</v>
      </c>
      <c r="D146" s="81">
        <f>'[1]4'!D59</f>
        <v>800</v>
      </c>
      <c r="E146" s="81">
        <f>'[1]4'!E59</f>
        <v>330</v>
      </c>
    </row>
    <row r="147" spans="1:6" x14ac:dyDescent="0.25">
      <c r="A147" s="82"/>
      <c r="B147" s="83"/>
      <c r="C147" s="82"/>
      <c r="D147" s="84"/>
      <c r="E147" s="84"/>
    </row>
    <row r="148" spans="1:6" ht="24" customHeight="1" thickBot="1" x14ac:dyDescent="0.3">
      <c r="A148" s="62" t="s">
        <v>200</v>
      </c>
      <c r="B148" s="63"/>
      <c r="C148" s="64"/>
      <c r="D148" s="65"/>
      <c r="E148" s="65"/>
      <c r="F148" s="66" t="s">
        <v>5</v>
      </c>
    </row>
    <row r="149" spans="1:6" ht="15.75" thickTop="1" x14ac:dyDescent="0.25">
      <c r="A149" s="67"/>
      <c r="B149" s="68"/>
      <c r="C149" s="67"/>
      <c r="D149" s="69"/>
      <c r="E149" s="69"/>
    </row>
    <row r="150" spans="1:6" ht="18" customHeight="1" x14ac:dyDescent="0.25">
      <c r="A150" s="42" t="s">
        <v>201</v>
      </c>
      <c r="B150" s="70"/>
      <c r="C150" s="71"/>
      <c r="D150" s="72"/>
      <c r="E150" s="72"/>
    </row>
    <row r="151" spans="1:6" x14ac:dyDescent="0.25">
      <c r="A151" s="73" t="s">
        <v>7</v>
      </c>
      <c r="B151" s="74" t="s">
        <v>8</v>
      </c>
      <c r="C151" s="73" t="s">
        <v>9</v>
      </c>
      <c r="D151" s="75" t="s">
        <v>12</v>
      </c>
      <c r="E151" s="75" t="s">
        <v>86</v>
      </c>
    </row>
    <row r="152" spans="1:6" x14ac:dyDescent="0.25">
      <c r="A152" s="76" t="str">
        <f>'[1]5'!A9</f>
        <v>MKN 100-049</v>
      </c>
      <c r="B152" s="77" t="s">
        <v>202</v>
      </c>
      <c r="C152" s="76" t="s">
        <v>162</v>
      </c>
      <c r="D152" s="78">
        <f>'[1]5'!D9</f>
        <v>200</v>
      </c>
      <c r="E152" s="78">
        <f>'[1]5'!E9</f>
        <v>90</v>
      </c>
    </row>
    <row r="153" spans="1:6" x14ac:dyDescent="0.25">
      <c r="A153" s="79" t="str">
        <f>'[1]5'!A10</f>
        <v>MKN 100-050</v>
      </c>
      <c r="B153" s="80" t="s">
        <v>203</v>
      </c>
      <c r="C153" s="79" t="s">
        <v>162</v>
      </c>
      <c r="D153" s="81">
        <f>'[1]5'!D10</f>
        <v>280</v>
      </c>
      <c r="E153" s="81">
        <f>'[1]5'!E10</f>
        <v>130</v>
      </c>
    </row>
    <row r="154" spans="1:6" x14ac:dyDescent="0.25">
      <c r="A154" s="79" t="str">
        <f>'[1]5'!A12</f>
        <v>MKN 100-051</v>
      </c>
      <c r="B154" s="80" t="s">
        <v>204</v>
      </c>
      <c r="C154" s="79" t="s">
        <v>162</v>
      </c>
      <c r="D154" s="81">
        <f>'[1]5'!D12</f>
        <v>690</v>
      </c>
      <c r="E154" s="81">
        <f>'[1]5'!E12</f>
        <v>300</v>
      </c>
    </row>
    <row r="155" spans="1:6" x14ac:dyDescent="0.25">
      <c r="A155" s="79"/>
      <c r="B155" s="80"/>
      <c r="C155" s="79"/>
      <c r="D155" s="81"/>
      <c r="E155" s="81"/>
    </row>
    <row r="156" spans="1:6" x14ac:dyDescent="0.25">
      <c r="A156" s="86" t="s">
        <v>205</v>
      </c>
      <c r="B156" s="83"/>
      <c r="C156" s="82"/>
      <c r="D156" s="84"/>
      <c r="E156" s="84"/>
    </row>
    <row r="157" spans="1:6" ht="18" customHeight="1" x14ac:dyDescent="0.25">
      <c r="A157" s="87" t="s">
        <v>7</v>
      </c>
      <c r="B157" s="88" t="s">
        <v>8</v>
      </c>
      <c r="C157" s="87" t="s">
        <v>9</v>
      </c>
      <c r="D157" s="89" t="s">
        <v>12</v>
      </c>
      <c r="E157" s="89" t="s">
        <v>86</v>
      </c>
    </row>
    <row r="158" spans="1:6" x14ac:dyDescent="0.25">
      <c r="A158" s="90" t="str">
        <f>'[1]5'!A14</f>
        <v>MFT 100-052</v>
      </c>
      <c r="B158" s="91" t="s">
        <v>206</v>
      </c>
      <c r="C158" s="90" t="s">
        <v>162</v>
      </c>
      <c r="D158" s="85">
        <f>'[1]5'!D14</f>
        <v>500</v>
      </c>
      <c r="E158" s="85">
        <f>'[1]5'!E14</f>
        <v>50</v>
      </c>
    </row>
    <row r="159" spans="1:6" x14ac:dyDescent="0.25">
      <c r="A159" s="76" t="str">
        <f>'[1]5'!A16</f>
        <v>MKN 100-053</v>
      </c>
      <c r="B159" s="77" t="s">
        <v>207</v>
      </c>
      <c r="C159" s="76" t="s">
        <v>162</v>
      </c>
      <c r="D159" s="78">
        <f>'[1]5'!D16</f>
        <v>330</v>
      </c>
      <c r="E159" s="78">
        <f>'[1]5'!E16</f>
        <v>220</v>
      </c>
    </row>
    <row r="160" spans="1:6" x14ac:dyDescent="0.25">
      <c r="A160" s="79" t="str">
        <f>'[1]5'!A17</f>
        <v>MKN 100-054</v>
      </c>
      <c r="B160" s="80" t="s">
        <v>208</v>
      </c>
      <c r="C160" s="79" t="s">
        <v>162</v>
      </c>
      <c r="D160" s="81">
        <f>'[1]5'!D17</f>
        <v>520</v>
      </c>
      <c r="E160" s="81">
        <f>'[1]5'!E17</f>
        <v>320</v>
      </c>
    </row>
    <row r="161" spans="1:6" x14ac:dyDescent="0.25">
      <c r="A161" s="79" t="str">
        <f>'[1]5'!A18</f>
        <v>MKN 100-055</v>
      </c>
      <c r="B161" s="80" t="s">
        <v>209</v>
      </c>
      <c r="C161" s="79" t="s">
        <v>162</v>
      </c>
      <c r="D161" s="81">
        <f>'[1]5'!D18</f>
        <v>840</v>
      </c>
      <c r="E161" s="81">
        <f>'[1]5'!E18</f>
        <v>520</v>
      </c>
    </row>
    <row r="162" spans="1:6" x14ac:dyDescent="0.25">
      <c r="A162" s="79" t="str">
        <f>'[1]5'!A19</f>
        <v>MKN 100-058</v>
      </c>
      <c r="B162" s="80" t="s">
        <v>210</v>
      </c>
      <c r="C162" s="79" t="s">
        <v>162</v>
      </c>
      <c r="D162" s="81">
        <f>'[1]5'!D19</f>
        <v>990</v>
      </c>
      <c r="E162" s="81">
        <f>'[1]5'!E19</f>
        <v>670</v>
      </c>
    </row>
    <row r="163" spans="1:6" x14ac:dyDescent="0.25">
      <c r="A163" s="79" t="str">
        <f>'[1]5'!A20</f>
        <v>MKN 100-057</v>
      </c>
      <c r="B163" s="80" t="s">
        <v>211</v>
      </c>
      <c r="C163" s="79" t="s">
        <v>162</v>
      </c>
      <c r="D163" s="81">
        <f>'[1]5'!D20</f>
        <v>1380</v>
      </c>
      <c r="E163" s="81">
        <f>'[1]5'!E20</f>
        <v>900</v>
      </c>
    </row>
    <row r="164" spans="1:6" x14ac:dyDescent="0.25">
      <c r="A164" s="82"/>
      <c r="B164" s="83"/>
      <c r="C164" s="82"/>
      <c r="D164" s="84"/>
      <c r="E164" s="84"/>
    </row>
    <row r="165" spans="1:6" ht="24" customHeight="1" thickBot="1" x14ac:dyDescent="0.3">
      <c r="A165" s="62" t="s">
        <v>212</v>
      </c>
      <c r="B165" s="63"/>
      <c r="C165" s="64"/>
      <c r="D165" s="65"/>
      <c r="E165" s="65"/>
      <c r="F165" s="66" t="s">
        <v>5</v>
      </c>
    </row>
    <row r="166" spans="1:6" ht="15.75" thickTop="1" x14ac:dyDescent="0.25">
      <c r="A166" s="67"/>
      <c r="B166" s="68"/>
      <c r="C166" s="67"/>
      <c r="D166" s="69"/>
      <c r="E166" s="69"/>
    </row>
    <row r="167" spans="1:6" ht="18" customHeight="1" x14ac:dyDescent="0.25">
      <c r="A167" s="42" t="s">
        <v>213</v>
      </c>
      <c r="B167" s="70"/>
      <c r="C167" s="71"/>
      <c r="D167" s="72"/>
      <c r="E167" s="72"/>
    </row>
    <row r="168" spans="1:6" x14ac:dyDescent="0.25">
      <c r="A168" s="73" t="s">
        <v>7</v>
      </c>
      <c r="B168" s="74" t="s">
        <v>8</v>
      </c>
      <c r="C168" s="73" t="s">
        <v>9</v>
      </c>
      <c r="D168" s="75" t="s">
        <v>214</v>
      </c>
      <c r="E168" s="75" t="s">
        <v>86</v>
      </c>
    </row>
    <row r="169" spans="1:6" x14ac:dyDescent="0.25">
      <c r="A169" s="76" t="str">
        <f>'[1]5'!A25</f>
        <v>MKN 100-058</v>
      </c>
      <c r="B169" s="77" t="s">
        <v>215</v>
      </c>
      <c r="C169" s="76" t="s">
        <v>216</v>
      </c>
      <c r="D169" s="78">
        <f>'[1]5'!D25</f>
        <v>7500</v>
      </c>
      <c r="E169" s="78">
        <f>'[1]5'!E25</f>
        <v>55</v>
      </c>
    </row>
    <row r="170" spans="1:6" x14ac:dyDescent="0.25">
      <c r="A170" s="79" t="str">
        <f>'[1]5'!A26</f>
        <v>MKN 100-059</v>
      </c>
      <c r="B170" s="80" t="s">
        <v>217</v>
      </c>
      <c r="C170" s="79" t="s">
        <v>216</v>
      </c>
      <c r="D170" s="81">
        <f>'[1]5'!D26</f>
        <v>8150</v>
      </c>
      <c r="E170" s="81">
        <f>'[1]5'!E26</f>
        <v>70</v>
      </c>
    </row>
    <row r="171" spans="1:6" x14ac:dyDescent="0.25">
      <c r="A171" s="79" t="str">
        <f>'[1]5'!A28</f>
        <v>MKN 100-060</v>
      </c>
      <c r="B171" s="80" t="s">
        <v>218</v>
      </c>
      <c r="C171" s="79" t="s">
        <v>216</v>
      </c>
      <c r="D171" s="81">
        <f>'[1]5'!D28</f>
        <v>5306</v>
      </c>
      <c r="E171" s="81">
        <f>'[1]5'!E28</f>
        <v>100</v>
      </c>
    </row>
    <row r="172" spans="1:6" x14ac:dyDescent="0.25">
      <c r="A172" s="79" t="str">
        <f>'[1]5'!A29</f>
        <v>MKN 100-061</v>
      </c>
      <c r="B172" s="80" t="s">
        <v>219</v>
      </c>
      <c r="C172" s="79" t="s">
        <v>216</v>
      </c>
      <c r="D172" s="81">
        <f>'[1]5'!D29</f>
        <v>6400</v>
      </c>
      <c r="E172" s="81">
        <f>'[1]5'!E29</f>
        <v>130</v>
      </c>
    </row>
    <row r="173" spans="1:6" x14ac:dyDescent="0.25">
      <c r="A173" s="79" t="str">
        <f>'[1]5'!A30</f>
        <v>MKN 100-062</v>
      </c>
      <c r="B173" s="80" t="s">
        <v>220</v>
      </c>
      <c r="C173" s="79" t="s">
        <v>216</v>
      </c>
      <c r="D173" s="81">
        <f>'[1]5'!D30</f>
        <v>8300</v>
      </c>
      <c r="E173" s="81">
        <f>'[1]5'!E30</f>
        <v>140</v>
      </c>
    </row>
    <row r="174" spans="1:6" x14ac:dyDescent="0.25">
      <c r="A174" s="79" t="str">
        <f>'[1]5'!A31</f>
        <v>MKN 100-063</v>
      </c>
      <c r="B174" s="80" t="s">
        <v>221</v>
      </c>
      <c r="C174" s="79" t="s">
        <v>162</v>
      </c>
      <c r="D174" s="81">
        <f>'[1]5'!D31</f>
        <v>12350</v>
      </c>
      <c r="E174" s="81">
        <f>'[1]5'!E31</f>
        <v>265</v>
      </c>
    </row>
    <row r="175" spans="1:6" x14ac:dyDescent="0.25">
      <c r="A175" s="82"/>
      <c r="B175" s="83"/>
      <c r="C175" s="82"/>
      <c r="D175" s="84"/>
      <c r="E175" s="84"/>
    </row>
    <row r="176" spans="1:6" ht="18" customHeight="1" x14ac:dyDescent="0.25">
      <c r="A176" s="42" t="s">
        <v>222</v>
      </c>
      <c r="B176" s="70"/>
      <c r="C176" s="71"/>
      <c r="D176" s="72"/>
      <c r="E176" s="72"/>
    </row>
    <row r="177" spans="1:6" x14ac:dyDescent="0.25">
      <c r="A177" s="73" t="s">
        <v>7</v>
      </c>
      <c r="B177" s="74" t="s">
        <v>8</v>
      </c>
      <c r="C177" s="73" t="s">
        <v>9</v>
      </c>
      <c r="D177" s="75" t="s">
        <v>75</v>
      </c>
      <c r="E177" s="85"/>
    </row>
    <row r="178" spans="1:6" x14ac:dyDescent="0.25">
      <c r="A178" s="76" t="str">
        <f>'[1]5'!A35</f>
        <v>MKN 100-064</v>
      </c>
      <c r="B178" s="77" t="s">
        <v>223</v>
      </c>
      <c r="C178" s="76" t="s">
        <v>171</v>
      </c>
      <c r="D178" s="78">
        <f>'[1]5'!D35</f>
        <v>600</v>
      </c>
      <c r="E178" s="78"/>
    </row>
    <row r="179" spans="1:6" x14ac:dyDescent="0.25">
      <c r="A179" s="79" t="str">
        <f>'[1]5'!A38</f>
        <v>MKN 100-065</v>
      </c>
      <c r="B179" s="80" t="s">
        <v>224</v>
      </c>
      <c r="C179" s="79" t="s">
        <v>171</v>
      </c>
      <c r="D179" s="81">
        <f>'[1]5'!D38</f>
        <v>310</v>
      </c>
      <c r="E179" s="81"/>
    </row>
    <row r="180" spans="1:6" x14ac:dyDescent="0.25">
      <c r="A180" s="79" t="str">
        <f>'[1]5'!A39</f>
        <v>MKN 100-066</v>
      </c>
      <c r="B180" s="80" t="s">
        <v>225</v>
      </c>
      <c r="C180" s="79" t="s">
        <v>171</v>
      </c>
      <c r="D180" s="81">
        <f>'[1]5'!D39</f>
        <v>350</v>
      </c>
      <c r="E180" s="81"/>
    </row>
    <row r="181" spans="1:6" x14ac:dyDescent="0.25">
      <c r="A181" s="79" t="str">
        <f>'[1]5'!A40</f>
        <v>MKN 100-067</v>
      </c>
      <c r="B181" s="80" t="s">
        <v>226</v>
      </c>
      <c r="C181" s="79" t="s">
        <v>171</v>
      </c>
      <c r="D181" s="81">
        <f>'[1]5'!D40</f>
        <v>350</v>
      </c>
      <c r="E181" s="81"/>
    </row>
    <row r="182" spans="1:6" x14ac:dyDescent="0.25">
      <c r="A182" s="79" t="str">
        <f>'[1]5'!A41</f>
        <v>MKN 100-068</v>
      </c>
      <c r="B182" s="80" t="s">
        <v>227</v>
      </c>
      <c r="C182" s="79" t="s">
        <v>171</v>
      </c>
      <c r="D182" s="81">
        <f>'[1]5'!D41</f>
        <v>510</v>
      </c>
      <c r="E182" s="81"/>
    </row>
    <row r="183" spans="1:6" x14ac:dyDescent="0.25">
      <c r="A183" s="79" t="str">
        <f>'[1]5'!A42</f>
        <v>MKN 100-069</v>
      </c>
      <c r="B183" s="80" t="s">
        <v>228</v>
      </c>
      <c r="C183" s="79" t="s">
        <v>171</v>
      </c>
      <c r="D183" s="81">
        <f>'[1]5'!D42</f>
        <v>510</v>
      </c>
      <c r="E183" s="81"/>
    </row>
    <row r="184" spans="1:6" ht="30" x14ac:dyDescent="0.25">
      <c r="A184" s="79" t="str">
        <f>'[1]5'!A44</f>
        <v>MKN 100-070</v>
      </c>
      <c r="B184" s="80" t="s">
        <v>229</v>
      </c>
      <c r="C184" s="79" t="s">
        <v>171</v>
      </c>
      <c r="D184" s="81">
        <f>'[1]5'!D44</f>
        <v>420</v>
      </c>
      <c r="E184" s="81"/>
    </row>
    <row r="185" spans="1:6" ht="30" x14ac:dyDescent="0.25">
      <c r="A185" s="79" t="str">
        <f>'[1]5'!A45</f>
        <v>MKN 100-071</v>
      </c>
      <c r="B185" s="80" t="s">
        <v>230</v>
      </c>
      <c r="C185" s="79" t="s">
        <v>171</v>
      </c>
      <c r="D185" s="81">
        <f>'[1]5'!D45</f>
        <v>460</v>
      </c>
      <c r="E185" s="81"/>
    </row>
    <row r="186" spans="1:6" ht="30" x14ac:dyDescent="0.25">
      <c r="A186" s="79" t="str">
        <f>'[1]5'!A46</f>
        <v>MKN 100-072</v>
      </c>
      <c r="B186" s="80" t="s">
        <v>231</v>
      </c>
      <c r="C186" s="79" t="s">
        <v>171</v>
      </c>
      <c r="D186" s="81">
        <f>'[1]5'!D46</f>
        <v>650</v>
      </c>
      <c r="E186" s="81"/>
    </row>
    <row r="187" spans="1:6" ht="30" x14ac:dyDescent="0.25">
      <c r="A187" s="79" t="str">
        <f>'[1]5'!A47</f>
        <v>MKN 100-073</v>
      </c>
      <c r="B187" s="80" t="s">
        <v>232</v>
      </c>
      <c r="C187" s="79" t="s">
        <v>171</v>
      </c>
      <c r="D187" s="81">
        <f>'[1]5'!D47</f>
        <v>670</v>
      </c>
      <c r="E187" s="81"/>
    </row>
    <row r="188" spans="1:6" ht="30" x14ac:dyDescent="0.25">
      <c r="A188" s="79" t="str">
        <f>'[1]5'!A48</f>
        <v>MKN 100-074</v>
      </c>
      <c r="B188" s="80" t="s">
        <v>233</v>
      </c>
      <c r="C188" s="79" t="s">
        <v>171</v>
      </c>
      <c r="D188" s="81">
        <f>'[1]5'!D48</f>
        <v>810</v>
      </c>
      <c r="E188" s="81"/>
    </row>
    <row r="189" spans="1:6" x14ac:dyDescent="0.25">
      <c r="A189" s="82"/>
      <c r="B189" s="83"/>
      <c r="C189" s="82"/>
      <c r="D189" s="84"/>
      <c r="E189" s="84"/>
    </row>
    <row r="190" spans="1:6" ht="24" customHeight="1" thickBot="1" x14ac:dyDescent="0.3">
      <c r="A190" s="62" t="s">
        <v>234</v>
      </c>
      <c r="B190" s="63"/>
      <c r="C190" s="64"/>
      <c r="D190" s="65"/>
      <c r="E190" s="65"/>
      <c r="F190" s="66" t="s">
        <v>5</v>
      </c>
    </row>
    <row r="191" spans="1:6" ht="15.75" thickTop="1" x14ac:dyDescent="0.25">
      <c r="A191" s="67"/>
      <c r="B191" s="68"/>
      <c r="C191" s="67"/>
      <c r="D191" s="69"/>
      <c r="E191" s="69"/>
    </row>
    <row r="192" spans="1:6" ht="18" customHeight="1" x14ac:dyDescent="0.25">
      <c r="A192" s="42" t="s">
        <v>235</v>
      </c>
      <c r="B192" s="70"/>
      <c r="C192" s="71"/>
      <c r="D192" s="72"/>
      <c r="E192" s="72"/>
    </row>
    <row r="193" spans="1:5" x14ac:dyDescent="0.25">
      <c r="A193" s="73" t="s">
        <v>7</v>
      </c>
      <c r="B193" s="74" t="s">
        <v>8</v>
      </c>
      <c r="C193" s="73" t="s">
        <v>9</v>
      </c>
      <c r="D193" s="75" t="s">
        <v>236</v>
      </c>
      <c r="E193" s="75" t="s">
        <v>86</v>
      </c>
    </row>
    <row r="194" spans="1:5" x14ac:dyDescent="0.25">
      <c r="A194" s="76" t="str">
        <f>'[1]5'!A54</f>
        <v>MKN 100-075</v>
      </c>
      <c r="B194" s="77" t="str">
        <f>'[1]5'!B54</f>
        <v>Thru 4-1/8" OD</v>
      </c>
      <c r="C194" s="76" t="s">
        <v>178</v>
      </c>
      <c r="D194" s="78">
        <f>'[1]5'!D54</f>
        <v>500</v>
      </c>
      <c r="E194" s="78">
        <f>'[1]5'!E54</f>
        <v>200</v>
      </c>
    </row>
    <row r="195" spans="1:5" x14ac:dyDescent="0.25">
      <c r="A195" s="79" t="str">
        <f>'[1]5'!A55</f>
        <v>MKN 100-076</v>
      </c>
      <c r="B195" s="80" t="str">
        <f>'[1]5'!B55</f>
        <v>Thru 5-3/8" OD</v>
      </c>
      <c r="C195" s="79" t="s">
        <v>178</v>
      </c>
      <c r="D195" s="81">
        <f>'[1]5'!D55</f>
        <v>576</v>
      </c>
      <c r="E195" s="81">
        <f>'[1]5'!E55</f>
        <v>220</v>
      </c>
    </row>
    <row r="196" spans="1:5" x14ac:dyDescent="0.25">
      <c r="A196" s="79" t="str">
        <f>'[1]5'!A56</f>
        <v>MKN 100-077</v>
      </c>
      <c r="B196" s="80" t="str">
        <f>'[1]5'!B56</f>
        <v>Thru 8-7/8" OD</v>
      </c>
      <c r="C196" s="79" t="s">
        <v>178</v>
      </c>
      <c r="D196" s="81">
        <f>'[1]5'!D56</f>
        <v>596</v>
      </c>
      <c r="E196" s="81">
        <f>'[1]5'!E56</f>
        <v>330.1</v>
      </c>
    </row>
    <row r="197" spans="1:5" x14ac:dyDescent="0.25">
      <c r="A197" s="79" t="str">
        <f>'[1]5'!A57</f>
        <v>MKN 100-078</v>
      </c>
      <c r="B197" s="80" t="str">
        <f>'[1]5'!B57</f>
        <v>Thru 11-3/4" OD</v>
      </c>
      <c r="C197" s="79" t="s">
        <v>178</v>
      </c>
      <c r="D197" s="81">
        <f>'[1]5'!D57</f>
        <v>616</v>
      </c>
      <c r="E197" s="81">
        <f>'[1]5'!E57</f>
        <v>535</v>
      </c>
    </row>
    <row r="198" spans="1:5" x14ac:dyDescent="0.25">
      <c r="A198" s="82"/>
      <c r="B198" s="83"/>
      <c r="C198" s="82"/>
      <c r="D198" s="84"/>
      <c r="E198" s="84"/>
    </row>
    <row r="199" spans="1:5" ht="18" customHeight="1" x14ac:dyDescent="0.25">
      <c r="A199" s="42" t="s">
        <v>237</v>
      </c>
      <c r="B199" s="70"/>
      <c r="C199" s="71"/>
      <c r="D199" s="72"/>
      <c r="E199" s="72"/>
    </row>
    <row r="200" spans="1:5" x14ac:dyDescent="0.25">
      <c r="A200" s="73" t="s">
        <v>7</v>
      </c>
      <c r="B200" s="74" t="s">
        <v>8</v>
      </c>
      <c r="C200" s="73" t="s">
        <v>9</v>
      </c>
      <c r="D200" s="75" t="s">
        <v>236</v>
      </c>
      <c r="E200" s="75" t="s">
        <v>86</v>
      </c>
    </row>
    <row r="201" spans="1:5" x14ac:dyDescent="0.25">
      <c r="A201" s="76" t="str">
        <f>'[1]6'!A10</f>
        <v>MKN 100-079</v>
      </c>
      <c r="B201" s="77" t="str">
        <f>'[1]6'!B10</f>
        <v>Thru 4 3/4" OD</v>
      </c>
      <c r="C201" s="76" t="s">
        <v>178</v>
      </c>
      <c r="D201" s="78">
        <f>'[1]6'!D10</f>
        <v>800</v>
      </c>
      <c r="E201" s="78">
        <f>'[1]6'!E10</f>
        <v>310</v>
      </c>
    </row>
    <row r="202" spans="1:5" x14ac:dyDescent="0.25">
      <c r="A202" s="79" t="str">
        <f>'[1]6'!A11</f>
        <v>MKN 100-080</v>
      </c>
      <c r="B202" s="80" t="str">
        <f>'[1]6'!B11</f>
        <v>Thru 6 1/4" OD</v>
      </c>
      <c r="C202" s="79" t="s">
        <v>178</v>
      </c>
      <c r="D202" s="81">
        <f>'[1]6'!D11</f>
        <v>890</v>
      </c>
      <c r="E202" s="81">
        <f>'[1]6'!E11</f>
        <v>380</v>
      </c>
    </row>
    <row r="203" spans="1:5" x14ac:dyDescent="0.25">
      <c r="A203" s="79" t="str">
        <f>'[1]6'!A12</f>
        <v>MKN 100-081</v>
      </c>
      <c r="B203" s="80" t="str">
        <f>'[1]6'!B12</f>
        <v>Thru 9 5/8" OD</v>
      </c>
      <c r="C203" s="79" t="s">
        <v>178</v>
      </c>
      <c r="D203" s="81">
        <f>'[1]6'!D12</f>
        <v>1100</v>
      </c>
      <c r="E203" s="81">
        <f>'[1]6'!E12</f>
        <v>485</v>
      </c>
    </row>
    <row r="204" spans="1:5" x14ac:dyDescent="0.25">
      <c r="A204" s="79" t="str">
        <f>'[1]6'!A13</f>
        <v>MKN 100-082</v>
      </c>
      <c r="B204" s="80" t="str">
        <f>'[1]6'!B13</f>
        <v>Thru 12 3/4" OD</v>
      </c>
      <c r="C204" s="79" t="s">
        <v>178</v>
      </c>
      <c r="D204" s="81">
        <f>'[1]6'!D13</f>
        <v>1570</v>
      </c>
      <c r="E204" s="81">
        <f>'[1]6'!E13</f>
        <v>860</v>
      </c>
    </row>
    <row r="205" spans="1:5" x14ac:dyDescent="0.25">
      <c r="A205" s="82"/>
      <c r="B205" s="83"/>
      <c r="C205" s="82"/>
      <c r="D205" s="84"/>
      <c r="E205" s="84"/>
    </row>
    <row r="206" spans="1:5" ht="18" customHeight="1" x14ac:dyDescent="0.25">
      <c r="A206" s="42" t="s">
        <v>137</v>
      </c>
      <c r="B206" s="70"/>
      <c r="C206" s="71"/>
      <c r="D206" s="72"/>
      <c r="E206" s="72"/>
    </row>
    <row r="207" spans="1:5" x14ac:dyDescent="0.25">
      <c r="A207" s="73" t="s">
        <v>7</v>
      </c>
      <c r="B207" s="74" t="s">
        <v>8</v>
      </c>
      <c r="C207" s="73" t="s">
        <v>9</v>
      </c>
      <c r="D207" s="75" t="s">
        <v>75</v>
      </c>
      <c r="E207" s="85"/>
    </row>
    <row r="208" spans="1:5" x14ac:dyDescent="0.25">
      <c r="A208" s="76" t="str">
        <f>'[1]6'!A18</f>
        <v>MKN 100-083</v>
      </c>
      <c r="B208" s="77" t="str">
        <f>'[1]6'!B18</f>
        <v>Thru 4-3/8" OD</v>
      </c>
      <c r="C208" s="76" t="s">
        <v>170</v>
      </c>
      <c r="D208" s="78">
        <f>'[1]6'!D18</f>
        <v>210</v>
      </c>
      <c r="E208" s="78"/>
    </row>
    <row r="209" spans="1:5" x14ac:dyDescent="0.25">
      <c r="A209" s="79" t="str">
        <f>'[1]6'!A19</f>
        <v>MKN 100-084</v>
      </c>
      <c r="B209" s="80" t="str">
        <f>'[1]6'!B19</f>
        <v>Thru 5-3/4" OD</v>
      </c>
      <c r="C209" s="79" t="s">
        <v>170</v>
      </c>
      <c r="D209" s="81">
        <f>'[1]6'!D19</f>
        <v>210</v>
      </c>
      <c r="E209" s="81"/>
    </row>
    <row r="210" spans="1:5" x14ac:dyDescent="0.25">
      <c r="A210" s="79" t="str">
        <f>'[1]6'!A20</f>
        <v>MKN 100-085</v>
      </c>
      <c r="B210" s="80" t="str">
        <f>'[1]6'!B20</f>
        <v>Thru 8" OD</v>
      </c>
      <c r="C210" s="79" t="s">
        <v>170</v>
      </c>
      <c r="D210" s="81">
        <f>'[1]6'!D20</f>
        <v>280</v>
      </c>
      <c r="E210" s="81"/>
    </row>
    <row r="211" spans="1:5" x14ac:dyDescent="0.25">
      <c r="A211" s="79" t="str">
        <f>'[1]6'!A21</f>
        <v>MKN 100-086</v>
      </c>
      <c r="B211" s="80" t="str">
        <f>'[1]6'!B21</f>
        <v>Thru 12" OD</v>
      </c>
      <c r="C211" s="79" t="s">
        <v>170</v>
      </c>
      <c r="D211" s="81">
        <f>'[1]6'!D21</f>
        <v>250</v>
      </c>
      <c r="E211" s="81"/>
    </row>
    <row r="212" spans="1:5" x14ac:dyDescent="0.25">
      <c r="A212" s="79" t="str">
        <f>'[1]6'!A22</f>
        <v>MKN 100-087</v>
      </c>
      <c r="B212" s="80" t="str">
        <f>'[1]6'!B22</f>
        <v>Thru 15" OD</v>
      </c>
      <c r="C212" s="79" t="s">
        <v>170</v>
      </c>
      <c r="D212" s="81">
        <f>'[1]6'!D22</f>
        <v>360</v>
      </c>
      <c r="E212" s="81"/>
    </row>
    <row r="213" spans="1:5" x14ac:dyDescent="0.25">
      <c r="A213" s="79" t="str">
        <f>'[1]6'!A23</f>
        <v>MKN 100-088</v>
      </c>
      <c r="B213" s="80" t="str">
        <f>'[1]6'!B23</f>
        <v>Thru 20" OD</v>
      </c>
      <c r="C213" s="79" t="s">
        <v>170</v>
      </c>
      <c r="D213" s="81">
        <f>'[1]6'!D23</f>
        <v>360</v>
      </c>
      <c r="E213" s="81"/>
    </row>
    <row r="214" spans="1:5" x14ac:dyDescent="0.25">
      <c r="A214" s="79" t="str">
        <f>'[1]6'!A24</f>
        <v>MKN 100-089</v>
      </c>
      <c r="B214" s="80" t="str">
        <f>'[1]6'!B24</f>
        <v>Thru 24" OD</v>
      </c>
      <c r="C214" s="79" t="s">
        <v>170</v>
      </c>
      <c r="D214" s="81">
        <f>'[1]6'!D24</f>
        <v>475</v>
      </c>
      <c r="E214" s="81"/>
    </row>
    <row r="215" spans="1:5" x14ac:dyDescent="0.25">
      <c r="A215" s="79" t="str">
        <f>'[1]6'!A25</f>
        <v>MKN 100-090</v>
      </c>
      <c r="B215" s="80" t="str">
        <f>'[1]6'!B25</f>
        <v>Thru 26" OD</v>
      </c>
      <c r="C215" s="79" t="s">
        <v>170</v>
      </c>
      <c r="D215" s="81">
        <f>'[1]6'!D25</f>
        <v>375</v>
      </c>
      <c r="E215" s="81"/>
    </row>
    <row r="216" spans="1:5" x14ac:dyDescent="0.25">
      <c r="A216" s="82"/>
      <c r="B216" s="83"/>
      <c r="C216" s="82"/>
      <c r="D216" s="84"/>
      <c r="E216" s="84"/>
    </row>
    <row r="217" spans="1:5" ht="18" customHeight="1" x14ac:dyDescent="0.25">
      <c r="A217" s="42" t="s">
        <v>35</v>
      </c>
      <c r="B217" s="70"/>
      <c r="C217" s="71"/>
      <c r="D217" s="72"/>
      <c r="E217" s="72"/>
    </row>
    <row r="218" spans="1:5" x14ac:dyDescent="0.25">
      <c r="A218" s="73" t="s">
        <v>7</v>
      </c>
      <c r="B218" s="74" t="s">
        <v>8</v>
      </c>
      <c r="C218" s="73" t="s">
        <v>9</v>
      </c>
      <c r="D218" s="75" t="s">
        <v>12</v>
      </c>
      <c r="E218" s="75" t="s">
        <v>86</v>
      </c>
    </row>
    <row r="219" spans="1:5" x14ac:dyDescent="0.25">
      <c r="A219" s="76" t="str">
        <f>'[1]6'!A30</f>
        <v>MKN 100-091</v>
      </c>
      <c r="B219" s="77" t="str">
        <f>'[1]6'!B30</f>
        <v>Thru 4-1/8" OD</v>
      </c>
      <c r="C219" s="76" t="s">
        <v>178</v>
      </c>
      <c r="D219" s="78">
        <f>'[1]6'!D30</f>
        <v>190</v>
      </c>
      <c r="E219" s="78">
        <f>'[1]6'!E30</f>
        <v>100</v>
      </c>
    </row>
    <row r="220" spans="1:5" x14ac:dyDescent="0.25">
      <c r="A220" s="79" t="str">
        <f>'[1]6'!A31</f>
        <v>MKN 100-092</v>
      </c>
      <c r="B220" s="80" t="str">
        <f>'[1]6'!B31</f>
        <v>Thru 5-3/4" OD</v>
      </c>
      <c r="C220" s="79" t="s">
        <v>178</v>
      </c>
      <c r="D220" s="81">
        <f>'[1]6'!D31</f>
        <v>275</v>
      </c>
      <c r="E220" s="81">
        <f>'[1]6'!E31</f>
        <v>190</v>
      </c>
    </row>
    <row r="221" spans="1:5" x14ac:dyDescent="0.25">
      <c r="A221" s="79" t="str">
        <f>'[1]6'!A32</f>
        <v>MKN 100-093</v>
      </c>
      <c r="B221" s="80" t="str">
        <f>'[1]6'!B32</f>
        <v>Thru 8" OD</v>
      </c>
      <c r="C221" s="79" t="s">
        <v>178</v>
      </c>
      <c r="D221" s="81">
        <f>'[1]6'!D32</f>
        <v>275</v>
      </c>
      <c r="E221" s="81">
        <f>'[1]6'!E32</f>
        <v>190</v>
      </c>
    </row>
    <row r="222" spans="1:5" x14ac:dyDescent="0.25">
      <c r="A222" s="79" t="str">
        <f>'[1]6'!A33</f>
        <v>MKN 100-094</v>
      </c>
      <c r="B222" s="80" t="str">
        <f>'[1]6'!B33</f>
        <v>Thru 10-3/4" OD</v>
      </c>
      <c r="C222" s="79" t="s">
        <v>178</v>
      </c>
      <c r="D222" s="81">
        <f>'[1]6'!D33</f>
        <v>490</v>
      </c>
      <c r="E222" s="81">
        <f>'[1]6'!E33</f>
        <v>180</v>
      </c>
    </row>
    <row r="223" spans="1:5" x14ac:dyDescent="0.25">
      <c r="A223" s="79" t="str">
        <f>'[1]6'!A34</f>
        <v>MKN 100-095</v>
      </c>
      <c r="B223" s="80" t="str">
        <f>'[1]6'!B34</f>
        <v>Thru 13-3/4" OD</v>
      </c>
      <c r="C223" s="79" t="s">
        <v>178</v>
      </c>
      <c r="D223" s="81">
        <f>'[1]6'!D34</f>
        <v>650</v>
      </c>
      <c r="E223" s="81">
        <f>'[1]6'!E34</f>
        <v>230</v>
      </c>
    </row>
    <row r="224" spans="1:5" x14ac:dyDescent="0.25">
      <c r="A224" s="82"/>
      <c r="B224" s="83"/>
      <c r="C224" s="82"/>
      <c r="D224" s="84"/>
      <c r="E224" s="84"/>
    </row>
    <row r="225" spans="1:6" ht="18" customHeight="1" x14ac:dyDescent="0.25">
      <c r="A225" s="42" t="s">
        <v>238</v>
      </c>
      <c r="B225" s="70"/>
      <c r="C225" s="71"/>
      <c r="D225" s="72"/>
      <c r="E225" s="72"/>
    </row>
    <row r="226" spans="1:6" x14ac:dyDescent="0.25">
      <c r="A226" s="73" t="s">
        <v>7</v>
      </c>
      <c r="B226" s="74" t="s">
        <v>8</v>
      </c>
      <c r="C226" s="73" t="s">
        <v>9</v>
      </c>
      <c r="D226" s="75" t="s">
        <v>12</v>
      </c>
      <c r="E226" s="75" t="s">
        <v>86</v>
      </c>
    </row>
    <row r="227" spans="1:6" x14ac:dyDescent="0.25">
      <c r="A227" s="76" t="str">
        <f>'[1]6'!A39</f>
        <v>EKHG 100-096</v>
      </c>
      <c r="B227" s="77" t="s">
        <v>239</v>
      </c>
      <c r="C227" s="76" t="s">
        <v>178</v>
      </c>
      <c r="D227" s="78">
        <f>'[1]6'!D39</f>
        <v>150</v>
      </c>
      <c r="E227" s="78">
        <f>'[1]6'!E39</f>
        <v>70</v>
      </c>
    </row>
    <row r="228" spans="1:6" x14ac:dyDescent="0.25">
      <c r="A228" s="79" t="str">
        <f>'[1]6'!A40</f>
        <v>EKHG 100-097</v>
      </c>
      <c r="B228" s="80" t="s">
        <v>240</v>
      </c>
      <c r="C228" s="79" t="s">
        <v>178</v>
      </c>
      <c r="D228" s="81">
        <f>'[1]6'!D40</f>
        <v>260</v>
      </c>
      <c r="E228" s="81">
        <f>'[1]6'!E40</f>
        <v>120</v>
      </c>
    </row>
    <row r="229" spans="1:6" x14ac:dyDescent="0.25">
      <c r="A229" s="79" t="str">
        <f>'[1]6'!A41</f>
        <v>EKHG 100-098</v>
      </c>
      <c r="B229" s="80" t="s">
        <v>241</v>
      </c>
      <c r="C229" s="79" t="s">
        <v>178</v>
      </c>
      <c r="D229" s="81">
        <f>'[1]6'!D41</f>
        <v>560</v>
      </c>
      <c r="E229" s="81">
        <f>'[1]6'!E41</f>
        <v>230</v>
      </c>
    </row>
    <row r="230" spans="1:6" x14ac:dyDescent="0.25">
      <c r="A230" s="79" t="str">
        <f>'[1]6'!A42</f>
        <v>MKN 100-099</v>
      </c>
      <c r="B230" s="80" t="s">
        <v>242</v>
      </c>
      <c r="C230" s="79" t="s">
        <v>178</v>
      </c>
      <c r="D230" s="81">
        <f>'[1]6'!D42</f>
        <v>920</v>
      </c>
      <c r="E230" s="81">
        <f>'[1]6'!E42</f>
        <v>410</v>
      </c>
    </row>
    <row r="231" spans="1:6" x14ac:dyDescent="0.25">
      <c r="A231" s="79" t="str">
        <f>'[1]6'!A43</f>
        <v>MKN 100-100</v>
      </c>
      <c r="B231" s="80" t="s">
        <v>243</v>
      </c>
      <c r="C231" s="79" t="s">
        <v>178</v>
      </c>
      <c r="D231" s="81">
        <f>'[1]6'!D43</f>
        <v>920</v>
      </c>
      <c r="E231" s="81">
        <f>'[1]6'!E43</f>
        <v>430</v>
      </c>
    </row>
    <row r="232" spans="1:6" x14ac:dyDescent="0.25">
      <c r="A232" s="79" t="str">
        <f>'[1]6'!A45</f>
        <v>MKN 100-101</v>
      </c>
      <c r="B232" s="80" t="s">
        <v>244</v>
      </c>
      <c r="C232" s="79" t="s">
        <v>178</v>
      </c>
      <c r="D232" s="81">
        <f>'[1]6'!D45</f>
        <v>370</v>
      </c>
      <c r="E232" s="81">
        <f>'[1]6'!E45</f>
        <v>160</v>
      </c>
    </row>
    <row r="233" spans="1:6" x14ac:dyDescent="0.25">
      <c r="A233" s="79" t="str">
        <f>'[1]6'!A46</f>
        <v>MKN 100-102</v>
      </c>
      <c r="B233" s="80" t="s">
        <v>245</v>
      </c>
      <c r="C233" s="79" t="s">
        <v>178</v>
      </c>
      <c r="D233" s="81">
        <f>'[1]6'!D46</f>
        <v>1100</v>
      </c>
      <c r="E233" s="81">
        <f>'[1]6'!E46</f>
        <v>550</v>
      </c>
    </row>
    <row r="234" spans="1:6" x14ac:dyDescent="0.25">
      <c r="A234" s="82"/>
      <c r="B234" s="83"/>
      <c r="C234" s="82"/>
      <c r="D234" s="84"/>
      <c r="E234" s="84"/>
    </row>
    <row r="235" spans="1:6" ht="24" customHeight="1" thickBot="1" x14ac:dyDescent="0.3">
      <c r="A235" s="62" t="s">
        <v>246</v>
      </c>
      <c r="B235" s="63"/>
      <c r="C235" s="64"/>
      <c r="D235" s="65"/>
      <c r="E235" s="65"/>
      <c r="F235" s="66" t="s">
        <v>5</v>
      </c>
    </row>
    <row r="236" spans="1:6" ht="15.75" thickTop="1" x14ac:dyDescent="0.25">
      <c r="A236" s="67"/>
      <c r="B236" s="68"/>
      <c r="C236" s="67"/>
      <c r="D236" s="69"/>
      <c r="E236" s="69"/>
    </row>
    <row r="237" spans="1:6" ht="18" customHeight="1" x14ac:dyDescent="0.25">
      <c r="A237" s="42" t="s">
        <v>247</v>
      </c>
      <c r="B237" s="70"/>
      <c r="C237" s="71"/>
      <c r="D237" s="72"/>
      <c r="E237" s="72"/>
    </row>
    <row r="238" spans="1:6" x14ac:dyDescent="0.25">
      <c r="A238" s="73" t="s">
        <v>7</v>
      </c>
      <c r="B238" s="74" t="s">
        <v>8</v>
      </c>
      <c r="C238" s="73" t="s">
        <v>9</v>
      </c>
      <c r="D238" s="75" t="s">
        <v>12</v>
      </c>
      <c r="E238" s="75" t="s">
        <v>86</v>
      </c>
    </row>
    <row r="239" spans="1:6" x14ac:dyDescent="0.25">
      <c r="A239" s="76" t="str">
        <f>'[1]6'!A48</f>
        <v>MKN 100-103</v>
      </c>
      <c r="B239" s="77" t="str">
        <f>'[1]6'!B48</f>
        <v>4-1/2" OD</v>
      </c>
      <c r="C239" s="76" t="s">
        <v>248</v>
      </c>
      <c r="D239" s="78">
        <f>'[1]6'!D48</f>
        <v>7</v>
      </c>
      <c r="E239" s="78">
        <f>'[1]6'!E48</f>
        <v>5</v>
      </c>
    </row>
    <row r="240" spans="1:6" x14ac:dyDescent="0.25">
      <c r="A240" s="79" t="str">
        <f>'[1]6'!A49</f>
        <v>MKN 100-104</v>
      </c>
      <c r="B240" s="80" t="str">
        <f>'[1]6'!B49</f>
        <v>4-3/4" OD</v>
      </c>
      <c r="C240" s="79" t="s">
        <v>248</v>
      </c>
      <c r="D240" s="81">
        <f>'[1]6'!D49</f>
        <v>7</v>
      </c>
      <c r="E240" s="81">
        <f>'[1]6'!E49</f>
        <v>5</v>
      </c>
    </row>
    <row r="241" spans="1:16384" x14ac:dyDescent="0.25">
      <c r="A241" s="79" t="str">
        <f>'[1]6'!A50</f>
        <v>MKN 100-105</v>
      </c>
      <c r="B241" s="80" t="str">
        <f>'[1]6'!B50</f>
        <v>5" OD</v>
      </c>
      <c r="C241" s="79" t="s">
        <v>248</v>
      </c>
      <c r="D241" s="81">
        <f>'[1]6'!D50</f>
        <v>7</v>
      </c>
      <c r="E241" s="81">
        <f>'[1]6'!E50</f>
        <v>5</v>
      </c>
    </row>
    <row r="242" spans="1:16384" x14ac:dyDescent="0.25">
      <c r="A242" s="79" t="str">
        <f>'[1]6'!A51</f>
        <v>MKN 100-106</v>
      </c>
      <c r="B242" s="80" t="str">
        <f>'[1]6'!B51</f>
        <v>5-3/8" OD</v>
      </c>
      <c r="C242" s="79" t="s">
        <v>248</v>
      </c>
      <c r="D242" s="81">
        <f>'[1]6'!D51</f>
        <v>7</v>
      </c>
      <c r="E242" s="81">
        <f>'[1]6'!E51</f>
        <v>5</v>
      </c>
    </row>
    <row r="243" spans="1:16384" x14ac:dyDescent="0.25">
      <c r="A243" s="82" t="str">
        <f>'[1]6'!A52</f>
        <v>MKN 100-107</v>
      </c>
      <c r="B243" s="83" t="str">
        <f>'[1]6'!B52</f>
        <v>5-3/4" OD</v>
      </c>
      <c r="C243" s="82" t="s">
        <v>248</v>
      </c>
      <c r="D243" s="84">
        <f>'[1]6'!D52</f>
        <v>10</v>
      </c>
      <c r="E243" s="84">
        <f>'[1]6'!E52</f>
        <v>7</v>
      </c>
    </row>
    <row r="244" spans="1:16384" ht="18" customHeight="1" x14ac:dyDescent="0.25">
      <c r="A244" s="82" t="str">
        <f>'[1]6'!A53</f>
        <v>MKN 100-108</v>
      </c>
      <c r="B244" s="83" t="str">
        <f>'[1]6'!B53</f>
        <v>7-5/8" OD</v>
      </c>
      <c r="C244" s="82" t="s">
        <v>248</v>
      </c>
      <c r="D244" s="84">
        <f>'[1]6'!D53</f>
        <v>11</v>
      </c>
      <c r="E244" s="84">
        <f>'[1]6'!E53</f>
        <v>7</v>
      </c>
      <c r="F244" s="82"/>
      <c r="G244" s="83"/>
      <c r="H244" s="82"/>
      <c r="I244" s="84"/>
      <c r="J244" s="84"/>
      <c r="K244" s="82"/>
      <c r="L244" s="83"/>
      <c r="M244" s="82"/>
      <c r="N244" s="84"/>
      <c r="O244" s="84"/>
      <c r="P244" s="82"/>
      <c r="Q244" s="83"/>
      <c r="R244" s="82"/>
      <c r="S244" s="84"/>
      <c r="T244" s="84"/>
      <c r="U244" s="82"/>
      <c r="V244" s="83"/>
      <c r="W244" s="82"/>
      <c r="X244" s="84"/>
      <c r="Y244" s="84"/>
      <c r="Z244" s="82"/>
      <c r="AA244" s="83"/>
      <c r="AB244" s="82"/>
      <c r="AC244" s="84"/>
      <c r="AD244" s="84"/>
      <c r="AE244" s="82"/>
      <c r="AF244" s="83"/>
      <c r="AG244" s="82"/>
      <c r="AH244" s="84"/>
      <c r="AI244" s="84"/>
      <c r="AJ244" s="82"/>
      <c r="AK244" s="83"/>
      <c r="AL244" s="82"/>
      <c r="AM244" s="84"/>
      <c r="AN244" s="84"/>
      <c r="AO244" s="82"/>
      <c r="AP244" s="83"/>
      <c r="AQ244" s="82"/>
      <c r="AR244" s="84"/>
      <c r="AS244" s="84"/>
      <c r="AT244" s="82"/>
      <c r="AU244" s="83"/>
      <c r="AV244" s="82"/>
      <c r="AW244" s="84"/>
      <c r="AX244" s="84"/>
      <c r="AY244" s="82"/>
      <c r="AZ244" s="83"/>
      <c r="BA244" s="82"/>
      <c r="BB244" s="84"/>
      <c r="BC244" s="84"/>
      <c r="BD244" s="82"/>
      <c r="BE244" s="83"/>
      <c r="BF244" s="82"/>
      <c r="BG244" s="84"/>
      <c r="BH244" s="84"/>
      <c r="BI244" s="82"/>
      <c r="BJ244" s="83"/>
      <c r="BK244" s="82"/>
      <c r="BL244" s="84"/>
      <c r="BM244" s="84"/>
      <c r="BN244" s="82"/>
      <c r="BO244" s="83"/>
      <c r="BP244" s="82"/>
      <c r="BQ244" s="84"/>
      <c r="BR244" s="84"/>
      <c r="BS244" s="82"/>
      <c r="BT244" s="83"/>
      <c r="BU244" s="82"/>
      <c r="BV244" s="84"/>
      <c r="BW244" s="84"/>
      <c r="BX244" s="82"/>
      <c r="BY244" s="83"/>
      <c r="BZ244" s="82"/>
      <c r="CA244" s="84"/>
      <c r="CB244" s="84"/>
      <c r="CC244" s="82"/>
      <c r="CD244" s="83"/>
      <c r="CE244" s="82"/>
      <c r="CF244" s="84"/>
      <c r="CG244" s="84"/>
      <c r="CH244" s="82"/>
      <c r="CI244" s="83"/>
      <c r="CJ244" s="82"/>
      <c r="CK244" s="84"/>
      <c r="CL244" s="84"/>
      <c r="CM244" s="82"/>
      <c r="CN244" s="83"/>
      <c r="CO244" s="82"/>
      <c r="CP244" s="84"/>
      <c r="CQ244" s="84"/>
      <c r="CR244" s="82"/>
      <c r="CS244" s="83"/>
      <c r="CT244" s="82"/>
      <c r="CU244" s="84"/>
      <c r="CV244" s="84"/>
      <c r="CW244" s="82"/>
      <c r="CX244" s="83"/>
      <c r="CY244" s="82"/>
      <c r="CZ244" s="84"/>
      <c r="DA244" s="84"/>
      <c r="DB244" s="82"/>
      <c r="DC244" s="83"/>
      <c r="DD244" s="82"/>
      <c r="DE244" s="84"/>
      <c r="DF244" s="84"/>
      <c r="DG244" s="82"/>
      <c r="DH244" s="83"/>
      <c r="DI244" s="82"/>
      <c r="DJ244" s="84"/>
      <c r="DK244" s="84"/>
      <c r="DL244" s="82"/>
      <c r="DM244" s="83"/>
      <c r="DN244" s="82"/>
      <c r="DO244" s="84"/>
      <c r="DP244" s="84"/>
      <c r="DQ244" s="82"/>
      <c r="DR244" s="83"/>
      <c r="DS244" s="82"/>
      <c r="DT244" s="84"/>
      <c r="DU244" s="84"/>
      <c r="DV244" s="82"/>
      <c r="DW244" s="83"/>
      <c r="DX244" s="82"/>
      <c r="DY244" s="84"/>
      <c r="DZ244" s="84"/>
      <c r="EA244" s="82"/>
      <c r="EB244" s="83"/>
      <c r="EC244" s="82"/>
      <c r="ED244" s="84"/>
      <c r="EE244" s="84"/>
      <c r="EF244" s="82"/>
      <c r="EG244" s="83"/>
      <c r="EH244" s="82"/>
      <c r="EI244" s="84"/>
      <c r="EJ244" s="84"/>
      <c r="EK244" s="82"/>
      <c r="EL244" s="83"/>
      <c r="EM244" s="82"/>
      <c r="EN244" s="84"/>
      <c r="EO244" s="84"/>
      <c r="EP244" s="82"/>
      <c r="EQ244" s="83"/>
      <c r="ER244" s="82"/>
      <c r="ES244" s="84"/>
      <c r="ET244" s="84"/>
      <c r="EU244" s="82"/>
      <c r="EV244" s="83"/>
      <c r="EW244" s="82"/>
      <c r="EX244" s="84"/>
      <c r="EY244" s="84"/>
      <c r="EZ244" s="82"/>
      <c r="FA244" s="83"/>
      <c r="FB244" s="82"/>
      <c r="FC244" s="84"/>
      <c r="FD244" s="84"/>
      <c r="FE244" s="82"/>
      <c r="FF244" s="83"/>
      <c r="FG244" s="82"/>
      <c r="FH244" s="84"/>
      <c r="FI244" s="84"/>
      <c r="FJ244" s="82"/>
      <c r="FK244" s="83"/>
      <c r="FL244" s="82"/>
      <c r="FM244" s="84"/>
      <c r="FN244" s="84"/>
      <c r="FO244" s="82"/>
      <c r="FP244" s="83"/>
      <c r="FQ244" s="82"/>
      <c r="FR244" s="84"/>
      <c r="FS244" s="84"/>
      <c r="FT244" s="82"/>
      <c r="FU244" s="83"/>
      <c r="FV244" s="82"/>
      <c r="FW244" s="84"/>
      <c r="FX244" s="84"/>
      <c r="FY244" s="82"/>
      <c r="FZ244" s="83"/>
      <c r="GA244" s="82"/>
      <c r="GB244" s="84"/>
      <c r="GC244" s="84"/>
      <c r="GD244" s="82"/>
      <c r="GE244" s="83"/>
      <c r="GF244" s="82"/>
      <c r="GG244" s="84"/>
      <c r="GH244" s="84"/>
      <c r="GI244" s="82"/>
      <c r="GJ244" s="83"/>
      <c r="GK244" s="82"/>
      <c r="GL244" s="84"/>
      <c r="GM244" s="84"/>
      <c r="GN244" s="82"/>
      <c r="GO244" s="83"/>
      <c r="GP244" s="82"/>
      <c r="GQ244" s="84"/>
      <c r="GR244" s="84"/>
      <c r="GS244" s="82"/>
      <c r="GT244" s="83"/>
      <c r="GU244" s="82"/>
      <c r="GV244" s="84"/>
      <c r="GW244" s="84"/>
      <c r="GX244" s="82"/>
      <c r="GY244" s="83"/>
      <c r="GZ244" s="82"/>
      <c r="HA244" s="84"/>
      <c r="HB244" s="84"/>
      <c r="HC244" s="82"/>
      <c r="HD244" s="83"/>
      <c r="HE244" s="82"/>
      <c r="HF244" s="84"/>
      <c r="HG244" s="84"/>
      <c r="HH244" s="82"/>
      <c r="HI244" s="83"/>
      <c r="HJ244" s="82"/>
      <c r="HK244" s="84"/>
      <c r="HL244" s="84"/>
      <c r="HM244" s="82"/>
      <c r="HN244" s="83"/>
      <c r="HO244" s="82"/>
      <c r="HP244" s="84"/>
      <c r="HQ244" s="84"/>
      <c r="HR244" s="82"/>
      <c r="HS244" s="83"/>
      <c r="HT244" s="82"/>
      <c r="HU244" s="84"/>
      <c r="HV244" s="84"/>
      <c r="HW244" s="82"/>
      <c r="HX244" s="83"/>
      <c r="HY244" s="82"/>
      <c r="HZ244" s="84"/>
      <c r="IA244" s="84"/>
      <c r="IB244" s="82"/>
      <c r="IC244" s="83"/>
      <c r="ID244" s="82"/>
      <c r="IE244" s="84"/>
      <c r="IF244" s="84"/>
      <c r="IG244" s="82"/>
      <c r="IH244" s="83"/>
      <c r="II244" s="82"/>
      <c r="IJ244" s="84"/>
      <c r="IK244" s="84"/>
      <c r="IL244" s="82"/>
      <c r="IM244" s="83"/>
      <c r="IN244" s="82"/>
      <c r="IO244" s="84"/>
      <c r="IP244" s="84"/>
      <c r="IQ244" s="82"/>
      <c r="IR244" s="83"/>
      <c r="IS244" s="82"/>
      <c r="IT244" s="84"/>
      <c r="IU244" s="84"/>
      <c r="IV244" s="82"/>
      <c r="IW244" s="83"/>
      <c r="IX244" s="82"/>
      <c r="IY244" s="84"/>
      <c r="IZ244" s="84"/>
      <c r="JA244" s="82"/>
      <c r="JB244" s="83"/>
      <c r="JC244" s="82"/>
      <c r="JD244" s="84"/>
      <c r="JE244" s="84"/>
      <c r="JF244" s="82"/>
      <c r="JG244" s="83"/>
      <c r="JH244" s="82"/>
      <c r="JI244" s="84"/>
      <c r="JJ244" s="84"/>
      <c r="JK244" s="82"/>
      <c r="JL244" s="83"/>
      <c r="JM244" s="82"/>
      <c r="JN244" s="84"/>
      <c r="JO244" s="84"/>
      <c r="JP244" s="82"/>
      <c r="JQ244" s="83"/>
      <c r="JR244" s="82"/>
      <c r="JS244" s="84"/>
      <c r="JT244" s="84"/>
      <c r="JU244" s="82"/>
      <c r="JV244" s="83"/>
      <c r="JW244" s="82"/>
      <c r="JX244" s="84"/>
      <c r="JY244" s="84"/>
      <c r="JZ244" s="82"/>
      <c r="KA244" s="83"/>
      <c r="KB244" s="82"/>
      <c r="KC244" s="84"/>
      <c r="KD244" s="84"/>
      <c r="KE244" s="82"/>
      <c r="KF244" s="83"/>
      <c r="KG244" s="82"/>
      <c r="KH244" s="84"/>
      <c r="KI244" s="84"/>
      <c r="KJ244" s="82"/>
      <c r="KK244" s="83"/>
      <c r="KL244" s="82"/>
      <c r="KM244" s="84"/>
      <c r="KN244" s="84"/>
      <c r="KO244" s="82"/>
      <c r="KP244" s="83"/>
      <c r="KQ244" s="82"/>
      <c r="KR244" s="84"/>
      <c r="KS244" s="84"/>
      <c r="KT244" s="82"/>
      <c r="KU244" s="83"/>
      <c r="KV244" s="82"/>
      <c r="KW244" s="84"/>
      <c r="KX244" s="84"/>
      <c r="KY244" s="82"/>
      <c r="KZ244" s="83"/>
      <c r="LA244" s="82"/>
      <c r="LB244" s="84"/>
      <c r="LC244" s="84"/>
      <c r="LD244" s="82"/>
      <c r="LE244" s="83"/>
      <c r="LF244" s="82"/>
      <c r="LG244" s="84"/>
      <c r="LH244" s="84"/>
      <c r="LI244" s="82"/>
      <c r="LJ244" s="83"/>
      <c r="LK244" s="82"/>
      <c r="LL244" s="84"/>
      <c r="LM244" s="84"/>
      <c r="LN244" s="82"/>
      <c r="LO244" s="83"/>
      <c r="LP244" s="82"/>
      <c r="LQ244" s="84"/>
      <c r="LR244" s="84"/>
      <c r="LS244" s="82"/>
      <c r="LT244" s="83"/>
      <c r="LU244" s="82"/>
      <c r="LV244" s="84"/>
      <c r="LW244" s="84"/>
      <c r="LX244" s="82"/>
      <c r="LY244" s="83"/>
      <c r="LZ244" s="82"/>
      <c r="MA244" s="84"/>
      <c r="MB244" s="84"/>
      <c r="MC244" s="82"/>
      <c r="MD244" s="83"/>
      <c r="ME244" s="82"/>
      <c r="MF244" s="84"/>
      <c r="MG244" s="84"/>
      <c r="MH244" s="82"/>
      <c r="MI244" s="83"/>
      <c r="MJ244" s="82"/>
      <c r="MK244" s="84"/>
      <c r="ML244" s="84"/>
      <c r="MM244" s="82"/>
      <c r="MN244" s="83"/>
      <c r="MO244" s="82"/>
      <c r="MP244" s="84"/>
      <c r="MQ244" s="84"/>
      <c r="MR244" s="82"/>
      <c r="MS244" s="83"/>
      <c r="MT244" s="82"/>
      <c r="MU244" s="84"/>
      <c r="MV244" s="84"/>
      <c r="MW244" s="82"/>
      <c r="MX244" s="83"/>
      <c r="MY244" s="82"/>
      <c r="MZ244" s="84"/>
      <c r="NA244" s="84"/>
      <c r="NB244" s="82"/>
      <c r="NC244" s="83"/>
      <c r="ND244" s="82"/>
      <c r="NE244" s="84"/>
      <c r="NF244" s="84"/>
      <c r="NG244" s="82"/>
      <c r="NH244" s="83"/>
      <c r="NI244" s="82"/>
      <c r="NJ244" s="84"/>
      <c r="NK244" s="84"/>
      <c r="NL244" s="82"/>
      <c r="NM244" s="83"/>
      <c r="NN244" s="82"/>
      <c r="NO244" s="84"/>
      <c r="NP244" s="84"/>
      <c r="NQ244" s="82"/>
      <c r="NR244" s="83"/>
      <c r="NS244" s="82"/>
      <c r="NT244" s="84"/>
      <c r="NU244" s="84"/>
      <c r="NV244" s="82"/>
      <c r="NW244" s="83"/>
      <c r="NX244" s="82"/>
      <c r="NY244" s="84"/>
      <c r="NZ244" s="84"/>
      <c r="OA244" s="82"/>
      <c r="OB244" s="83"/>
      <c r="OC244" s="82"/>
      <c r="OD244" s="84"/>
      <c r="OE244" s="84"/>
      <c r="OF244" s="82"/>
      <c r="OG244" s="83"/>
      <c r="OH244" s="82"/>
      <c r="OI244" s="84"/>
      <c r="OJ244" s="84"/>
      <c r="OK244" s="82"/>
      <c r="OL244" s="83"/>
      <c r="OM244" s="82"/>
      <c r="ON244" s="84"/>
      <c r="OO244" s="84"/>
      <c r="OP244" s="82"/>
      <c r="OQ244" s="83"/>
      <c r="OR244" s="82"/>
      <c r="OS244" s="84"/>
      <c r="OT244" s="84"/>
      <c r="OU244" s="82"/>
      <c r="OV244" s="83"/>
      <c r="OW244" s="82"/>
      <c r="OX244" s="84"/>
      <c r="OY244" s="84"/>
      <c r="OZ244" s="82"/>
      <c r="PA244" s="83"/>
      <c r="PB244" s="82"/>
      <c r="PC244" s="84"/>
      <c r="PD244" s="84"/>
      <c r="PE244" s="82"/>
      <c r="PF244" s="83"/>
      <c r="PG244" s="82"/>
      <c r="PH244" s="84"/>
      <c r="PI244" s="84"/>
      <c r="PJ244" s="82"/>
      <c r="PK244" s="83"/>
      <c r="PL244" s="82"/>
      <c r="PM244" s="84"/>
      <c r="PN244" s="84"/>
      <c r="PO244" s="82"/>
      <c r="PP244" s="83"/>
      <c r="PQ244" s="82"/>
      <c r="PR244" s="84"/>
      <c r="PS244" s="84"/>
      <c r="PT244" s="82"/>
      <c r="PU244" s="83"/>
      <c r="PV244" s="82"/>
      <c r="PW244" s="84"/>
      <c r="PX244" s="84"/>
      <c r="PY244" s="82"/>
      <c r="PZ244" s="83"/>
      <c r="QA244" s="82"/>
      <c r="QB244" s="84"/>
      <c r="QC244" s="84"/>
      <c r="QD244" s="82"/>
      <c r="QE244" s="83"/>
      <c r="QF244" s="82"/>
      <c r="QG244" s="84"/>
      <c r="QH244" s="84"/>
      <c r="QI244" s="82"/>
      <c r="QJ244" s="83"/>
      <c r="QK244" s="82"/>
      <c r="QL244" s="84"/>
      <c r="QM244" s="84"/>
      <c r="QN244" s="82"/>
      <c r="QO244" s="83"/>
      <c r="QP244" s="82"/>
      <c r="QQ244" s="84"/>
      <c r="QR244" s="84"/>
      <c r="QS244" s="82"/>
      <c r="QT244" s="83"/>
      <c r="QU244" s="82"/>
      <c r="QV244" s="84"/>
      <c r="QW244" s="84"/>
      <c r="QX244" s="82"/>
      <c r="QY244" s="83"/>
      <c r="QZ244" s="82"/>
      <c r="RA244" s="84"/>
      <c r="RB244" s="84"/>
      <c r="RC244" s="82"/>
      <c r="RD244" s="83"/>
      <c r="RE244" s="82"/>
      <c r="RF244" s="84"/>
      <c r="RG244" s="84"/>
      <c r="RH244" s="82"/>
      <c r="RI244" s="83"/>
      <c r="RJ244" s="82"/>
      <c r="RK244" s="84"/>
      <c r="RL244" s="84"/>
      <c r="RM244" s="82"/>
      <c r="RN244" s="83"/>
      <c r="RO244" s="82"/>
      <c r="RP244" s="84"/>
      <c r="RQ244" s="84"/>
      <c r="RR244" s="82"/>
      <c r="RS244" s="83"/>
      <c r="RT244" s="82"/>
      <c r="RU244" s="84"/>
      <c r="RV244" s="84"/>
      <c r="RW244" s="82"/>
      <c r="RX244" s="83"/>
      <c r="RY244" s="82"/>
      <c r="RZ244" s="84"/>
      <c r="SA244" s="84"/>
      <c r="SB244" s="82"/>
      <c r="SC244" s="83"/>
      <c r="SD244" s="82"/>
      <c r="SE244" s="84"/>
      <c r="SF244" s="84"/>
      <c r="SG244" s="82"/>
      <c r="SH244" s="83"/>
      <c r="SI244" s="82"/>
      <c r="SJ244" s="84"/>
      <c r="SK244" s="84"/>
      <c r="SL244" s="82"/>
      <c r="SM244" s="83"/>
      <c r="SN244" s="82"/>
      <c r="SO244" s="84"/>
      <c r="SP244" s="84"/>
      <c r="SQ244" s="82"/>
      <c r="SR244" s="83"/>
      <c r="SS244" s="82"/>
      <c r="ST244" s="84"/>
      <c r="SU244" s="84"/>
      <c r="SV244" s="82"/>
      <c r="SW244" s="83"/>
      <c r="SX244" s="82"/>
      <c r="SY244" s="84"/>
      <c r="SZ244" s="84"/>
      <c r="TA244" s="82"/>
      <c r="TB244" s="83"/>
      <c r="TC244" s="82"/>
      <c r="TD244" s="84"/>
      <c r="TE244" s="84"/>
      <c r="TF244" s="82"/>
      <c r="TG244" s="83"/>
      <c r="TH244" s="82"/>
      <c r="TI244" s="84"/>
      <c r="TJ244" s="84"/>
      <c r="TK244" s="82"/>
      <c r="TL244" s="83"/>
      <c r="TM244" s="82"/>
      <c r="TN244" s="84"/>
      <c r="TO244" s="84"/>
      <c r="TP244" s="82"/>
      <c r="TQ244" s="83"/>
      <c r="TR244" s="82"/>
      <c r="TS244" s="84"/>
      <c r="TT244" s="84"/>
      <c r="TU244" s="82"/>
      <c r="TV244" s="83"/>
      <c r="TW244" s="82"/>
      <c r="TX244" s="84"/>
      <c r="TY244" s="84"/>
      <c r="TZ244" s="82"/>
      <c r="UA244" s="83"/>
      <c r="UB244" s="82"/>
      <c r="UC244" s="84"/>
      <c r="UD244" s="84"/>
      <c r="UE244" s="82"/>
      <c r="UF244" s="83"/>
      <c r="UG244" s="82"/>
      <c r="UH244" s="84"/>
      <c r="UI244" s="84"/>
      <c r="UJ244" s="82"/>
      <c r="UK244" s="83"/>
      <c r="UL244" s="82"/>
      <c r="UM244" s="84"/>
      <c r="UN244" s="84"/>
      <c r="UO244" s="82"/>
      <c r="UP244" s="83"/>
      <c r="UQ244" s="82"/>
      <c r="UR244" s="84"/>
      <c r="US244" s="84"/>
      <c r="UT244" s="82"/>
      <c r="UU244" s="83"/>
      <c r="UV244" s="82"/>
      <c r="UW244" s="84"/>
      <c r="UX244" s="84"/>
      <c r="UY244" s="82"/>
      <c r="UZ244" s="83"/>
      <c r="VA244" s="82"/>
      <c r="VB244" s="84"/>
      <c r="VC244" s="84"/>
      <c r="VD244" s="82"/>
      <c r="VE244" s="83"/>
      <c r="VF244" s="82"/>
      <c r="VG244" s="84"/>
      <c r="VH244" s="84"/>
      <c r="VI244" s="82"/>
      <c r="VJ244" s="83"/>
      <c r="VK244" s="82"/>
      <c r="VL244" s="84"/>
      <c r="VM244" s="84"/>
      <c r="VN244" s="82"/>
      <c r="VO244" s="83"/>
      <c r="VP244" s="82"/>
      <c r="VQ244" s="84"/>
      <c r="VR244" s="84"/>
      <c r="VS244" s="82"/>
      <c r="VT244" s="83"/>
      <c r="VU244" s="82"/>
      <c r="VV244" s="84"/>
      <c r="VW244" s="84"/>
      <c r="VX244" s="82"/>
      <c r="VY244" s="83"/>
      <c r="VZ244" s="82"/>
      <c r="WA244" s="84"/>
      <c r="WB244" s="84"/>
      <c r="WC244" s="82"/>
      <c r="WD244" s="83"/>
      <c r="WE244" s="82"/>
      <c r="WF244" s="84"/>
      <c r="WG244" s="84"/>
      <c r="WH244" s="82"/>
      <c r="WI244" s="83"/>
      <c r="WJ244" s="82"/>
      <c r="WK244" s="84"/>
      <c r="WL244" s="84"/>
      <c r="WM244" s="82"/>
      <c r="WN244" s="83"/>
      <c r="WO244" s="82"/>
      <c r="WP244" s="84"/>
      <c r="WQ244" s="84"/>
      <c r="WR244" s="82"/>
      <c r="WS244" s="83"/>
      <c r="WT244" s="82"/>
      <c r="WU244" s="84"/>
      <c r="WV244" s="84"/>
      <c r="WW244" s="82"/>
      <c r="WX244" s="83"/>
      <c r="WY244" s="82"/>
      <c r="WZ244" s="84"/>
      <c r="XA244" s="84"/>
      <c r="XB244" s="82"/>
      <c r="XC244" s="83"/>
      <c r="XD244" s="82"/>
      <c r="XE244" s="84"/>
      <c r="XF244" s="84"/>
      <c r="XG244" s="82"/>
      <c r="XH244" s="83"/>
      <c r="XI244" s="82"/>
      <c r="XJ244" s="84"/>
      <c r="XK244" s="84"/>
      <c r="XL244" s="82"/>
      <c r="XM244" s="83"/>
      <c r="XN244" s="82"/>
      <c r="XO244" s="84"/>
      <c r="XP244" s="84"/>
      <c r="XQ244" s="82"/>
      <c r="XR244" s="83"/>
      <c r="XS244" s="82"/>
      <c r="XT244" s="84"/>
      <c r="XU244" s="84"/>
      <c r="XV244" s="82"/>
      <c r="XW244" s="83"/>
      <c r="XX244" s="82"/>
      <c r="XY244" s="84"/>
      <c r="XZ244" s="84"/>
      <c r="YA244" s="82"/>
      <c r="YB244" s="83"/>
      <c r="YC244" s="82"/>
      <c r="YD244" s="84"/>
      <c r="YE244" s="84"/>
      <c r="YF244" s="82"/>
      <c r="YG244" s="83"/>
      <c r="YH244" s="82"/>
      <c r="YI244" s="84"/>
      <c r="YJ244" s="84"/>
      <c r="YK244" s="82"/>
      <c r="YL244" s="83"/>
      <c r="YM244" s="82"/>
      <c r="YN244" s="84"/>
      <c r="YO244" s="84"/>
      <c r="YP244" s="82"/>
      <c r="YQ244" s="83"/>
      <c r="YR244" s="82"/>
      <c r="YS244" s="84"/>
      <c r="YT244" s="84"/>
      <c r="YU244" s="82"/>
      <c r="YV244" s="83"/>
      <c r="YW244" s="82"/>
      <c r="YX244" s="84"/>
      <c r="YY244" s="84"/>
      <c r="YZ244" s="82"/>
      <c r="ZA244" s="83"/>
      <c r="ZB244" s="82"/>
      <c r="ZC244" s="84"/>
      <c r="ZD244" s="84"/>
      <c r="ZE244" s="82"/>
      <c r="ZF244" s="83"/>
      <c r="ZG244" s="82"/>
      <c r="ZH244" s="84"/>
      <c r="ZI244" s="84"/>
      <c r="ZJ244" s="82"/>
      <c r="ZK244" s="83"/>
      <c r="ZL244" s="82"/>
      <c r="ZM244" s="84"/>
      <c r="ZN244" s="84"/>
      <c r="ZO244" s="82"/>
      <c r="ZP244" s="83"/>
      <c r="ZQ244" s="82"/>
      <c r="ZR244" s="84"/>
      <c r="ZS244" s="84"/>
      <c r="ZT244" s="82"/>
      <c r="ZU244" s="83"/>
      <c r="ZV244" s="82"/>
      <c r="ZW244" s="84"/>
      <c r="ZX244" s="84"/>
      <c r="ZY244" s="82"/>
      <c r="ZZ244" s="83"/>
      <c r="AAA244" s="82"/>
      <c r="AAB244" s="84"/>
      <c r="AAC244" s="84"/>
      <c r="AAD244" s="82"/>
      <c r="AAE244" s="83"/>
      <c r="AAF244" s="82"/>
      <c r="AAG244" s="84"/>
      <c r="AAH244" s="84"/>
      <c r="AAI244" s="82"/>
      <c r="AAJ244" s="83"/>
      <c r="AAK244" s="82"/>
      <c r="AAL244" s="84"/>
      <c r="AAM244" s="84"/>
      <c r="AAN244" s="82"/>
      <c r="AAO244" s="83"/>
      <c r="AAP244" s="82"/>
      <c r="AAQ244" s="84"/>
      <c r="AAR244" s="84"/>
      <c r="AAS244" s="82"/>
      <c r="AAT244" s="83"/>
      <c r="AAU244" s="82"/>
      <c r="AAV244" s="84"/>
      <c r="AAW244" s="84"/>
      <c r="AAX244" s="82"/>
      <c r="AAY244" s="83"/>
      <c r="AAZ244" s="82"/>
      <c r="ABA244" s="84"/>
      <c r="ABB244" s="84"/>
      <c r="ABC244" s="82"/>
      <c r="ABD244" s="83"/>
      <c r="ABE244" s="82"/>
      <c r="ABF244" s="84"/>
      <c r="ABG244" s="84"/>
      <c r="ABH244" s="82"/>
      <c r="ABI244" s="83"/>
      <c r="ABJ244" s="82"/>
      <c r="ABK244" s="84"/>
      <c r="ABL244" s="84"/>
      <c r="ABM244" s="82"/>
      <c r="ABN244" s="83"/>
      <c r="ABO244" s="82"/>
      <c r="ABP244" s="84"/>
      <c r="ABQ244" s="84"/>
      <c r="ABR244" s="82"/>
      <c r="ABS244" s="83"/>
      <c r="ABT244" s="82"/>
      <c r="ABU244" s="84"/>
      <c r="ABV244" s="84"/>
      <c r="ABW244" s="82"/>
      <c r="ABX244" s="83"/>
      <c r="ABY244" s="82"/>
      <c r="ABZ244" s="84"/>
      <c r="ACA244" s="84"/>
      <c r="ACB244" s="82"/>
      <c r="ACC244" s="83"/>
      <c r="ACD244" s="82"/>
      <c r="ACE244" s="84"/>
      <c r="ACF244" s="84"/>
      <c r="ACG244" s="82"/>
      <c r="ACH244" s="83"/>
      <c r="ACI244" s="82"/>
      <c r="ACJ244" s="84"/>
      <c r="ACK244" s="84"/>
      <c r="ACL244" s="82"/>
      <c r="ACM244" s="83"/>
      <c r="ACN244" s="82"/>
      <c r="ACO244" s="84"/>
      <c r="ACP244" s="84"/>
      <c r="ACQ244" s="82"/>
      <c r="ACR244" s="83"/>
      <c r="ACS244" s="82"/>
      <c r="ACT244" s="84"/>
      <c r="ACU244" s="84"/>
      <c r="ACV244" s="82"/>
      <c r="ACW244" s="83"/>
      <c r="ACX244" s="82"/>
      <c r="ACY244" s="84"/>
      <c r="ACZ244" s="84"/>
      <c r="ADA244" s="82"/>
      <c r="ADB244" s="83"/>
      <c r="ADC244" s="82"/>
      <c r="ADD244" s="84"/>
      <c r="ADE244" s="84"/>
      <c r="ADF244" s="82"/>
      <c r="ADG244" s="83"/>
      <c r="ADH244" s="82"/>
      <c r="ADI244" s="84"/>
      <c r="ADJ244" s="84"/>
      <c r="ADK244" s="82"/>
      <c r="ADL244" s="83"/>
      <c r="ADM244" s="82"/>
      <c r="ADN244" s="84"/>
      <c r="ADO244" s="84"/>
      <c r="ADP244" s="82"/>
      <c r="ADQ244" s="83"/>
      <c r="ADR244" s="82"/>
      <c r="ADS244" s="84"/>
      <c r="ADT244" s="84"/>
      <c r="ADU244" s="82"/>
      <c r="ADV244" s="83"/>
      <c r="ADW244" s="82"/>
      <c r="ADX244" s="84"/>
      <c r="ADY244" s="84"/>
      <c r="ADZ244" s="82"/>
      <c r="AEA244" s="83"/>
      <c r="AEB244" s="82"/>
      <c r="AEC244" s="84"/>
      <c r="AED244" s="84"/>
      <c r="AEE244" s="82"/>
      <c r="AEF244" s="83"/>
      <c r="AEG244" s="82"/>
      <c r="AEH244" s="84"/>
      <c r="AEI244" s="84"/>
      <c r="AEJ244" s="82"/>
      <c r="AEK244" s="83"/>
      <c r="AEL244" s="82"/>
      <c r="AEM244" s="84"/>
      <c r="AEN244" s="84"/>
      <c r="AEO244" s="82"/>
      <c r="AEP244" s="83"/>
      <c r="AEQ244" s="82"/>
      <c r="AER244" s="84"/>
      <c r="AES244" s="84"/>
      <c r="AET244" s="82"/>
      <c r="AEU244" s="83"/>
      <c r="AEV244" s="82"/>
      <c r="AEW244" s="84"/>
      <c r="AEX244" s="84"/>
      <c r="AEY244" s="82"/>
      <c r="AEZ244" s="83"/>
      <c r="AFA244" s="82"/>
      <c r="AFB244" s="84"/>
      <c r="AFC244" s="84"/>
      <c r="AFD244" s="82"/>
      <c r="AFE244" s="83"/>
      <c r="AFF244" s="82"/>
      <c r="AFG244" s="84"/>
      <c r="AFH244" s="84"/>
      <c r="AFI244" s="82"/>
      <c r="AFJ244" s="83"/>
      <c r="AFK244" s="82"/>
      <c r="AFL244" s="84"/>
      <c r="AFM244" s="84"/>
      <c r="AFN244" s="82"/>
      <c r="AFO244" s="83"/>
      <c r="AFP244" s="82"/>
      <c r="AFQ244" s="84"/>
      <c r="AFR244" s="84"/>
      <c r="AFS244" s="82"/>
      <c r="AFT244" s="83"/>
      <c r="AFU244" s="82"/>
      <c r="AFV244" s="84"/>
      <c r="AFW244" s="84"/>
      <c r="AFX244" s="82"/>
      <c r="AFY244" s="83"/>
      <c r="AFZ244" s="82"/>
      <c r="AGA244" s="84"/>
      <c r="AGB244" s="84"/>
      <c r="AGC244" s="82"/>
      <c r="AGD244" s="83"/>
      <c r="AGE244" s="82"/>
      <c r="AGF244" s="84"/>
      <c r="AGG244" s="84"/>
      <c r="AGH244" s="82"/>
      <c r="AGI244" s="83"/>
      <c r="AGJ244" s="82"/>
      <c r="AGK244" s="84"/>
      <c r="AGL244" s="84"/>
      <c r="AGM244" s="82"/>
      <c r="AGN244" s="83"/>
      <c r="AGO244" s="82"/>
      <c r="AGP244" s="84"/>
      <c r="AGQ244" s="84"/>
      <c r="AGR244" s="82"/>
      <c r="AGS244" s="83"/>
      <c r="AGT244" s="82"/>
      <c r="AGU244" s="84"/>
      <c r="AGV244" s="84"/>
      <c r="AGW244" s="82"/>
      <c r="AGX244" s="83"/>
      <c r="AGY244" s="82"/>
      <c r="AGZ244" s="84"/>
      <c r="AHA244" s="84"/>
      <c r="AHB244" s="82"/>
      <c r="AHC244" s="83"/>
      <c r="AHD244" s="82"/>
      <c r="AHE244" s="84"/>
      <c r="AHF244" s="84"/>
      <c r="AHG244" s="82"/>
      <c r="AHH244" s="83"/>
      <c r="AHI244" s="82"/>
      <c r="AHJ244" s="84"/>
      <c r="AHK244" s="84"/>
      <c r="AHL244" s="82"/>
      <c r="AHM244" s="83"/>
      <c r="AHN244" s="82"/>
      <c r="AHO244" s="84"/>
      <c r="AHP244" s="84"/>
      <c r="AHQ244" s="82"/>
      <c r="AHR244" s="83"/>
      <c r="AHS244" s="82"/>
      <c r="AHT244" s="84"/>
      <c r="AHU244" s="84"/>
      <c r="AHV244" s="82"/>
      <c r="AHW244" s="83"/>
      <c r="AHX244" s="82"/>
      <c r="AHY244" s="84"/>
      <c r="AHZ244" s="84"/>
      <c r="AIA244" s="82"/>
      <c r="AIB244" s="83"/>
      <c r="AIC244" s="82"/>
      <c r="AID244" s="84"/>
      <c r="AIE244" s="84"/>
      <c r="AIF244" s="82"/>
      <c r="AIG244" s="83"/>
      <c r="AIH244" s="82"/>
      <c r="AII244" s="84"/>
      <c r="AIJ244" s="84"/>
      <c r="AIK244" s="82"/>
      <c r="AIL244" s="83"/>
      <c r="AIM244" s="82"/>
      <c r="AIN244" s="84"/>
      <c r="AIO244" s="84"/>
      <c r="AIP244" s="82"/>
      <c r="AIQ244" s="83"/>
      <c r="AIR244" s="82"/>
      <c r="AIS244" s="84"/>
      <c r="AIT244" s="84"/>
      <c r="AIU244" s="82"/>
      <c r="AIV244" s="83"/>
      <c r="AIW244" s="82"/>
      <c r="AIX244" s="84"/>
      <c r="AIY244" s="84"/>
      <c r="AIZ244" s="82"/>
      <c r="AJA244" s="83"/>
      <c r="AJB244" s="82"/>
      <c r="AJC244" s="84"/>
      <c r="AJD244" s="84"/>
      <c r="AJE244" s="82"/>
      <c r="AJF244" s="83"/>
      <c r="AJG244" s="82"/>
      <c r="AJH244" s="84"/>
      <c r="AJI244" s="84"/>
      <c r="AJJ244" s="82"/>
      <c r="AJK244" s="83"/>
      <c r="AJL244" s="82"/>
      <c r="AJM244" s="84"/>
      <c r="AJN244" s="84"/>
      <c r="AJO244" s="82"/>
      <c r="AJP244" s="83"/>
      <c r="AJQ244" s="82"/>
      <c r="AJR244" s="84"/>
      <c r="AJS244" s="84"/>
      <c r="AJT244" s="82"/>
      <c r="AJU244" s="83"/>
      <c r="AJV244" s="82"/>
      <c r="AJW244" s="84"/>
      <c r="AJX244" s="84"/>
      <c r="AJY244" s="82"/>
      <c r="AJZ244" s="83"/>
      <c r="AKA244" s="82"/>
      <c r="AKB244" s="84"/>
      <c r="AKC244" s="84"/>
      <c r="AKD244" s="82"/>
      <c r="AKE244" s="83"/>
      <c r="AKF244" s="82"/>
      <c r="AKG244" s="84"/>
      <c r="AKH244" s="84"/>
      <c r="AKI244" s="82"/>
      <c r="AKJ244" s="83"/>
      <c r="AKK244" s="82"/>
      <c r="AKL244" s="84"/>
      <c r="AKM244" s="84"/>
      <c r="AKN244" s="82"/>
      <c r="AKO244" s="83"/>
      <c r="AKP244" s="82"/>
      <c r="AKQ244" s="84"/>
      <c r="AKR244" s="84"/>
      <c r="AKS244" s="82"/>
      <c r="AKT244" s="83"/>
      <c r="AKU244" s="82"/>
      <c r="AKV244" s="84"/>
      <c r="AKW244" s="84"/>
      <c r="AKX244" s="82"/>
      <c r="AKY244" s="83"/>
      <c r="AKZ244" s="82"/>
      <c r="ALA244" s="84"/>
      <c r="ALB244" s="84"/>
      <c r="ALC244" s="82"/>
      <c r="ALD244" s="83"/>
      <c r="ALE244" s="82"/>
      <c r="ALF244" s="84"/>
      <c r="ALG244" s="84"/>
      <c r="ALH244" s="82"/>
      <c r="ALI244" s="83"/>
      <c r="ALJ244" s="82"/>
      <c r="ALK244" s="84"/>
      <c r="ALL244" s="84"/>
      <c r="ALM244" s="82"/>
      <c r="ALN244" s="83"/>
      <c r="ALO244" s="82"/>
      <c r="ALP244" s="84"/>
      <c r="ALQ244" s="84"/>
      <c r="ALR244" s="82"/>
      <c r="ALS244" s="83"/>
      <c r="ALT244" s="82"/>
      <c r="ALU244" s="84"/>
      <c r="ALV244" s="84"/>
      <c r="ALW244" s="82"/>
      <c r="ALX244" s="83"/>
      <c r="ALY244" s="82"/>
      <c r="ALZ244" s="84"/>
      <c r="AMA244" s="84"/>
      <c r="AMB244" s="82"/>
      <c r="AMC244" s="83"/>
      <c r="AMD244" s="82"/>
      <c r="AME244" s="84"/>
      <c r="AMF244" s="84"/>
      <c r="AMG244" s="82"/>
      <c r="AMH244" s="83"/>
      <c r="AMI244" s="82"/>
      <c r="AMJ244" s="84"/>
      <c r="AMK244" s="84"/>
      <c r="AML244" s="82"/>
      <c r="AMM244" s="83"/>
      <c r="AMN244" s="82"/>
      <c r="AMO244" s="84"/>
      <c r="AMP244" s="84"/>
      <c r="AMQ244" s="82"/>
      <c r="AMR244" s="83"/>
      <c r="AMS244" s="82"/>
      <c r="AMT244" s="84"/>
      <c r="AMU244" s="84"/>
      <c r="AMV244" s="82"/>
      <c r="AMW244" s="83"/>
      <c r="AMX244" s="82"/>
      <c r="AMY244" s="84"/>
      <c r="AMZ244" s="84"/>
      <c r="ANA244" s="82"/>
      <c r="ANB244" s="83"/>
      <c r="ANC244" s="82"/>
      <c r="AND244" s="84"/>
      <c r="ANE244" s="84"/>
      <c r="ANF244" s="82"/>
      <c r="ANG244" s="83"/>
      <c r="ANH244" s="82"/>
      <c r="ANI244" s="84"/>
      <c r="ANJ244" s="84"/>
      <c r="ANK244" s="82"/>
      <c r="ANL244" s="83"/>
      <c r="ANM244" s="82"/>
      <c r="ANN244" s="84"/>
      <c r="ANO244" s="84"/>
      <c r="ANP244" s="82"/>
      <c r="ANQ244" s="83"/>
      <c r="ANR244" s="82"/>
      <c r="ANS244" s="84"/>
      <c r="ANT244" s="84"/>
      <c r="ANU244" s="82"/>
      <c r="ANV244" s="83"/>
      <c r="ANW244" s="82"/>
      <c r="ANX244" s="84"/>
      <c r="ANY244" s="84"/>
      <c r="ANZ244" s="82"/>
      <c r="AOA244" s="83"/>
      <c r="AOB244" s="82"/>
      <c r="AOC244" s="84"/>
      <c r="AOD244" s="84"/>
      <c r="AOE244" s="82"/>
      <c r="AOF244" s="83"/>
      <c r="AOG244" s="82"/>
      <c r="AOH244" s="84"/>
      <c r="AOI244" s="84"/>
      <c r="AOJ244" s="82"/>
      <c r="AOK244" s="83"/>
      <c r="AOL244" s="82"/>
      <c r="AOM244" s="84"/>
      <c r="AON244" s="84"/>
      <c r="AOO244" s="82"/>
      <c r="AOP244" s="83"/>
      <c r="AOQ244" s="82"/>
      <c r="AOR244" s="84"/>
      <c r="AOS244" s="84"/>
      <c r="AOT244" s="82"/>
      <c r="AOU244" s="83"/>
      <c r="AOV244" s="82"/>
      <c r="AOW244" s="84"/>
      <c r="AOX244" s="84"/>
      <c r="AOY244" s="82"/>
      <c r="AOZ244" s="83"/>
      <c r="APA244" s="82"/>
      <c r="APB244" s="84"/>
      <c r="APC244" s="84"/>
      <c r="APD244" s="82"/>
      <c r="APE244" s="83"/>
      <c r="APF244" s="82"/>
      <c r="APG244" s="84"/>
      <c r="APH244" s="84"/>
      <c r="API244" s="82"/>
      <c r="APJ244" s="83"/>
      <c r="APK244" s="82"/>
      <c r="APL244" s="84"/>
      <c r="APM244" s="84"/>
      <c r="APN244" s="82"/>
      <c r="APO244" s="83"/>
      <c r="APP244" s="82"/>
      <c r="APQ244" s="84"/>
      <c r="APR244" s="84"/>
      <c r="APS244" s="82"/>
      <c r="APT244" s="83"/>
      <c r="APU244" s="82"/>
      <c r="APV244" s="84"/>
      <c r="APW244" s="84"/>
      <c r="APX244" s="82"/>
      <c r="APY244" s="83"/>
      <c r="APZ244" s="82"/>
      <c r="AQA244" s="84"/>
      <c r="AQB244" s="84"/>
      <c r="AQC244" s="82"/>
      <c r="AQD244" s="83"/>
      <c r="AQE244" s="82"/>
      <c r="AQF244" s="84"/>
      <c r="AQG244" s="84"/>
      <c r="AQH244" s="82"/>
      <c r="AQI244" s="83"/>
      <c r="AQJ244" s="82"/>
      <c r="AQK244" s="84"/>
      <c r="AQL244" s="84"/>
      <c r="AQM244" s="82"/>
      <c r="AQN244" s="83"/>
      <c r="AQO244" s="82"/>
      <c r="AQP244" s="84"/>
      <c r="AQQ244" s="84"/>
      <c r="AQR244" s="82"/>
      <c r="AQS244" s="83"/>
      <c r="AQT244" s="82"/>
      <c r="AQU244" s="84"/>
      <c r="AQV244" s="84"/>
      <c r="AQW244" s="82"/>
      <c r="AQX244" s="83"/>
      <c r="AQY244" s="82"/>
      <c r="AQZ244" s="84"/>
      <c r="ARA244" s="84"/>
      <c r="ARB244" s="82"/>
      <c r="ARC244" s="83"/>
      <c r="ARD244" s="82"/>
      <c r="ARE244" s="84"/>
      <c r="ARF244" s="84"/>
      <c r="ARG244" s="82"/>
      <c r="ARH244" s="83"/>
      <c r="ARI244" s="82"/>
      <c r="ARJ244" s="84"/>
      <c r="ARK244" s="84"/>
      <c r="ARL244" s="82"/>
      <c r="ARM244" s="83"/>
      <c r="ARN244" s="82"/>
      <c r="ARO244" s="84"/>
      <c r="ARP244" s="84"/>
      <c r="ARQ244" s="82"/>
      <c r="ARR244" s="83"/>
      <c r="ARS244" s="82"/>
      <c r="ART244" s="84"/>
      <c r="ARU244" s="84"/>
      <c r="ARV244" s="82"/>
      <c r="ARW244" s="83"/>
      <c r="ARX244" s="82"/>
      <c r="ARY244" s="84"/>
      <c r="ARZ244" s="84"/>
      <c r="ASA244" s="82"/>
      <c r="ASB244" s="83"/>
      <c r="ASC244" s="82"/>
      <c r="ASD244" s="84"/>
      <c r="ASE244" s="84"/>
      <c r="ASF244" s="82"/>
      <c r="ASG244" s="83"/>
      <c r="ASH244" s="82"/>
      <c r="ASI244" s="84"/>
      <c r="ASJ244" s="84"/>
      <c r="ASK244" s="82"/>
      <c r="ASL244" s="83"/>
      <c r="ASM244" s="82"/>
      <c r="ASN244" s="84"/>
      <c r="ASO244" s="84"/>
      <c r="ASP244" s="82"/>
      <c r="ASQ244" s="83"/>
      <c r="ASR244" s="82"/>
      <c r="ASS244" s="84"/>
      <c r="AST244" s="84"/>
      <c r="ASU244" s="82"/>
      <c r="ASV244" s="83"/>
      <c r="ASW244" s="82"/>
      <c r="ASX244" s="84"/>
      <c r="ASY244" s="84"/>
      <c r="ASZ244" s="82"/>
      <c r="ATA244" s="83"/>
      <c r="ATB244" s="82"/>
      <c r="ATC244" s="84"/>
      <c r="ATD244" s="84"/>
      <c r="ATE244" s="82"/>
      <c r="ATF244" s="83"/>
      <c r="ATG244" s="82"/>
      <c r="ATH244" s="84"/>
      <c r="ATI244" s="84"/>
      <c r="ATJ244" s="82"/>
      <c r="ATK244" s="83"/>
      <c r="ATL244" s="82"/>
      <c r="ATM244" s="84"/>
      <c r="ATN244" s="84"/>
      <c r="ATO244" s="82"/>
      <c r="ATP244" s="83"/>
      <c r="ATQ244" s="82"/>
      <c r="ATR244" s="84"/>
      <c r="ATS244" s="84"/>
      <c r="ATT244" s="82"/>
      <c r="ATU244" s="83"/>
      <c r="ATV244" s="82"/>
      <c r="ATW244" s="84"/>
      <c r="ATX244" s="84"/>
      <c r="ATY244" s="82"/>
      <c r="ATZ244" s="83"/>
      <c r="AUA244" s="82"/>
      <c r="AUB244" s="84"/>
      <c r="AUC244" s="84"/>
      <c r="AUD244" s="82"/>
      <c r="AUE244" s="83"/>
      <c r="AUF244" s="82"/>
      <c r="AUG244" s="84"/>
      <c r="AUH244" s="84"/>
      <c r="AUI244" s="82"/>
      <c r="AUJ244" s="83"/>
      <c r="AUK244" s="82"/>
      <c r="AUL244" s="84"/>
      <c r="AUM244" s="84"/>
      <c r="AUN244" s="82"/>
      <c r="AUO244" s="83"/>
      <c r="AUP244" s="82"/>
      <c r="AUQ244" s="84"/>
      <c r="AUR244" s="84"/>
      <c r="AUS244" s="82"/>
      <c r="AUT244" s="83"/>
      <c r="AUU244" s="82"/>
      <c r="AUV244" s="84"/>
      <c r="AUW244" s="84"/>
      <c r="AUX244" s="82"/>
      <c r="AUY244" s="83"/>
      <c r="AUZ244" s="82"/>
      <c r="AVA244" s="84"/>
      <c r="AVB244" s="84"/>
      <c r="AVC244" s="82"/>
      <c r="AVD244" s="83"/>
      <c r="AVE244" s="82"/>
      <c r="AVF244" s="84"/>
      <c r="AVG244" s="84"/>
      <c r="AVH244" s="82"/>
      <c r="AVI244" s="83"/>
      <c r="AVJ244" s="82"/>
      <c r="AVK244" s="84"/>
      <c r="AVL244" s="84"/>
      <c r="AVM244" s="82"/>
      <c r="AVN244" s="83"/>
      <c r="AVO244" s="82"/>
      <c r="AVP244" s="84"/>
      <c r="AVQ244" s="84"/>
      <c r="AVR244" s="82"/>
      <c r="AVS244" s="83"/>
      <c r="AVT244" s="82"/>
      <c r="AVU244" s="84"/>
      <c r="AVV244" s="84"/>
      <c r="AVW244" s="82"/>
      <c r="AVX244" s="83"/>
      <c r="AVY244" s="82"/>
      <c r="AVZ244" s="84"/>
      <c r="AWA244" s="84"/>
      <c r="AWB244" s="82"/>
      <c r="AWC244" s="83"/>
      <c r="AWD244" s="82"/>
      <c r="AWE244" s="84"/>
      <c r="AWF244" s="84"/>
      <c r="AWG244" s="82"/>
      <c r="AWH244" s="83"/>
      <c r="AWI244" s="82"/>
      <c r="AWJ244" s="84"/>
      <c r="AWK244" s="84"/>
      <c r="AWL244" s="82"/>
      <c r="AWM244" s="83"/>
      <c r="AWN244" s="82"/>
      <c r="AWO244" s="84"/>
      <c r="AWP244" s="84"/>
      <c r="AWQ244" s="82"/>
      <c r="AWR244" s="83"/>
      <c r="AWS244" s="82"/>
      <c r="AWT244" s="84"/>
      <c r="AWU244" s="84"/>
      <c r="AWV244" s="82"/>
      <c r="AWW244" s="83"/>
      <c r="AWX244" s="82"/>
      <c r="AWY244" s="84"/>
      <c r="AWZ244" s="84"/>
      <c r="AXA244" s="82"/>
      <c r="AXB244" s="83"/>
      <c r="AXC244" s="82"/>
      <c r="AXD244" s="84"/>
      <c r="AXE244" s="84"/>
      <c r="AXF244" s="82"/>
      <c r="AXG244" s="83"/>
      <c r="AXH244" s="82"/>
      <c r="AXI244" s="84"/>
      <c r="AXJ244" s="84"/>
      <c r="AXK244" s="82"/>
      <c r="AXL244" s="83"/>
      <c r="AXM244" s="82"/>
      <c r="AXN244" s="84"/>
      <c r="AXO244" s="84"/>
      <c r="AXP244" s="82"/>
      <c r="AXQ244" s="83"/>
      <c r="AXR244" s="82"/>
      <c r="AXS244" s="84"/>
      <c r="AXT244" s="84"/>
      <c r="AXU244" s="82"/>
      <c r="AXV244" s="83"/>
      <c r="AXW244" s="82"/>
      <c r="AXX244" s="84"/>
      <c r="AXY244" s="84"/>
      <c r="AXZ244" s="82"/>
      <c r="AYA244" s="83"/>
      <c r="AYB244" s="82"/>
      <c r="AYC244" s="84"/>
      <c r="AYD244" s="84"/>
      <c r="AYE244" s="82"/>
      <c r="AYF244" s="83"/>
      <c r="AYG244" s="82"/>
      <c r="AYH244" s="84"/>
      <c r="AYI244" s="84"/>
      <c r="AYJ244" s="82"/>
      <c r="AYK244" s="83"/>
      <c r="AYL244" s="82"/>
      <c r="AYM244" s="84"/>
      <c r="AYN244" s="84"/>
      <c r="AYO244" s="82"/>
      <c r="AYP244" s="83"/>
      <c r="AYQ244" s="82"/>
      <c r="AYR244" s="84"/>
      <c r="AYS244" s="84"/>
      <c r="AYT244" s="82"/>
      <c r="AYU244" s="83"/>
      <c r="AYV244" s="82"/>
      <c r="AYW244" s="84"/>
      <c r="AYX244" s="84"/>
      <c r="AYY244" s="82"/>
      <c r="AYZ244" s="83"/>
      <c r="AZA244" s="82"/>
      <c r="AZB244" s="84"/>
      <c r="AZC244" s="84"/>
      <c r="AZD244" s="82"/>
      <c r="AZE244" s="83"/>
      <c r="AZF244" s="82"/>
      <c r="AZG244" s="84"/>
      <c r="AZH244" s="84"/>
      <c r="AZI244" s="82"/>
      <c r="AZJ244" s="83"/>
      <c r="AZK244" s="82"/>
      <c r="AZL244" s="84"/>
      <c r="AZM244" s="84"/>
      <c r="AZN244" s="82"/>
      <c r="AZO244" s="83"/>
      <c r="AZP244" s="82"/>
      <c r="AZQ244" s="84"/>
      <c r="AZR244" s="84"/>
      <c r="AZS244" s="82"/>
      <c r="AZT244" s="83"/>
      <c r="AZU244" s="82"/>
      <c r="AZV244" s="84"/>
      <c r="AZW244" s="84"/>
      <c r="AZX244" s="82"/>
      <c r="AZY244" s="83"/>
      <c r="AZZ244" s="82"/>
      <c r="BAA244" s="84"/>
      <c r="BAB244" s="84"/>
      <c r="BAC244" s="82"/>
      <c r="BAD244" s="83"/>
      <c r="BAE244" s="82"/>
      <c r="BAF244" s="84"/>
      <c r="BAG244" s="84"/>
      <c r="BAH244" s="82"/>
      <c r="BAI244" s="83"/>
      <c r="BAJ244" s="82"/>
      <c r="BAK244" s="84"/>
      <c r="BAL244" s="84"/>
      <c r="BAM244" s="82"/>
      <c r="BAN244" s="83"/>
      <c r="BAO244" s="82"/>
      <c r="BAP244" s="84"/>
      <c r="BAQ244" s="84"/>
      <c r="BAR244" s="82"/>
      <c r="BAS244" s="83"/>
      <c r="BAT244" s="82"/>
      <c r="BAU244" s="84"/>
      <c r="BAV244" s="84"/>
      <c r="BAW244" s="82"/>
      <c r="BAX244" s="83"/>
      <c r="BAY244" s="82"/>
      <c r="BAZ244" s="84"/>
      <c r="BBA244" s="84"/>
      <c r="BBB244" s="82"/>
      <c r="BBC244" s="83"/>
      <c r="BBD244" s="82"/>
      <c r="BBE244" s="84"/>
      <c r="BBF244" s="84"/>
      <c r="BBG244" s="82"/>
      <c r="BBH244" s="83"/>
      <c r="BBI244" s="82"/>
      <c r="BBJ244" s="84"/>
      <c r="BBK244" s="84"/>
      <c r="BBL244" s="82"/>
      <c r="BBM244" s="83"/>
      <c r="BBN244" s="82"/>
      <c r="BBO244" s="84"/>
      <c r="BBP244" s="84"/>
      <c r="BBQ244" s="82"/>
      <c r="BBR244" s="83"/>
      <c r="BBS244" s="82"/>
      <c r="BBT244" s="84"/>
      <c r="BBU244" s="84"/>
      <c r="BBV244" s="82"/>
      <c r="BBW244" s="83"/>
      <c r="BBX244" s="82"/>
      <c r="BBY244" s="84"/>
      <c r="BBZ244" s="84"/>
      <c r="BCA244" s="82"/>
      <c r="BCB244" s="83"/>
      <c r="BCC244" s="82"/>
      <c r="BCD244" s="84"/>
      <c r="BCE244" s="84"/>
      <c r="BCF244" s="82"/>
      <c r="BCG244" s="83"/>
      <c r="BCH244" s="82"/>
      <c r="BCI244" s="84"/>
      <c r="BCJ244" s="84"/>
      <c r="BCK244" s="82"/>
      <c r="BCL244" s="83"/>
      <c r="BCM244" s="82"/>
      <c r="BCN244" s="84"/>
      <c r="BCO244" s="84"/>
      <c r="BCP244" s="82"/>
      <c r="BCQ244" s="83"/>
      <c r="BCR244" s="82"/>
      <c r="BCS244" s="84"/>
      <c r="BCT244" s="84"/>
      <c r="BCU244" s="82"/>
      <c r="BCV244" s="83"/>
      <c r="BCW244" s="82"/>
      <c r="BCX244" s="84"/>
      <c r="BCY244" s="84"/>
      <c r="BCZ244" s="82"/>
      <c r="BDA244" s="83"/>
      <c r="BDB244" s="82"/>
      <c r="BDC244" s="84"/>
      <c r="BDD244" s="84"/>
      <c r="BDE244" s="82"/>
      <c r="BDF244" s="83"/>
      <c r="BDG244" s="82"/>
      <c r="BDH244" s="84"/>
      <c r="BDI244" s="84"/>
      <c r="BDJ244" s="82"/>
      <c r="BDK244" s="83"/>
      <c r="BDL244" s="82"/>
      <c r="BDM244" s="84"/>
      <c r="BDN244" s="84"/>
      <c r="BDO244" s="82"/>
      <c r="BDP244" s="83"/>
      <c r="BDQ244" s="82"/>
      <c r="BDR244" s="84"/>
      <c r="BDS244" s="84"/>
      <c r="BDT244" s="82"/>
      <c r="BDU244" s="83"/>
      <c r="BDV244" s="82"/>
      <c r="BDW244" s="84"/>
      <c r="BDX244" s="84"/>
      <c r="BDY244" s="82"/>
      <c r="BDZ244" s="83"/>
      <c r="BEA244" s="82"/>
      <c r="BEB244" s="84"/>
      <c r="BEC244" s="84"/>
      <c r="BED244" s="82"/>
      <c r="BEE244" s="83"/>
      <c r="BEF244" s="82"/>
      <c r="BEG244" s="84"/>
      <c r="BEH244" s="84"/>
      <c r="BEI244" s="82"/>
      <c r="BEJ244" s="83"/>
      <c r="BEK244" s="82"/>
      <c r="BEL244" s="84"/>
      <c r="BEM244" s="84"/>
      <c r="BEN244" s="82"/>
      <c r="BEO244" s="83"/>
      <c r="BEP244" s="82"/>
      <c r="BEQ244" s="84"/>
      <c r="BER244" s="84"/>
      <c r="BES244" s="82"/>
      <c r="BET244" s="83"/>
      <c r="BEU244" s="82"/>
      <c r="BEV244" s="84"/>
      <c r="BEW244" s="84"/>
      <c r="BEX244" s="82"/>
      <c r="BEY244" s="83"/>
      <c r="BEZ244" s="82"/>
      <c r="BFA244" s="84"/>
      <c r="BFB244" s="84"/>
      <c r="BFC244" s="82"/>
      <c r="BFD244" s="83"/>
      <c r="BFE244" s="82"/>
      <c r="BFF244" s="84"/>
      <c r="BFG244" s="84"/>
      <c r="BFH244" s="82"/>
      <c r="BFI244" s="83"/>
      <c r="BFJ244" s="82"/>
      <c r="BFK244" s="84"/>
      <c r="BFL244" s="84"/>
      <c r="BFM244" s="82"/>
      <c r="BFN244" s="83"/>
      <c r="BFO244" s="82"/>
      <c r="BFP244" s="84"/>
      <c r="BFQ244" s="84"/>
      <c r="BFR244" s="82"/>
      <c r="BFS244" s="83"/>
      <c r="BFT244" s="82"/>
      <c r="BFU244" s="84"/>
      <c r="BFV244" s="84"/>
      <c r="BFW244" s="82"/>
      <c r="BFX244" s="83"/>
      <c r="BFY244" s="82"/>
      <c r="BFZ244" s="84"/>
      <c r="BGA244" s="84"/>
      <c r="BGB244" s="82"/>
      <c r="BGC244" s="83"/>
      <c r="BGD244" s="82"/>
      <c r="BGE244" s="84"/>
      <c r="BGF244" s="84"/>
      <c r="BGG244" s="82"/>
      <c r="BGH244" s="83"/>
      <c r="BGI244" s="82"/>
      <c r="BGJ244" s="84"/>
      <c r="BGK244" s="84"/>
      <c r="BGL244" s="82"/>
      <c r="BGM244" s="83"/>
      <c r="BGN244" s="82"/>
      <c r="BGO244" s="84"/>
      <c r="BGP244" s="84"/>
      <c r="BGQ244" s="82"/>
      <c r="BGR244" s="83"/>
      <c r="BGS244" s="82"/>
      <c r="BGT244" s="84"/>
      <c r="BGU244" s="84"/>
      <c r="BGV244" s="82"/>
      <c r="BGW244" s="83"/>
      <c r="BGX244" s="82"/>
      <c r="BGY244" s="84"/>
      <c r="BGZ244" s="84"/>
      <c r="BHA244" s="82"/>
      <c r="BHB244" s="83"/>
      <c r="BHC244" s="82"/>
      <c r="BHD244" s="84"/>
      <c r="BHE244" s="84"/>
      <c r="BHF244" s="82"/>
      <c r="BHG244" s="83"/>
      <c r="BHH244" s="82"/>
      <c r="BHI244" s="84"/>
      <c r="BHJ244" s="84"/>
      <c r="BHK244" s="82"/>
      <c r="BHL244" s="83"/>
      <c r="BHM244" s="82"/>
      <c r="BHN244" s="84"/>
      <c r="BHO244" s="84"/>
      <c r="BHP244" s="82"/>
      <c r="BHQ244" s="83"/>
      <c r="BHR244" s="82"/>
      <c r="BHS244" s="84"/>
      <c r="BHT244" s="84"/>
      <c r="BHU244" s="82"/>
      <c r="BHV244" s="83"/>
      <c r="BHW244" s="82"/>
      <c r="BHX244" s="84"/>
      <c r="BHY244" s="84"/>
      <c r="BHZ244" s="82"/>
      <c r="BIA244" s="83"/>
      <c r="BIB244" s="82"/>
      <c r="BIC244" s="84"/>
      <c r="BID244" s="84"/>
      <c r="BIE244" s="82"/>
      <c r="BIF244" s="83"/>
      <c r="BIG244" s="82"/>
      <c r="BIH244" s="84"/>
      <c r="BII244" s="84"/>
      <c r="BIJ244" s="82"/>
      <c r="BIK244" s="83"/>
      <c r="BIL244" s="82"/>
      <c r="BIM244" s="84"/>
      <c r="BIN244" s="84"/>
      <c r="BIO244" s="82"/>
      <c r="BIP244" s="83"/>
      <c r="BIQ244" s="82"/>
      <c r="BIR244" s="84"/>
      <c r="BIS244" s="84"/>
      <c r="BIT244" s="82"/>
      <c r="BIU244" s="83"/>
      <c r="BIV244" s="82"/>
      <c r="BIW244" s="84"/>
      <c r="BIX244" s="84"/>
      <c r="BIY244" s="82"/>
      <c r="BIZ244" s="83"/>
      <c r="BJA244" s="82"/>
      <c r="BJB244" s="84"/>
      <c r="BJC244" s="84"/>
      <c r="BJD244" s="82"/>
      <c r="BJE244" s="83"/>
      <c r="BJF244" s="82"/>
      <c r="BJG244" s="84"/>
      <c r="BJH244" s="84"/>
      <c r="BJI244" s="82"/>
      <c r="BJJ244" s="83"/>
      <c r="BJK244" s="82"/>
      <c r="BJL244" s="84"/>
      <c r="BJM244" s="84"/>
      <c r="BJN244" s="82"/>
      <c r="BJO244" s="83"/>
      <c r="BJP244" s="82"/>
      <c r="BJQ244" s="84"/>
      <c r="BJR244" s="84"/>
      <c r="BJS244" s="82"/>
      <c r="BJT244" s="83"/>
      <c r="BJU244" s="82"/>
      <c r="BJV244" s="84"/>
      <c r="BJW244" s="84"/>
      <c r="BJX244" s="82"/>
      <c r="BJY244" s="83"/>
      <c r="BJZ244" s="82"/>
      <c r="BKA244" s="84"/>
      <c r="BKB244" s="84"/>
      <c r="BKC244" s="82"/>
      <c r="BKD244" s="83"/>
      <c r="BKE244" s="82"/>
      <c r="BKF244" s="84"/>
      <c r="BKG244" s="84"/>
      <c r="BKH244" s="82"/>
      <c r="BKI244" s="83"/>
      <c r="BKJ244" s="82"/>
      <c r="BKK244" s="84"/>
      <c r="BKL244" s="84"/>
      <c r="BKM244" s="82"/>
      <c r="BKN244" s="83"/>
      <c r="BKO244" s="82"/>
      <c r="BKP244" s="84"/>
      <c r="BKQ244" s="84"/>
      <c r="BKR244" s="82"/>
      <c r="BKS244" s="83"/>
      <c r="BKT244" s="82"/>
      <c r="BKU244" s="84"/>
      <c r="BKV244" s="84"/>
      <c r="BKW244" s="82"/>
      <c r="BKX244" s="83"/>
      <c r="BKY244" s="82"/>
      <c r="BKZ244" s="84"/>
      <c r="BLA244" s="84"/>
      <c r="BLB244" s="82"/>
      <c r="BLC244" s="83"/>
      <c r="BLD244" s="82"/>
      <c r="BLE244" s="84"/>
      <c r="BLF244" s="84"/>
      <c r="BLG244" s="82"/>
      <c r="BLH244" s="83"/>
      <c r="BLI244" s="82"/>
      <c r="BLJ244" s="84"/>
      <c r="BLK244" s="84"/>
      <c r="BLL244" s="82"/>
      <c r="BLM244" s="83"/>
      <c r="BLN244" s="82"/>
      <c r="BLO244" s="84"/>
      <c r="BLP244" s="84"/>
      <c r="BLQ244" s="82"/>
      <c r="BLR244" s="83"/>
      <c r="BLS244" s="82"/>
      <c r="BLT244" s="84"/>
      <c r="BLU244" s="84"/>
      <c r="BLV244" s="82"/>
      <c r="BLW244" s="83"/>
      <c r="BLX244" s="82"/>
      <c r="BLY244" s="84"/>
      <c r="BLZ244" s="84"/>
      <c r="BMA244" s="82"/>
      <c r="BMB244" s="83"/>
      <c r="BMC244" s="82"/>
      <c r="BMD244" s="84"/>
      <c r="BME244" s="84"/>
      <c r="BMF244" s="82"/>
      <c r="BMG244" s="83"/>
      <c r="BMH244" s="82"/>
      <c r="BMI244" s="84"/>
      <c r="BMJ244" s="84"/>
      <c r="BMK244" s="82"/>
      <c r="BML244" s="83"/>
      <c r="BMM244" s="82"/>
      <c r="BMN244" s="84"/>
      <c r="BMO244" s="84"/>
      <c r="BMP244" s="82"/>
      <c r="BMQ244" s="83"/>
      <c r="BMR244" s="82"/>
      <c r="BMS244" s="84"/>
      <c r="BMT244" s="84"/>
      <c r="BMU244" s="82"/>
      <c r="BMV244" s="83"/>
      <c r="BMW244" s="82"/>
      <c r="BMX244" s="84"/>
      <c r="BMY244" s="84"/>
      <c r="BMZ244" s="82"/>
      <c r="BNA244" s="83"/>
      <c r="BNB244" s="82"/>
      <c r="BNC244" s="84"/>
      <c r="BND244" s="84"/>
      <c r="BNE244" s="82"/>
      <c r="BNF244" s="83"/>
      <c r="BNG244" s="82"/>
      <c r="BNH244" s="84"/>
      <c r="BNI244" s="84"/>
      <c r="BNJ244" s="82"/>
      <c r="BNK244" s="83"/>
      <c r="BNL244" s="82"/>
      <c r="BNM244" s="84"/>
      <c r="BNN244" s="84"/>
      <c r="BNO244" s="82"/>
      <c r="BNP244" s="83"/>
      <c r="BNQ244" s="82"/>
      <c r="BNR244" s="84"/>
      <c r="BNS244" s="84"/>
      <c r="BNT244" s="82"/>
      <c r="BNU244" s="83"/>
      <c r="BNV244" s="82"/>
      <c r="BNW244" s="84"/>
      <c r="BNX244" s="84"/>
      <c r="BNY244" s="82"/>
      <c r="BNZ244" s="83"/>
      <c r="BOA244" s="82"/>
      <c r="BOB244" s="84"/>
      <c r="BOC244" s="84"/>
      <c r="BOD244" s="82"/>
      <c r="BOE244" s="83"/>
      <c r="BOF244" s="82"/>
      <c r="BOG244" s="84"/>
      <c r="BOH244" s="84"/>
      <c r="BOI244" s="82"/>
      <c r="BOJ244" s="83"/>
      <c r="BOK244" s="82"/>
      <c r="BOL244" s="84"/>
      <c r="BOM244" s="84"/>
      <c r="BON244" s="82"/>
      <c r="BOO244" s="83"/>
      <c r="BOP244" s="82"/>
      <c r="BOQ244" s="84"/>
      <c r="BOR244" s="84"/>
      <c r="BOS244" s="82"/>
      <c r="BOT244" s="83"/>
      <c r="BOU244" s="82"/>
      <c r="BOV244" s="84"/>
      <c r="BOW244" s="84"/>
      <c r="BOX244" s="82"/>
      <c r="BOY244" s="83"/>
      <c r="BOZ244" s="82"/>
      <c r="BPA244" s="84"/>
      <c r="BPB244" s="84"/>
      <c r="BPC244" s="82"/>
      <c r="BPD244" s="83"/>
      <c r="BPE244" s="82"/>
      <c r="BPF244" s="84"/>
      <c r="BPG244" s="84"/>
      <c r="BPH244" s="82"/>
      <c r="BPI244" s="83"/>
      <c r="BPJ244" s="82"/>
      <c r="BPK244" s="84"/>
      <c r="BPL244" s="84"/>
      <c r="BPM244" s="82"/>
      <c r="BPN244" s="83"/>
      <c r="BPO244" s="82"/>
      <c r="BPP244" s="84"/>
      <c r="BPQ244" s="84"/>
      <c r="BPR244" s="82"/>
      <c r="BPS244" s="83"/>
      <c r="BPT244" s="82"/>
      <c r="BPU244" s="84"/>
      <c r="BPV244" s="84"/>
      <c r="BPW244" s="82"/>
      <c r="BPX244" s="83"/>
      <c r="BPY244" s="82"/>
      <c r="BPZ244" s="84"/>
      <c r="BQA244" s="84"/>
      <c r="BQB244" s="82"/>
      <c r="BQC244" s="83"/>
      <c r="BQD244" s="82"/>
      <c r="BQE244" s="84"/>
      <c r="BQF244" s="84"/>
      <c r="BQG244" s="82"/>
      <c r="BQH244" s="83"/>
      <c r="BQI244" s="82"/>
      <c r="BQJ244" s="84"/>
      <c r="BQK244" s="84"/>
      <c r="BQL244" s="82"/>
      <c r="BQM244" s="83"/>
      <c r="BQN244" s="82"/>
      <c r="BQO244" s="84"/>
      <c r="BQP244" s="84"/>
      <c r="BQQ244" s="82"/>
      <c r="BQR244" s="83"/>
      <c r="BQS244" s="82"/>
      <c r="BQT244" s="84"/>
      <c r="BQU244" s="84"/>
      <c r="BQV244" s="82"/>
      <c r="BQW244" s="83"/>
      <c r="BQX244" s="82"/>
      <c r="BQY244" s="84"/>
      <c r="BQZ244" s="84"/>
      <c r="BRA244" s="82"/>
      <c r="BRB244" s="83"/>
      <c r="BRC244" s="82"/>
      <c r="BRD244" s="84"/>
      <c r="BRE244" s="84"/>
      <c r="BRF244" s="82"/>
      <c r="BRG244" s="83"/>
      <c r="BRH244" s="82"/>
      <c r="BRI244" s="84"/>
      <c r="BRJ244" s="84"/>
      <c r="BRK244" s="82"/>
      <c r="BRL244" s="83"/>
      <c r="BRM244" s="82"/>
      <c r="BRN244" s="84"/>
      <c r="BRO244" s="84"/>
      <c r="BRP244" s="82"/>
      <c r="BRQ244" s="83"/>
      <c r="BRR244" s="82"/>
      <c r="BRS244" s="84"/>
      <c r="BRT244" s="84"/>
      <c r="BRU244" s="82"/>
      <c r="BRV244" s="83"/>
      <c r="BRW244" s="82"/>
      <c r="BRX244" s="84"/>
      <c r="BRY244" s="84"/>
      <c r="BRZ244" s="82"/>
      <c r="BSA244" s="83"/>
      <c r="BSB244" s="82"/>
      <c r="BSC244" s="84"/>
      <c r="BSD244" s="84"/>
      <c r="BSE244" s="82"/>
      <c r="BSF244" s="83"/>
      <c r="BSG244" s="82"/>
      <c r="BSH244" s="84"/>
      <c r="BSI244" s="84"/>
      <c r="BSJ244" s="82"/>
      <c r="BSK244" s="83"/>
      <c r="BSL244" s="82"/>
      <c r="BSM244" s="84"/>
      <c r="BSN244" s="84"/>
      <c r="BSO244" s="82"/>
      <c r="BSP244" s="83"/>
      <c r="BSQ244" s="82"/>
      <c r="BSR244" s="84"/>
      <c r="BSS244" s="84"/>
      <c r="BST244" s="82"/>
      <c r="BSU244" s="83"/>
      <c r="BSV244" s="82"/>
      <c r="BSW244" s="84"/>
      <c r="BSX244" s="84"/>
      <c r="BSY244" s="82"/>
      <c r="BSZ244" s="83"/>
      <c r="BTA244" s="82"/>
      <c r="BTB244" s="84"/>
      <c r="BTC244" s="84"/>
      <c r="BTD244" s="82"/>
      <c r="BTE244" s="83"/>
      <c r="BTF244" s="82"/>
      <c r="BTG244" s="84"/>
      <c r="BTH244" s="84"/>
      <c r="BTI244" s="82"/>
      <c r="BTJ244" s="83"/>
      <c r="BTK244" s="82"/>
      <c r="BTL244" s="84"/>
      <c r="BTM244" s="84"/>
      <c r="BTN244" s="82"/>
      <c r="BTO244" s="83"/>
      <c r="BTP244" s="82"/>
      <c r="BTQ244" s="84"/>
      <c r="BTR244" s="84"/>
      <c r="BTS244" s="82"/>
      <c r="BTT244" s="83"/>
      <c r="BTU244" s="82"/>
      <c r="BTV244" s="84"/>
      <c r="BTW244" s="84"/>
      <c r="BTX244" s="82"/>
      <c r="BTY244" s="83"/>
      <c r="BTZ244" s="82"/>
      <c r="BUA244" s="84"/>
      <c r="BUB244" s="84"/>
      <c r="BUC244" s="82"/>
      <c r="BUD244" s="83"/>
      <c r="BUE244" s="82"/>
      <c r="BUF244" s="84"/>
      <c r="BUG244" s="84"/>
      <c r="BUH244" s="82"/>
      <c r="BUI244" s="83"/>
      <c r="BUJ244" s="82"/>
      <c r="BUK244" s="84"/>
      <c r="BUL244" s="84"/>
      <c r="BUM244" s="82"/>
      <c r="BUN244" s="83"/>
      <c r="BUO244" s="82"/>
      <c r="BUP244" s="84"/>
      <c r="BUQ244" s="84"/>
      <c r="BUR244" s="82"/>
      <c r="BUS244" s="83"/>
      <c r="BUT244" s="82"/>
      <c r="BUU244" s="84"/>
      <c r="BUV244" s="84"/>
      <c r="BUW244" s="82"/>
      <c r="BUX244" s="83"/>
      <c r="BUY244" s="82"/>
      <c r="BUZ244" s="84"/>
      <c r="BVA244" s="84"/>
      <c r="BVB244" s="82"/>
      <c r="BVC244" s="83"/>
      <c r="BVD244" s="82"/>
      <c r="BVE244" s="84"/>
      <c r="BVF244" s="84"/>
      <c r="BVG244" s="82"/>
      <c r="BVH244" s="83"/>
      <c r="BVI244" s="82"/>
      <c r="BVJ244" s="84"/>
      <c r="BVK244" s="84"/>
      <c r="BVL244" s="82"/>
      <c r="BVM244" s="83"/>
      <c r="BVN244" s="82"/>
      <c r="BVO244" s="84"/>
      <c r="BVP244" s="84"/>
      <c r="BVQ244" s="82"/>
      <c r="BVR244" s="83"/>
      <c r="BVS244" s="82"/>
      <c r="BVT244" s="84"/>
      <c r="BVU244" s="84"/>
      <c r="BVV244" s="82"/>
      <c r="BVW244" s="83"/>
      <c r="BVX244" s="82"/>
      <c r="BVY244" s="84"/>
      <c r="BVZ244" s="84"/>
      <c r="BWA244" s="82"/>
      <c r="BWB244" s="83"/>
      <c r="BWC244" s="82"/>
      <c r="BWD244" s="84"/>
      <c r="BWE244" s="84"/>
      <c r="BWF244" s="82"/>
      <c r="BWG244" s="83"/>
      <c r="BWH244" s="82"/>
      <c r="BWI244" s="84"/>
      <c r="BWJ244" s="84"/>
      <c r="BWK244" s="82"/>
      <c r="BWL244" s="83"/>
      <c r="BWM244" s="82"/>
      <c r="BWN244" s="84"/>
      <c r="BWO244" s="84"/>
      <c r="BWP244" s="82"/>
      <c r="BWQ244" s="83"/>
      <c r="BWR244" s="82"/>
      <c r="BWS244" s="84"/>
      <c r="BWT244" s="84"/>
      <c r="BWU244" s="82"/>
      <c r="BWV244" s="83"/>
      <c r="BWW244" s="82"/>
      <c r="BWX244" s="84"/>
      <c r="BWY244" s="84"/>
      <c r="BWZ244" s="82"/>
      <c r="BXA244" s="83"/>
      <c r="BXB244" s="82"/>
      <c r="BXC244" s="84"/>
      <c r="BXD244" s="84"/>
      <c r="BXE244" s="82"/>
      <c r="BXF244" s="83"/>
      <c r="BXG244" s="82"/>
      <c r="BXH244" s="84"/>
      <c r="BXI244" s="84"/>
      <c r="BXJ244" s="82"/>
      <c r="BXK244" s="83"/>
      <c r="BXL244" s="82"/>
      <c r="BXM244" s="84"/>
      <c r="BXN244" s="84"/>
      <c r="BXO244" s="82"/>
      <c r="BXP244" s="83"/>
      <c r="BXQ244" s="82"/>
      <c r="BXR244" s="84"/>
      <c r="BXS244" s="84"/>
      <c r="BXT244" s="82"/>
      <c r="BXU244" s="83"/>
      <c r="BXV244" s="82"/>
      <c r="BXW244" s="84"/>
      <c r="BXX244" s="84"/>
      <c r="BXY244" s="82"/>
      <c r="BXZ244" s="83"/>
      <c r="BYA244" s="82"/>
      <c r="BYB244" s="84"/>
      <c r="BYC244" s="84"/>
      <c r="BYD244" s="82"/>
      <c r="BYE244" s="83"/>
      <c r="BYF244" s="82"/>
      <c r="BYG244" s="84"/>
      <c r="BYH244" s="84"/>
      <c r="BYI244" s="82"/>
      <c r="BYJ244" s="83"/>
      <c r="BYK244" s="82"/>
      <c r="BYL244" s="84"/>
      <c r="BYM244" s="84"/>
      <c r="BYN244" s="82"/>
      <c r="BYO244" s="83"/>
      <c r="BYP244" s="82"/>
      <c r="BYQ244" s="84"/>
      <c r="BYR244" s="84"/>
      <c r="BYS244" s="82"/>
      <c r="BYT244" s="83"/>
      <c r="BYU244" s="82"/>
      <c r="BYV244" s="84"/>
      <c r="BYW244" s="84"/>
      <c r="BYX244" s="82"/>
      <c r="BYY244" s="83"/>
      <c r="BYZ244" s="82"/>
      <c r="BZA244" s="84"/>
      <c r="BZB244" s="84"/>
      <c r="BZC244" s="82"/>
      <c r="BZD244" s="83"/>
      <c r="BZE244" s="82"/>
      <c r="BZF244" s="84"/>
      <c r="BZG244" s="84"/>
      <c r="BZH244" s="82"/>
      <c r="BZI244" s="83"/>
      <c r="BZJ244" s="82"/>
      <c r="BZK244" s="84"/>
      <c r="BZL244" s="84"/>
      <c r="BZM244" s="82"/>
      <c r="BZN244" s="83"/>
      <c r="BZO244" s="82"/>
      <c r="BZP244" s="84"/>
      <c r="BZQ244" s="84"/>
      <c r="BZR244" s="82"/>
      <c r="BZS244" s="83"/>
      <c r="BZT244" s="82"/>
      <c r="BZU244" s="84"/>
      <c r="BZV244" s="84"/>
      <c r="BZW244" s="82"/>
      <c r="BZX244" s="83"/>
      <c r="BZY244" s="82"/>
      <c r="BZZ244" s="84"/>
      <c r="CAA244" s="84"/>
      <c r="CAB244" s="82"/>
      <c r="CAC244" s="83"/>
      <c r="CAD244" s="82"/>
      <c r="CAE244" s="84"/>
      <c r="CAF244" s="84"/>
      <c r="CAG244" s="82"/>
      <c r="CAH244" s="83"/>
      <c r="CAI244" s="82"/>
      <c r="CAJ244" s="84"/>
      <c r="CAK244" s="84"/>
      <c r="CAL244" s="82"/>
      <c r="CAM244" s="83"/>
      <c r="CAN244" s="82"/>
      <c r="CAO244" s="84"/>
      <c r="CAP244" s="84"/>
      <c r="CAQ244" s="82"/>
      <c r="CAR244" s="83"/>
      <c r="CAS244" s="82"/>
      <c r="CAT244" s="84"/>
      <c r="CAU244" s="84"/>
      <c r="CAV244" s="82"/>
      <c r="CAW244" s="83"/>
      <c r="CAX244" s="82"/>
      <c r="CAY244" s="84"/>
      <c r="CAZ244" s="84"/>
      <c r="CBA244" s="82"/>
      <c r="CBB244" s="83"/>
      <c r="CBC244" s="82"/>
      <c r="CBD244" s="84"/>
      <c r="CBE244" s="84"/>
      <c r="CBF244" s="82"/>
      <c r="CBG244" s="83"/>
      <c r="CBH244" s="82"/>
      <c r="CBI244" s="84"/>
      <c r="CBJ244" s="84"/>
      <c r="CBK244" s="82"/>
      <c r="CBL244" s="83"/>
      <c r="CBM244" s="82"/>
      <c r="CBN244" s="84"/>
      <c r="CBO244" s="84"/>
      <c r="CBP244" s="82"/>
      <c r="CBQ244" s="83"/>
      <c r="CBR244" s="82"/>
      <c r="CBS244" s="84"/>
      <c r="CBT244" s="84"/>
      <c r="CBU244" s="82"/>
      <c r="CBV244" s="83"/>
      <c r="CBW244" s="82"/>
      <c r="CBX244" s="84"/>
      <c r="CBY244" s="84"/>
      <c r="CBZ244" s="82"/>
      <c r="CCA244" s="83"/>
      <c r="CCB244" s="82"/>
      <c r="CCC244" s="84"/>
      <c r="CCD244" s="84"/>
      <c r="CCE244" s="82"/>
      <c r="CCF244" s="83"/>
      <c r="CCG244" s="82"/>
      <c r="CCH244" s="84"/>
      <c r="CCI244" s="84"/>
      <c r="CCJ244" s="82"/>
      <c r="CCK244" s="83"/>
      <c r="CCL244" s="82"/>
      <c r="CCM244" s="84"/>
      <c r="CCN244" s="84"/>
      <c r="CCO244" s="82"/>
      <c r="CCP244" s="83"/>
      <c r="CCQ244" s="82"/>
      <c r="CCR244" s="84"/>
      <c r="CCS244" s="84"/>
      <c r="CCT244" s="82"/>
      <c r="CCU244" s="83"/>
      <c r="CCV244" s="82"/>
      <c r="CCW244" s="84"/>
      <c r="CCX244" s="84"/>
      <c r="CCY244" s="82"/>
      <c r="CCZ244" s="83"/>
      <c r="CDA244" s="82"/>
      <c r="CDB244" s="84"/>
      <c r="CDC244" s="84"/>
      <c r="CDD244" s="82"/>
      <c r="CDE244" s="83"/>
      <c r="CDF244" s="82"/>
      <c r="CDG244" s="84"/>
      <c r="CDH244" s="84"/>
      <c r="CDI244" s="82"/>
      <c r="CDJ244" s="83"/>
      <c r="CDK244" s="82"/>
      <c r="CDL244" s="84"/>
      <c r="CDM244" s="84"/>
      <c r="CDN244" s="82"/>
      <c r="CDO244" s="83"/>
      <c r="CDP244" s="82"/>
      <c r="CDQ244" s="84"/>
      <c r="CDR244" s="84"/>
      <c r="CDS244" s="82"/>
      <c r="CDT244" s="83"/>
      <c r="CDU244" s="82"/>
      <c r="CDV244" s="84"/>
      <c r="CDW244" s="84"/>
      <c r="CDX244" s="82"/>
      <c r="CDY244" s="83"/>
      <c r="CDZ244" s="82"/>
      <c r="CEA244" s="84"/>
      <c r="CEB244" s="84"/>
      <c r="CEC244" s="82"/>
      <c r="CED244" s="83"/>
      <c r="CEE244" s="82"/>
      <c r="CEF244" s="84"/>
      <c r="CEG244" s="84"/>
      <c r="CEH244" s="82"/>
      <c r="CEI244" s="83"/>
      <c r="CEJ244" s="82"/>
      <c r="CEK244" s="84"/>
      <c r="CEL244" s="84"/>
      <c r="CEM244" s="82"/>
      <c r="CEN244" s="83"/>
      <c r="CEO244" s="82"/>
      <c r="CEP244" s="84"/>
      <c r="CEQ244" s="84"/>
      <c r="CER244" s="82"/>
      <c r="CES244" s="83"/>
      <c r="CET244" s="82"/>
      <c r="CEU244" s="84"/>
      <c r="CEV244" s="84"/>
      <c r="CEW244" s="82"/>
      <c r="CEX244" s="83"/>
      <c r="CEY244" s="82"/>
      <c r="CEZ244" s="84"/>
      <c r="CFA244" s="84"/>
      <c r="CFB244" s="82"/>
      <c r="CFC244" s="83"/>
      <c r="CFD244" s="82"/>
      <c r="CFE244" s="84"/>
      <c r="CFF244" s="84"/>
      <c r="CFG244" s="82"/>
      <c r="CFH244" s="83"/>
      <c r="CFI244" s="82"/>
      <c r="CFJ244" s="84"/>
      <c r="CFK244" s="84"/>
      <c r="CFL244" s="82"/>
      <c r="CFM244" s="83"/>
      <c r="CFN244" s="82"/>
      <c r="CFO244" s="84"/>
      <c r="CFP244" s="84"/>
      <c r="CFQ244" s="82"/>
      <c r="CFR244" s="83"/>
      <c r="CFS244" s="82"/>
      <c r="CFT244" s="84"/>
      <c r="CFU244" s="84"/>
      <c r="CFV244" s="82"/>
      <c r="CFW244" s="83"/>
      <c r="CFX244" s="82"/>
      <c r="CFY244" s="84"/>
      <c r="CFZ244" s="84"/>
      <c r="CGA244" s="82"/>
      <c r="CGB244" s="83"/>
      <c r="CGC244" s="82"/>
      <c r="CGD244" s="84"/>
      <c r="CGE244" s="84"/>
      <c r="CGF244" s="82"/>
      <c r="CGG244" s="83"/>
      <c r="CGH244" s="82"/>
      <c r="CGI244" s="84"/>
      <c r="CGJ244" s="84"/>
      <c r="CGK244" s="82"/>
      <c r="CGL244" s="83"/>
      <c r="CGM244" s="82"/>
      <c r="CGN244" s="84"/>
      <c r="CGO244" s="84"/>
      <c r="CGP244" s="82"/>
      <c r="CGQ244" s="83"/>
      <c r="CGR244" s="82"/>
      <c r="CGS244" s="84"/>
      <c r="CGT244" s="84"/>
      <c r="CGU244" s="82"/>
      <c r="CGV244" s="83"/>
      <c r="CGW244" s="82"/>
      <c r="CGX244" s="84"/>
      <c r="CGY244" s="84"/>
      <c r="CGZ244" s="82"/>
      <c r="CHA244" s="83"/>
      <c r="CHB244" s="82"/>
      <c r="CHC244" s="84"/>
      <c r="CHD244" s="84"/>
      <c r="CHE244" s="82"/>
      <c r="CHF244" s="83"/>
      <c r="CHG244" s="82"/>
      <c r="CHH244" s="84"/>
      <c r="CHI244" s="84"/>
      <c r="CHJ244" s="82"/>
      <c r="CHK244" s="83"/>
      <c r="CHL244" s="82"/>
      <c r="CHM244" s="84"/>
      <c r="CHN244" s="84"/>
      <c r="CHO244" s="82"/>
      <c r="CHP244" s="83"/>
      <c r="CHQ244" s="82"/>
      <c r="CHR244" s="84"/>
      <c r="CHS244" s="84"/>
      <c r="CHT244" s="82"/>
      <c r="CHU244" s="83"/>
      <c r="CHV244" s="82"/>
      <c r="CHW244" s="84"/>
      <c r="CHX244" s="84"/>
      <c r="CHY244" s="82"/>
      <c r="CHZ244" s="83"/>
      <c r="CIA244" s="82"/>
      <c r="CIB244" s="84"/>
      <c r="CIC244" s="84"/>
      <c r="CID244" s="82"/>
      <c r="CIE244" s="83"/>
      <c r="CIF244" s="82"/>
      <c r="CIG244" s="84"/>
      <c r="CIH244" s="84"/>
      <c r="CII244" s="82"/>
      <c r="CIJ244" s="83"/>
      <c r="CIK244" s="82"/>
      <c r="CIL244" s="84"/>
      <c r="CIM244" s="84"/>
      <c r="CIN244" s="82"/>
      <c r="CIO244" s="83"/>
      <c r="CIP244" s="82"/>
      <c r="CIQ244" s="84"/>
      <c r="CIR244" s="84"/>
      <c r="CIS244" s="82"/>
      <c r="CIT244" s="83"/>
      <c r="CIU244" s="82"/>
      <c r="CIV244" s="84"/>
      <c r="CIW244" s="84"/>
      <c r="CIX244" s="82"/>
      <c r="CIY244" s="83"/>
      <c r="CIZ244" s="82"/>
      <c r="CJA244" s="84"/>
      <c r="CJB244" s="84"/>
      <c r="CJC244" s="82"/>
      <c r="CJD244" s="83"/>
      <c r="CJE244" s="82"/>
      <c r="CJF244" s="84"/>
      <c r="CJG244" s="84"/>
      <c r="CJH244" s="82"/>
      <c r="CJI244" s="83"/>
      <c r="CJJ244" s="82"/>
      <c r="CJK244" s="84"/>
      <c r="CJL244" s="84"/>
      <c r="CJM244" s="82"/>
      <c r="CJN244" s="83"/>
      <c r="CJO244" s="82"/>
      <c r="CJP244" s="84"/>
      <c r="CJQ244" s="84"/>
      <c r="CJR244" s="82"/>
      <c r="CJS244" s="83"/>
      <c r="CJT244" s="82"/>
      <c r="CJU244" s="84"/>
      <c r="CJV244" s="84"/>
      <c r="CJW244" s="82"/>
      <c r="CJX244" s="83"/>
      <c r="CJY244" s="82"/>
      <c r="CJZ244" s="84"/>
      <c r="CKA244" s="84"/>
      <c r="CKB244" s="82"/>
      <c r="CKC244" s="83"/>
      <c r="CKD244" s="82"/>
      <c r="CKE244" s="84"/>
      <c r="CKF244" s="84"/>
      <c r="CKG244" s="82"/>
      <c r="CKH244" s="83"/>
      <c r="CKI244" s="82"/>
      <c r="CKJ244" s="84"/>
      <c r="CKK244" s="84"/>
      <c r="CKL244" s="82"/>
      <c r="CKM244" s="83"/>
      <c r="CKN244" s="82"/>
      <c r="CKO244" s="84"/>
      <c r="CKP244" s="84"/>
      <c r="CKQ244" s="82"/>
      <c r="CKR244" s="83"/>
      <c r="CKS244" s="82"/>
      <c r="CKT244" s="84"/>
      <c r="CKU244" s="84"/>
      <c r="CKV244" s="82"/>
      <c r="CKW244" s="83"/>
      <c r="CKX244" s="82"/>
      <c r="CKY244" s="84"/>
      <c r="CKZ244" s="84"/>
      <c r="CLA244" s="82"/>
      <c r="CLB244" s="83"/>
      <c r="CLC244" s="82"/>
      <c r="CLD244" s="84"/>
      <c r="CLE244" s="84"/>
      <c r="CLF244" s="82"/>
      <c r="CLG244" s="83"/>
      <c r="CLH244" s="82"/>
      <c r="CLI244" s="84"/>
      <c r="CLJ244" s="84"/>
      <c r="CLK244" s="82"/>
      <c r="CLL244" s="83"/>
      <c r="CLM244" s="82"/>
      <c r="CLN244" s="84"/>
      <c r="CLO244" s="84"/>
      <c r="CLP244" s="82"/>
      <c r="CLQ244" s="83"/>
      <c r="CLR244" s="82"/>
      <c r="CLS244" s="84"/>
      <c r="CLT244" s="84"/>
      <c r="CLU244" s="82"/>
      <c r="CLV244" s="83"/>
      <c r="CLW244" s="82"/>
      <c r="CLX244" s="84"/>
      <c r="CLY244" s="84"/>
      <c r="CLZ244" s="82"/>
      <c r="CMA244" s="83"/>
      <c r="CMB244" s="82"/>
      <c r="CMC244" s="84"/>
      <c r="CMD244" s="84"/>
      <c r="CME244" s="82"/>
      <c r="CMF244" s="83"/>
      <c r="CMG244" s="82"/>
      <c r="CMH244" s="84"/>
      <c r="CMI244" s="84"/>
      <c r="CMJ244" s="82"/>
      <c r="CMK244" s="83"/>
      <c r="CML244" s="82"/>
      <c r="CMM244" s="84"/>
      <c r="CMN244" s="84"/>
      <c r="CMO244" s="82"/>
      <c r="CMP244" s="83"/>
      <c r="CMQ244" s="82"/>
      <c r="CMR244" s="84"/>
      <c r="CMS244" s="84"/>
      <c r="CMT244" s="82"/>
      <c r="CMU244" s="83"/>
      <c r="CMV244" s="82"/>
      <c r="CMW244" s="84"/>
      <c r="CMX244" s="84"/>
      <c r="CMY244" s="82"/>
      <c r="CMZ244" s="83"/>
      <c r="CNA244" s="82"/>
      <c r="CNB244" s="84"/>
      <c r="CNC244" s="84"/>
      <c r="CND244" s="82"/>
      <c r="CNE244" s="83"/>
      <c r="CNF244" s="82"/>
      <c r="CNG244" s="84"/>
      <c r="CNH244" s="84"/>
      <c r="CNI244" s="82"/>
      <c r="CNJ244" s="83"/>
      <c r="CNK244" s="82"/>
      <c r="CNL244" s="84"/>
      <c r="CNM244" s="84"/>
      <c r="CNN244" s="82"/>
      <c r="CNO244" s="83"/>
      <c r="CNP244" s="82"/>
      <c r="CNQ244" s="84"/>
      <c r="CNR244" s="84"/>
      <c r="CNS244" s="82"/>
      <c r="CNT244" s="83"/>
      <c r="CNU244" s="82"/>
      <c r="CNV244" s="84"/>
      <c r="CNW244" s="84"/>
      <c r="CNX244" s="82"/>
      <c r="CNY244" s="83"/>
      <c r="CNZ244" s="82"/>
      <c r="COA244" s="84"/>
      <c r="COB244" s="84"/>
      <c r="COC244" s="82"/>
      <c r="COD244" s="83"/>
      <c r="COE244" s="82"/>
      <c r="COF244" s="84"/>
      <c r="COG244" s="84"/>
      <c r="COH244" s="82"/>
      <c r="COI244" s="83"/>
      <c r="COJ244" s="82"/>
      <c r="COK244" s="84"/>
      <c r="COL244" s="84"/>
      <c r="COM244" s="82"/>
      <c r="CON244" s="83"/>
      <c r="COO244" s="82"/>
      <c r="COP244" s="84"/>
      <c r="COQ244" s="84"/>
      <c r="COR244" s="82"/>
      <c r="COS244" s="83"/>
      <c r="COT244" s="82"/>
      <c r="COU244" s="84"/>
      <c r="COV244" s="84"/>
      <c r="COW244" s="82"/>
      <c r="COX244" s="83"/>
      <c r="COY244" s="82"/>
      <c r="COZ244" s="84"/>
      <c r="CPA244" s="84"/>
      <c r="CPB244" s="82"/>
      <c r="CPC244" s="83"/>
      <c r="CPD244" s="82"/>
      <c r="CPE244" s="84"/>
      <c r="CPF244" s="84"/>
      <c r="CPG244" s="82"/>
      <c r="CPH244" s="83"/>
      <c r="CPI244" s="82"/>
      <c r="CPJ244" s="84"/>
      <c r="CPK244" s="84"/>
      <c r="CPL244" s="82"/>
      <c r="CPM244" s="83"/>
      <c r="CPN244" s="82"/>
      <c r="CPO244" s="84"/>
      <c r="CPP244" s="84"/>
      <c r="CPQ244" s="82"/>
      <c r="CPR244" s="83"/>
      <c r="CPS244" s="82"/>
      <c r="CPT244" s="84"/>
      <c r="CPU244" s="84"/>
      <c r="CPV244" s="82"/>
      <c r="CPW244" s="83"/>
      <c r="CPX244" s="82"/>
      <c r="CPY244" s="84"/>
      <c r="CPZ244" s="84"/>
      <c r="CQA244" s="82"/>
      <c r="CQB244" s="83"/>
      <c r="CQC244" s="82"/>
      <c r="CQD244" s="84"/>
      <c r="CQE244" s="84"/>
      <c r="CQF244" s="82"/>
      <c r="CQG244" s="83"/>
      <c r="CQH244" s="82"/>
      <c r="CQI244" s="84"/>
      <c r="CQJ244" s="84"/>
      <c r="CQK244" s="82"/>
      <c r="CQL244" s="83"/>
      <c r="CQM244" s="82"/>
      <c r="CQN244" s="84"/>
      <c r="CQO244" s="84"/>
      <c r="CQP244" s="82"/>
      <c r="CQQ244" s="83"/>
      <c r="CQR244" s="82"/>
      <c r="CQS244" s="84"/>
      <c r="CQT244" s="84"/>
      <c r="CQU244" s="82"/>
      <c r="CQV244" s="83"/>
      <c r="CQW244" s="82"/>
      <c r="CQX244" s="84"/>
      <c r="CQY244" s="84"/>
      <c r="CQZ244" s="82"/>
      <c r="CRA244" s="83"/>
      <c r="CRB244" s="82"/>
      <c r="CRC244" s="84"/>
      <c r="CRD244" s="84"/>
      <c r="CRE244" s="82"/>
      <c r="CRF244" s="83"/>
      <c r="CRG244" s="82"/>
      <c r="CRH244" s="84"/>
      <c r="CRI244" s="84"/>
      <c r="CRJ244" s="82"/>
      <c r="CRK244" s="83"/>
      <c r="CRL244" s="82"/>
      <c r="CRM244" s="84"/>
      <c r="CRN244" s="84"/>
      <c r="CRO244" s="82"/>
      <c r="CRP244" s="83"/>
      <c r="CRQ244" s="82"/>
      <c r="CRR244" s="84"/>
      <c r="CRS244" s="84"/>
      <c r="CRT244" s="82"/>
      <c r="CRU244" s="83"/>
      <c r="CRV244" s="82"/>
      <c r="CRW244" s="84"/>
      <c r="CRX244" s="84"/>
      <c r="CRY244" s="82"/>
      <c r="CRZ244" s="83"/>
      <c r="CSA244" s="82"/>
      <c r="CSB244" s="84"/>
      <c r="CSC244" s="84"/>
      <c r="CSD244" s="82"/>
      <c r="CSE244" s="83"/>
      <c r="CSF244" s="82"/>
      <c r="CSG244" s="84"/>
      <c r="CSH244" s="84"/>
      <c r="CSI244" s="82"/>
      <c r="CSJ244" s="83"/>
      <c r="CSK244" s="82"/>
      <c r="CSL244" s="84"/>
      <c r="CSM244" s="84"/>
      <c r="CSN244" s="82"/>
      <c r="CSO244" s="83"/>
      <c r="CSP244" s="82"/>
      <c r="CSQ244" s="84"/>
      <c r="CSR244" s="84"/>
      <c r="CSS244" s="82"/>
      <c r="CST244" s="83"/>
      <c r="CSU244" s="82"/>
      <c r="CSV244" s="84"/>
      <c r="CSW244" s="84"/>
      <c r="CSX244" s="82"/>
      <c r="CSY244" s="83"/>
      <c r="CSZ244" s="82"/>
      <c r="CTA244" s="84"/>
      <c r="CTB244" s="84"/>
      <c r="CTC244" s="82"/>
      <c r="CTD244" s="83"/>
      <c r="CTE244" s="82"/>
      <c r="CTF244" s="84"/>
      <c r="CTG244" s="84"/>
      <c r="CTH244" s="82"/>
      <c r="CTI244" s="83"/>
      <c r="CTJ244" s="82"/>
      <c r="CTK244" s="84"/>
      <c r="CTL244" s="84"/>
      <c r="CTM244" s="82"/>
      <c r="CTN244" s="83"/>
      <c r="CTO244" s="82"/>
      <c r="CTP244" s="84"/>
      <c r="CTQ244" s="84"/>
      <c r="CTR244" s="82"/>
      <c r="CTS244" s="83"/>
      <c r="CTT244" s="82"/>
      <c r="CTU244" s="84"/>
      <c r="CTV244" s="84"/>
      <c r="CTW244" s="82"/>
      <c r="CTX244" s="83"/>
      <c r="CTY244" s="82"/>
      <c r="CTZ244" s="84"/>
      <c r="CUA244" s="84"/>
      <c r="CUB244" s="82"/>
      <c r="CUC244" s="83"/>
      <c r="CUD244" s="82"/>
      <c r="CUE244" s="84"/>
      <c r="CUF244" s="84"/>
      <c r="CUG244" s="82"/>
      <c r="CUH244" s="83"/>
      <c r="CUI244" s="82"/>
      <c r="CUJ244" s="84"/>
      <c r="CUK244" s="84"/>
      <c r="CUL244" s="82"/>
      <c r="CUM244" s="83"/>
      <c r="CUN244" s="82"/>
      <c r="CUO244" s="84"/>
      <c r="CUP244" s="84"/>
      <c r="CUQ244" s="82"/>
      <c r="CUR244" s="83"/>
      <c r="CUS244" s="82"/>
      <c r="CUT244" s="84"/>
      <c r="CUU244" s="84"/>
      <c r="CUV244" s="82"/>
      <c r="CUW244" s="83"/>
      <c r="CUX244" s="82"/>
      <c r="CUY244" s="84"/>
      <c r="CUZ244" s="84"/>
      <c r="CVA244" s="82"/>
      <c r="CVB244" s="83"/>
      <c r="CVC244" s="82"/>
      <c r="CVD244" s="84"/>
      <c r="CVE244" s="84"/>
      <c r="CVF244" s="82"/>
      <c r="CVG244" s="83"/>
      <c r="CVH244" s="82"/>
      <c r="CVI244" s="84"/>
      <c r="CVJ244" s="84"/>
      <c r="CVK244" s="82"/>
      <c r="CVL244" s="83"/>
      <c r="CVM244" s="82"/>
      <c r="CVN244" s="84"/>
      <c r="CVO244" s="84"/>
      <c r="CVP244" s="82"/>
      <c r="CVQ244" s="83"/>
      <c r="CVR244" s="82"/>
      <c r="CVS244" s="84"/>
      <c r="CVT244" s="84"/>
      <c r="CVU244" s="82"/>
      <c r="CVV244" s="83"/>
      <c r="CVW244" s="82"/>
      <c r="CVX244" s="84"/>
      <c r="CVY244" s="84"/>
      <c r="CVZ244" s="82"/>
      <c r="CWA244" s="83"/>
      <c r="CWB244" s="82"/>
      <c r="CWC244" s="84"/>
      <c r="CWD244" s="84"/>
      <c r="CWE244" s="82"/>
      <c r="CWF244" s="83"/>
      <c r="CWG244" s="82"/>
      <c r="CWH244" s="84"/>
      <c r="CWI244" s="84"/>
      <c r="CWJ244" s="82"/>
      <c r="CWK244" s="83"/>
      <c r="CWL244" s="82"/>
      <c r="CWM244" s="84"/>
      <c r="CWN244" s="84"/>
      <c r="CWO244" s="82"/>
      <c r="CWP244" s="83"/>
      <c r="CWQ244" s="82"/>
      <c r="CWR244" s="84"/>
      <c r="CWS244" s="84"/>
      <c r="CWT244" s="82"/>
      <c r="CWU244" s="83"/>
      <c r="CWV244" s="82"/>
      <c r="CWW244" s="84"/>
      <c r="CWX244" s="84"/>
      <c r="CWY244" s="82"/>
      <c r="CWZ244" s="83"/>
      <c r="CXA244" s="82"/>
      <c r="CXB244" s="84"/>
      <c r="CXC244" s="84"/>
      <c r="CXD244" s="82"/>
      <c r="CXE244" s="83"/>
      <c r="CXF244" s="82"/>
      <c r="CXG244" s="84"/>
      <c r="CXH244" s="84"/>
      <c r="CXI244" s="82"/>
      <c r="CXJ244" s="83"/>
      <c r="CXK244" s="82"/>
      <c r="CXL244" s="84"/>
      <c r="CXM244" s="84"/>
      <c r="CXN244" s="82"/>
      <c r="CXO244" s="83"/>
      <c r="CXP244" s="82"/>
      <c r="CXQ244" s="84"/>
      <c r="CXR244" s="84"/>
      <c r="CXS244" s="82"/>
      <c r="CXT244" s="83"/>
      <c r="CXU244" s="82"/>
      <c r="CXV244" s="84"/>
      <c r="CXW244" s="84"/>
      <c r="CXX244" s="82"/>
      <c r="CXY244" s="83"/>
      <c r="CXZ244" s="82"/>
      <c r="CYA244" s="84"/>
      <c r="CYB244" s="84"/>
      <c r="CYC244" s="82"/>
      <c r="CYD244" s="83"/>
      <c r="CYE244" s="82"/>
      <c r="CYF244" s="84"/>
      <c r="CYG244" s="84"/>
      <c r="CYH244" s="82"/>
      <c r="CYI244" s="83"/>
      <c r="CYJ244" s="82"/>
      <c r="CYK244" s="84"/>
      <c r="CYL244" s="84"/>
      <c r="CYM244" s="82"/>
      <c r="CYN244" s="83"/>
      <c r="CYO244" s="82"/>
      <c r="CYP244" s="84"/>
      <c r="CYQ244" s="84"/>
      <c r="CYR244" s="82"/>
      <c r="CYS244" s="83"/>
      <c r="CYT244" s="82"/>
      <c r="CYU244" s="84"/>
      <c r="CYV244" s="84"/>
      <c r="CYW244" s="82"/>
      <c r="CYX244" s="83"/>
      <c r="CYY244" s="82"/>
      <c r="CYZ244" s="84"/>
      <c r="CZA244" s="84"/>
      <c r="CZB244" s="82"/>
      <c r="CZC244" s="83"/>
      <c r="CZD244" s="82"/>
      <c r="CZE244" s="84"/>
      <c r="CZF244" s="84"/>
      <c r="CZG244" s="82"/>
      <c r="CZH244" s="83"/>
      <c r="CZI244" s="82"/>
      <c r="CZJ244" s="84"/>
      <c r="CZK244" s="84"/>
      <c r="CZL244" s="82"/>
      <c r="CZM244" s="83"/>
      <c r="CZN244" s="82"/>
      <c r="CZO244" s="84"/>
      <c r="CZP244" s="84"/>
      <c r="CZQ244" s="82"/>
      <c r="CZR244" s="83"/>
      <c r="CZS244" s="82"/>
      <c r="CZT244" s="84"/>
      <c r="CZU244" s="84"/>
      <c r="CZV244" s="82"/>
      <c r="CZW244" s="83"/>
      <c r="CZX244" s="82"/>
      <c r="CZY244" s="84"/>
      <c r="CZZ244" s="84"/>
      <c r="DAA244" s="82"/>
      <c r="DAB244" s="83"/>
      <c r="DAC244" s="82"/>
      <c r="DAD244" s="84"/>
      <c r="DAE244" s="84"/>
      <c r="DAF244" s="82"/>
      <c r="DAG244" s="83"/>
      <c r="DAH244" s="82"/>
      <c r="DAI244" s="84"/>
      <c r="DAJ244" s="84"/>
      <c r="DAK244" s="82"/>
      <c r="DAL244" s="83"/>
      <c r="DAM244" s="82"/>
      <c r="DAN244" s="84"/>
      <c r="DAO244" s="84"/>
      <c r="DAP244" s="82"/>
      <c r="DAQ244" s="83"/>
      <c r="DAR244" s="82"/>
      <c r="DAS244" s="84"/>
      <c r="DAT244" s="84"/>
      <c r="DAU244" s="82"/>
      <c r="DAV244" s="83"/>
      <c r="DAW244" s="82"/>
      <c r="DAX244" s="84"/>
      <c r="DAY244" s="84"/>
      <c r="DAZ244" s="82"/>
      <c r="DBA244" s="83"/>
      <c r="DBB244" s="82"/>
      <c r="DBC244" s="84"/>
      <c r="DBD244" s="84"/>
      <c r="DBE244" s="82"/>
      <c r="DBF244" s="83"/>
      <c r="DBG244" s="82"/>
      <c r="DBH244" s="84"/>
      <c r="DBI244" s="84"/>
      <c r="DBJ244" s="82"/>
      <c r="DBK244" s="83"/>
      <c r="DBL244" s="82"/>
      <c r="DBM244" s="84"/>
      <c r="DBN244" s="84"/>
      <c r="DBO244" s="82"/>
      <c r="DBP244" s="83"/>
      <c r="DBQ244" s="82"/>
      <c r="DBR244" s="84"/>
      <c r="DBS244" s="84"/>
      <c r="DBT244" s="82"/>
      <c r="DBU244" s="83"/>
      <c r="DBV244" s="82"/>
      <c r="DBW244" s="84"/>
      <c r="DBX244" s="84"/>
      <c r="DBY244" s="82"/>
      <c r="DBZ244" s="83"/>
      <c r="DCA244" s="82"/>
      <c r="DCB244" s="84"/>
      <c r="DCC244" s="84"/>
      <c r="DCD244" s="82"/>
      <c r="DCE244" s="83"/>
      <c r="DCF244" s="82"/>
      <c r="DCG244" s="84"/>
      <c r="DCH244" s="84"/>
      <c r="DCI244" s="82"/>
      <c r="DCJ244" s="83"/>
      <c r="DCK244" s="82"/>
      <c r="DCL244" s="84"/>
      <c r="DCM244" s="84"/>
      <c r="DCN244" s="82"/>
      <c r="DCO244" s="83"/>
      <c r="DCP244" s="82"/>
      <c r="DCQ244" s="84"/>
      <c r="DCR244" s="84"/>
      <c r="DCS244" s="82"/>
      <c r="DCT244" s="83"/>
      <c r="DCU244" s="82"/>
      <c r="DCV244" s="84"/>
      <c r="DCW244" s="84"/>
      <c r="DCX244" s="82"/>
      <c r="DCY244" s="83"/>
      <c r="DCZ244" s="82"/>
      <c r="DDA244" s="84"/>
      <c r="DDB244" s="84"/>
      <c r="DDC244" s="82"/>
      <c r="DDD244" s="83"/>
      <c r="DDE244" s="82"/>
      <c r="DDF244" s="84"/>
      <c r="DDG244" s="84"/>
      <c r="DDH244" s="82"/>
      <c r="DDI244" s="83"/>
      <c r="DDJ244" s="82"/>
      <c r="DDK244" s="84"/>
      <c r="DDL244" s="84"/>
      <c r="DDM244" s="82"/>
      <c r="DDN244" s="83"/>
      <c r="DDO244" s="82"/>
      <c r="DDP244" s="84"/>
      <c r="DDQ244" s="84"/>
      <c r="DDR244" s="82"/>
      <c r="DDS244" s="83"/>
      <c r="DDT244" s="82"/>
      <c r="DDU244" s="84"/>
      <c r="DDV244" s="84"/>
      <c r="DDW244" s="82"/>
      <c r="DDX244" s="83"/>
      <c r="DDY244" s="82"/>
      <c r="DDZ244" s="84"/>
      <c r="DEA244" s="84"/>
      <c r="DEB244" s="82"/>
      <c r="DEC244" s="83"/>
      <c r="DED244" s="82"/>
      <c r="DEE244" s="84"/>
      <c r="DEF244" s="84"/>
      <c r="DEG244" s="82"/>
      <c r="DEH244" s="83"/>
      <c r="DEI244" s="82"/>
      <c r="DEJ244" s="84"/>
      <c r="DEK244" s="84"/>
      <c r="DEL244" s="82"/>
      <c r="DEM244" s="83"/>
      <c r="DEN244" s="82"/>
      <c r="DEO244" s="84"/>
      <c r="DEP244" s="84"/>
      <c r="DEQ244" s="82"/>
      <c r="DER244" s="83"/>
      <c r="DES244" s="82"/>
      <c r="DET244" s="84"/>
      <c r="DEU244" s="84"/>
      <c r="DEV244" s="82"/>
      <c r="DEW244" s="83"/>
      <c r="DEX244" s="82"/>
      <c r="DEY244" s="84"/>
      <c r="DEZ244" s="84"/>
      <c r="DFA244" s="82"/>
      <c r="DFB244" s="83"/>
      <c r="DFC244" s="82"/>
      <c r="DFD244" s="84"/>
      <c r="DFE244" s="84"/>
      <c r="DFF244" s="82"/>
      <c r="DFG244" s="83"/>
      <c r="DFH244" s="82"/>
      <c r="DFI244" s="84"/>
      <c r="DFJ244" s="84"/>
      <c r="DFK244" s="82"/>
      <c r="DFL244" s="83"/>
      <c r="DFM244" s="82"/>
      <c r="DFN244" s="84"/>
      <c r="DFO244" s="84"/>
      <c r="DFP244" s="82"/>
      <c r="DFQ244" s="83"/>
      <c r="DFR244" s="82"/>
      <c r="DFS244" s="84"/>
      <c r="DFT244" s="84"/>
      <c r="DFU244" s="82"/>
      <c r="DFV244" s="83"/>
      <c r="DFW244" s="82"/>
      <c r="DFX244" s="84"/>
      <c r="DFY244" s="84"/>
      <c r="DFZ244" s="82"/>
      <c r="DGA244" s="83"/>
      <c r="DGB244" s="82"/>
      <c r="DGC244" s="84"/>
      <c r="DGD244" s="84"/>
      <c r="DGE244" s="82"/>
      <c r="DGF244" s="83"/>
      <c r="DGG244" s="82"/>
      <c r="DGH244" s="84"/>
      <c r="DGI244" s="84"/>
      <c r="DGJ244" s="82"/>
      <c r="DGK244" s="83"/>
      <c r="DGL244" s="82"/>
      <c r="DGM244" s="84"/>
      <c r="DGN244" s="84"/>
      <c r="DGO244" s="82"/>
      <c r="DGP244" s="83"/>
      <c r="DGQ244" s="82"/>
      <c r="DGR244" s="84"/>
      <c r="DGS244" s="84"/>
      <c r="DGT244" s="82"/>
      <c r="DGU244" s="83"/>
      <c r="DGV244" s="82"/>
      <c r="DGW244" s="84"/>
      <c r="DGX244" s="84"/>
      <c r="DGY244" s="82"/>
      <c r="DGZ244" s="83"/>
      <c r="DHA244" s="82"/>
      <c r="DHB244" s="84"/>
      <c r="DHC244" s="84"/>
      <c r="DHD244" s="82"/>
      <c r="DHE244" s="83"/>
      <c r="DHF244" s="82"/>
      <c r="DHG244" s="84"/>
      <c r="DHH244" s="84"/>
      <c r="DHI244" s="82"/>
      <c r="DHJ244" s="83"/>
      <c r="DHK244" s="82"/>
      <c r="DHL244" s="84"/>
      <c r="DHM244" s="84"/>
      <c r="DHN244" s="82"/>
      <c r="DHO244" s="83"/>
      <c r="DHP244" s="82"/>
      <c r="DHQ244" s="84"/>
      <c r="DHR244" s="84"/>
      <c r="DHS244" s="82"/>
      <c r="DHT244" s="83"/>
      <c r="DHU244" s="82"/>
      <c r="DHV244" s="84"/>
      <c r="DHW244" s="84"/>
      <c r="DHX244" s="82"/>
      <c r="DHY244" s="83"/>
      <c r="DHZ244" s="82"/>
      <c r="DIA244" s="84"/>
      <c r="DIB244" s="84"/>
      <c r="DIC244" s="82"/>
      <c r="DID244" s="83"/>
      <c r="DIE244" s="82"/>
      <c r="DIF244" s="84"/>
      <c r="DIG244" s="84"/>
      <c r="DIH244" s="82"/>
      <c r="DII244" s="83"/>
      <c r="DIJ244" s="82"/>
      <c r="DIK244" s="84"/>
      <c r="DIL244" s="84"/>
      <c r="DIM244" s="82"/>
      <c r="DIN244" s="83"/>
      <c r="DIO244" s="82"/>
      <c r="DIP244" s="84"/>
      <c r="DIQ244" s="84"/>
      <c r="DIR244" s="82"/>
      <c r="DIS244" s="83"/>
      <c r="DIT244" s="82"/>
      <c r="DIU244" s="84"/>
      <c r="DIV244" s="84"/>
      <c r="DIW244" s="82"/>
      <c r="DIX244" s="83"/>
      <c r="DIY244" s="82"/>
      <c r="DIZ244" s="84"/>
      <c r="DJA244" s="84"/>
      <c r="DJB244" s="82"/>
      <c r="DJC244" s="83"/>
      <c r="DJD244" s="82"/>
      <c r="DJE244" s="84"/>
      <c r="DJF244" s="84"/>
      <c r="DJG244" s="82"/>
      <c r="DJH244" s="83"/>
      <c r="DJI244" s="82"/>
      <c r="DJJ244" s="84"/>
      <c r="DJK244" s="84"/>
      <c r="DJL244" s="82"/>
      <c r="DJM244" s="83"/>
      <c r="DJN244" s="82"/>
      <c r="DJO244" s="84"/>
      <c r="DJP244" s="84"/>
      <c r="DJQ244" s="82"/>
      <c r="DJR244" s="83"/>
      <c r="DJS244" s="82"/>
      <c r="DJT244" s="84"/>
      <c r="DJU244" s="84"/>
      <c r="DJV244" s="82"/>
      <c r="DJW244" s="83"/>
      <c r="DJX244" s="82"/>
      <c r="DJY244" s="84"/>
      <c r="DJZ244" s="84"/>
      <c r="DKA244" s="82"/>
      <c r="DKB244" s="83"/>
      <c r="DKC244" s="82"/>
      <c r="DKD244" s="84"/>
      <c r="DKE244" s="84"/>
      <c r="DKF244" s="82"/>
      <c r="DKG244" s="83"/>
      <c r="DKH244" s="82"/>
      <c r="DKI244" s="84"/>
      <c r="DKJ244" s="84"/>
      <c r="DKK244" s="82"/>
      <c r="DKL244" s="83"/>
      <c r="DKM244" s="82"/>
      <c r="DKN244" s="84"/>
      <c r="DKO244" s="84"/>
      <c r="DKP244" s="82"/>
      <c r="DKQ244" s="83"/>
      <c r="DKR244" s="82"/>
      <c r="DKS244" s="84"/>
      <c r="DKT244" s="84"/>
      <c r="DKU244" s="82"/>
      <c r="DKV244" s="83"/>
      <c r="DKW244" s="82"/>
      <c r="DKX244" s="84"/>
      <c r="DKY244" s="84"/>
      <c r="DKZ244" s="82"/>
      <c r="DLA244" s="83"/>
      <c r="DLB244" s="82"/>
      <c r="DLC244" s="84"/>
      <c r="DLD244" s="84"/>
      <c r="DLE244" s="82"/>
      <c r="DLF244" s="83"/>
      <c r="DLG244" s="82"/>
      <c r="DLH244" s="84"/>
      <c r="DLI244" s="84"/>
      <c r="DLJ244" s="82"/>
      <c r="DLK244" s="83"/>
      <c r="DLL244" s="82"/>
      <c r="DLM244" s="84"/>
      <c r="DLN244" s="84"/>
      <c r="DLO244" s="82"/>
      <c r="DLP244" s="83"/>
      <c r="DLQ244" s="82"/>
      <c r="DLR244" s="84"/>
      <c r="DLS244" s="84"/>
      <c r="DLT244" s="82"/>
      <c r="DLU244" s="83"/>
      <c r="DLV244" s="82"/>
      <c r="DLW244" s="84"/>
      <c r="DLX244" s="84"/>
      <c r="DLY244" s="82"/>
      <c r="DLZ244" s="83"/>
      <c r="DMA244" s="82"/>
      <c r="DMB244" s="84"/>
      <c r="DMC244" s="84"/>
      <c r="DMD244" s="82"/>
      <c r="DME244" s="83"/>
      <c r="DMF244" s="82"/>
      <c r="DMG244" s="84"/>
      <c r="DMH244" s="84"/>
      <c r="DMI244" s="82"/>
      <c r="DMJ244" s="83"/>
      <c r="DMK244" s="82"/>
      <c r="DML244" s="84"/>
      <c r="DMM244" s="84"/>
      <c r="DMN244" s="82"/>
      <c r="DMO244" s="83"/>
      <c r="DMP244" s="82"/>
      <c r="DMQ244" s="84"/>
      <c r="DMR244" s="84"/>
      <c r="DMS244" s="82"/>
      <c r="DMT244" s="83"/>
      <c r="DMU244" s="82"/>
      <c r="DMV244" s="84"/>
      <c r="DMW244" s="84"/>
      <c r="DMX244" s="82"/>
      <c r="DMY244" s="83"/>
      <c r="DMZ244" s="82"/>
      <c r="DNA244" s="84"/>
      <c r="DNB244" s="84"/>
      <c r="DNC244" s="82"/>
      <c r="DND244" s="83"/>
      <c r="DNE244" s="82"/>
      <c r="DNF244" s="84"/>
      <c r="DNG244" s="84"/>
      <c r="DNH244" s="82"/>
      <c r="DNI244" s="83"/>
      <c r="DNJ244" s="82"/>
      <c r="DNK244" s="84"/>
      <c r="DNL244" s="84"/>
      <c r="DNM244" s="82"/>
      <c r="DNN244" s="83"/>
      <c r="DNO244" s="82"/>
      <c r="DNP244" s="84"/>
      <c r="DNQ244" s="84"/>
      <c r="DNR244" s="82"/>
      <c r="DNS244" s="83"/>
      <c r="DNT244" s="82"/>
      <c r="DNU244" s="84"/>
      <c r="DNV244" s="84"/>
      <c r="DNW244" s="82"/>
      <c r="DNX244" s="83"/>
      <c r="DNY244" s="82"/>
      <c r="DNZ244" s="84"/>
      <c r="DOA244" s="84"/>
      <c r="DOB244" s="82"/>
      <c r="DOC244" s="83"/>
      <c r="DOD244" s="82"/>
      <c r="DOE244" s="84"/>
      <c r="DOF244" s="84"/>
      <c r="DOG244" s="82"/>
      <c r="DOH244" s="83"/>
      <c r="DOI244" s="82"/>
      <c r="DOJ244" s="84"/>
      <c r="DOK244" s="84"/>
      <c r="DOL244" s="82"/>
      <c r="DOM244" s="83"/>
      <c r="DON244" s="82"/>
      <c r="DOO244" s="84"/>
      <c r="DOP244" s="84"/>
      <c r="DOQ244" s="82"/>
      <c r="DOR244" s="83"/>
      <c r="DOS244" s="82"/>
      <c r="DOT244" s="84"/>
      <c r="DOU244" s="84"/>
      <c r="DOV244" s="82"/>
      <c r="DOW244" s="83"/>
      <c r="DOX244" s="82"/>
      <c r="DOY244" s="84"/>
      <c r="DOZ244" s="84"/>
      <c r="DPA244" s="82"/>
      <c r="DPB244" s="83"/>
      <c r="DPC244" s="82"/>
      <c r="DPD244" s="84"/>
      <c r="DPE244" s="84"/>
      <c r="DPF244" s="82"/>
      <c r="DPG244" s="83"/>
      <c r="DPH244" s="82"/>
      <c r="DPI244" s="84"/>
      <c r="DPJ244" s="84"/>
      <c r="DPK244" s="82"/>
      <c r="DPL244" s="83"/>
      <c r="DPM244" s="82"/>
      <c r="DPN244" s="84"/>
      <c r="DPO244" s="84"/>
      <c r="DPP244" s="82"/>
      <c r="DPQ244" s="83"/>
      <c r="DPR244" s="82"/>
      <c r="DPS244" s="84"/>
      <c r="DPT244" s="84"/>
      <c r="DPU244" s="82"/>
      <c r="DPV244" s="83"/>
      <c r="DPW244" s="82"/>
      <c r="DPX244" s="84"/>
      <c r="DPY244" s="84"/>
      <c r="DPZ244" s="82"/>
      <c r="DQA244" s="83"/>
      <c r="DQB244" s="82"/>
      <c r="DQC244" s="84"/>
      <c r="DQD244" s="84"/>
      <c r="DQE244" s="82"/>
      <c r="DQF244" s="83"/>
      <c r="DQG244" s="82"/>
      <c r="DQH244" s="84"/>
      <c r="DQI244" s="84"/>
      <c r="DQJ244" s="82"/>
      <c r="DQK244" s="83"/>
      <c r="DQL244" s="82"/>
      <c r="DQM244" s="84"/>
      <c r="DQN244" s="84"/>
      <c r="DQO244" s="82"/>
      <c r="DQP244" s="83"/>
      <c r="DQQ244" s="82"/>
      <c r="DQR244" s="84"/>
      <c r="DQS244" s="84"/>
      <c r="DQT244" s="82"/>
      <c r="DQU244" s="83"/>
      <c r="DQV244" s="82"/>
      <c r="DQW244" s="84"/>
      <c r="DQX244" s="84"/>
      <c r="DQY244" s="82"/>
      <c r="DQZ244" s="83"/>
      <c r="DRA244" s="82"/>
      <c r="DRB244" s="84"/>
      <c r="DRC244" s="84"/>
      <c r="DRD244" s="82"/>
      <c r="DRE244" s="83"/>
      <c r="DRF244" s="82"/>
      <c r="DRG244" s="84"/>
      <c r="DRH244" s="84"/>
      <c r="DRI244" s="82"/>
      <c r="DRJ244" s="83"/>
      <c r="DRK244" s="82"/>
      <c r="DRL244" s="84"/>
      <c r="DRM244" s="84"/>
      <c r="DRN244" s="82"/>
      <c r="DRO244" s="83"/>
      <c r="DRP244" s="82"/>
      <c r="DRQ244" s="84"/>
      <c r="DRR244" s="84"/>
      <c r="DRS244" s="82"/>
      <c r="DRT244" s="83"/>
      <c r="DRU244" s="82"/>
      <c r="DRV244" s="84"/>
      <c r="DRW244" s="84"/>
      <c r="DRX244" s="82"/>
      <c r="DRY244" s="83"/>
      <c r="DRZ244" s="82"/>
      <c r="DSA244" s="84"/>
      <c r="DSB244" s="84"/>
      <c r="DSC244" s="82"/>
      <c r="DSD244" s="83"/>
      <c r="DSE244" s="82"/>
      <c r="DSF244" s="84"/>
      <c r="DSG244" s="84"/>
      <c r="DSH244" s="82"/>
      <c r="DSI244" s="83"/>
      <c r="DSJ244" s="82"/>
      <c r="DSK244" s="84"/>
      <c r="DSL244" s="84"/>
      <c r="DSM244" s="82"/>
      <c r="DSN244" s="83"/>
      <c r="DSO244" s="82"/>
      <c r="DSP244" s="84"/>
      <c r="DSQ244" s="84"/>
      <c r="DSR244" s="82"/>
      <c r="DSS244" s="83"/>
      <c r="DST244" s="82"/>
      <c r="DSU244" s="84"/>
      <c r="DSV244" s="84"/>
      <c r="DSW244" s="82"/>
      <c r="DSX244" s="83"/>
      <c r="DSY244" s="82"/>
      <c r="DSZ244" s="84"/>
      <c r="DTA244" s="84"/>
      <c r="DTB244" s="82"/>
      <c r="DTC244" s="83"/>
      <c r="DTD244" s="82"/>
      <c r="DTE244" s="84"/>
      <c r="DTF244" s="84"/>
      <c r="DTG244" s="82"/>
      <c r="DTH244" s="83"/>
      <c r="DTI244" s="82"/>
      <c r="DTJ244" s="84"/>
      <c r="DTK244" s="84"/>
      <c r="DTL244" s="82"/>
      <c r="DTM244" s="83"/>
      <c r="DTN244" s="82"/>
      <c r="DTO244" s="84"/>
      <c r="DTP244" s="84"/>
      <c r="DTQ244" s="82"/>
      <c r="DTR244" s="83"/>
      <c r="DTS244" s="82"/>
      <c r="DTT244" s="84"/>
      <c r="DTU244" s="84"/>
      <c r="DTV244" s="82"/>
      <c r="DTW244" s="83"/>
      <c r="DTX244" s="82"/>
      <c r="DTY244" s="84"/>
      <c r="DTZ244" s="84"/>
      <c r="DUA244" s="82"/>
      <c r="DUB244" s="83"/>
      <c r="DUC244" s="82"/>
      <c r="DUD244" s="84"/>
      <c r="DUE244" s="84"/>
      <c r="DUF244" s="82"/>
      <c r="DUG244" s="83"/>
      <c r="DUH244" s="82"/>
      <c r="DUI244" s="84"/>
      <c r="DUJ244" s="84"/>
      <c r="DUK244" s="82"/>
      <c r="DUL244" s="83"/>
      <c r="DUM244" s="82"/>
      <c r="DUN244" s="84"/>
      <c r="DUO244" s="84"/>
      <c r="DUP244" s="82"/>
      <c r="DUQ244" s="83"/>
      <c r="DUR244" s="82"/>
      <c r="DUS244" s="84"/>
      <c r="DUT244" s="84"/>
      <c r="DUU244" s="82"/>
      <c r="DUV244" s="83"/>
      <c r="DUW244" s="82"/>
      <c r="DUX244" s="84"/>
      <c r="DUY244" s="84"/>
      <c r="DUZ244" s="82"/>
      <c r="DVA244" s="83"/>
      <c r="DVB244" s="82"/>
      <c r="DVC244" s="84"/>
      <c r="DVD244" s="84"/>
      <c r="DVE244" s="82"/>
      <c r="DVF244" s="83"/>
      <c r="DVG244" s="82"/>
      <c r="DVH244" s="84"/>
      <c r="DVI244" s="84"/>
      <c r="DVJ244" s="82"/>
      <c r="DVK244" s="83"/>
      <c r="DVL244" s="82"/>
      <c r="DVM244" s="84"/>
      <c r="DVN244" s="84"/>
      <c r="DVO244" s="82"/>
      <c r="DVP244" s="83"/>
      <c r="DVQ244" s="82"/>
      <c r="DVR244" s="84"/>
      <c r="DVS244" s="84"/>
      <c r="DVT244" s="82"/>
      <c r="DVU244" s="83"/>
      <c r="DVV244" s="82"/>
      <c r="DVW244" s="84"/>
      <c r="DVX244" s="84"/>
      <c r="DVY244" s="82"/>
      <c r="DVZ244" s="83"/>
      <c r="DWA244" s="82"/>
      <c r="DWB244" s="84"/>
      <c r="DWC244" s="84"/>
      <c r="DWD244" s="82"/>
      <c r="DWE244" s="83"/>
      <c r="DWF244" s="82"/>
      <c r="DWG244" s="84"/>
      <c r="DWH244" s="84"/>
      <c r="DWI244" s="82"/>
      <c r="DWJ244" s="83"/>
      <c r="DWK244" s="82"/>
      <c r="DWL244" s="84"/>
      <c r="DWM244" s="84"/>
      <c r="DWN244" s="82"/>
      <c r="DWO244" s="83"/>
      <c r="DWP244" s="82"/>
      <c r="DWQ244" s="84"/>
      <c r="DWR244" s="84"/>
      <c r="DWS244" s="82"/>
      <c r="DWT244" s="83"/>
      <c r="DWU244" s="82"/>
      <c r="DWV244" s="84"/>
      <c r="DWW244" s="84"/>
      <c r="DWX244" s="82"/>
      <c r="DWY244" s="83"/>
      <c r="DWZ244" s="82"/>
      <c r="DXA244" s="84"/>
      <c r="DXB244" s="84"/>
      <c r="DXC244" s="82"/>
      <c r="DXD244" s="83"/>
      <c r="DXE244" s="82"/>
      <c r="DXF244" s="84"/>
      <c r="DXG244" s="84"/>
      <c r="DXH244" s="82"/>
      <c r="DXI244" s="83"/>
      <c r="DXJ244" s="82"/>
      <c r="DXK244" s="84"/>
      <c r="DXL244" s="84"/>
      <c r="DXM244" s="82"/>
      <c r="DXN244" s="83"/>
      <c r="DXO244" s="82"/>
      <c r="DXP244" s="84"/>
      <c r="DXQ244" s="84"/>
      <c r="DXR244" s="82"/>
      <c r="DXS244" s="83"/>
      <c r="DXT244" s="82"/>
      <c r="DXU244" s="84"/>
      <c r="DXV244" s="84"/>
      <c r="DXW244" s="82"/>
      <c r="DXX244" s="83"/>
      <c r="DXY244" s="82"/>
      <c r="DXZ244" s="84"/>
      <c r="DYA244" s="84"/>
      <c r="DYB244" s="82"/>
      <c r="DYC244" s="83"/>
      <c r="DYD244" s="82"/>
      <c r="DYE244" s="84"/>
      <c r="DYF244" s="84"/>
      <c r="DYG244" s="82"/>
      <c r="DYH244" s="83"/>
      <c r="DYI244" s="82"/>
      <c r="DYJ244" s="84"/>
      <c r="DYK244" s="84"/>
      <c r="DYL244" s="82"/>
      <c r="DYM244" s="83"/>
      <c r="DYN244" s="82"/>
      <c r="DYO244" s="84"/>
      <c r="DYP244" s="84"/>
      <c r="DYQ244" s="82"/>
      <c r="DYR244" s="83"/>
      <c r="DYS244" s="82"/>
      <c r="DYT244" s="84"/>
      <c r="DYU244" s="84"/>
      <c r="DYV244" s="82"/>
      <c r="DYW244" s="83"/>
      <c r="DYX244" s="82"/>
      <c r="DYY244" s="84"/>
      <c r="DYZ244" s="84"/>
      <c r="DZA244" s="82"/>
      <c r="DZB244" s="83"/>
      <c r="DZC244" s="82"/>
      <c r="DZD244" s="84"/>
      <c r="DZE244" s="84"/>
      <c r="DZF244" s="82"/>
      <c r="DZG244" s="83"/>
      <c r="DZH244" s="82"/>
      <c r="DZI244" s="84"/>
      <c r="DZJ244" s="84"/>
      <c r="DZK244" s="82"/>
      <c r="DZL244" s="83"/>
      <c r="DZM244" s="82"/>
      <c r="DZN244" s="84"/>
      <c r="DZO244" s="84"/>
      <c r="DZP244" s="82"/>
      <c r="DZQ244" s="83"/>
      <c r="DZR244" s="82"/>
      <c r="DZS244" s="84"/>
      <c r="DZT244" s="84"/>
      <c r="DZU244" s="82"/>
      <c r="DZV244" s="83"/>
      <c r="DZW244" s="82"/>
      <c r="DZX244" s="84"/>
      <c r="DZY244" s="84"/>
      <c r="DZZ244" s="82"/>
      <c r="EAA244" s="83"/>
      <c r="EAB244" s="82"/>
      <c r="EAC244" s="84"/>
      <c r="EAD244" s="84"/>
      <c r="EAE244" s="82"/>
      <c r="EAF244" s="83"/>
      <c r="EAG244" s="82"/>
      <c r="EAH244" s="84"/>
      <c r="EAI244" s="84"/>
      <c r="EAJ244" s="82"/>
      <c r="EAK244" s="83"/>
      <c r="EAL244" s="82"/>
      <c r="EAM244" s="84"/>
      <c r="EAN244" s="84"/>
      <c r="EAO244" s="82"/>
      <c r="EAP244" s="83"/>
      <c r="EAQ244" s="82"/>
      <c r="EAR244" s="84"/>
      <c r="EAS244" s="84"/>
      <c r="EAT244" s="82"/>
      <c r="EAU244" s="83"/>
      <c r="EAV244" s="82"/>
      <c r="EAW244" s="84"/>
      <c r="EAX244" s="84"/>
      <c r="EAY244" s="82"/>
      <c r="EAZ244" s="83"/>
      <c r="EBA244" s="82"/>
      <c r="EBB244" s="84"/>
      <c r="EBC244" s="84"/>
      <c r="EBD244" s="82"/>
      <c r="EBE244" s="83"/>
      <c r="EBF244" s="82"/>
      <c r="EBG244" s="84"/>
      <c r="EBH244" s="84"/>
      <c r="EBI244" s="82"/>
      <c r="EBJ244" s="83"/>
      <c r="EBK244" s="82"/>
      <c r="EBL244" s="84"/>
      <c r="EBM244" s="84"/>
      <c r="EBN244" s="82"/>
      <c r="EBO244" s="83"/>
      <c r="EBP244" s="82"/>
      <c r="EBQ244" s="84"/>
      <c r="EBR244" s="84"/>
      <c r="EBS244" s="82"/>
      <c r="EBT244" s="83"/>
      <c r="EBU244" s="82"/>
      <c r="EBV244" s="84"/>
      <c r="EBW244" s="84"/>
      <c r="EBX244" s="82"/>
      <c r="EBY244" s="83"/>
      <c r="EBZ244" s="82"/>
      <c r="ECA244" s="84"/>
      <c r="ECB244" s="84"/>
      <c r="ECC244" s="82"/>
      <c r="ECD244" s="83"/>
      <c r="ECE244" s="82"/>
      <c r="ECF244" s="84"/>
      <c r="ECG244" s="84"/>
      <c r="ECH244" s="82"/>
      <c r="ECI244" s="83"/>
      <c r="ECJ244" s="82"/>
      <c r="ECK244" s="84"/>
      <c r="ECL244" s="84"/>
      <c r="ECM244" s="82"/>
      <c r="ECN244" s="83"/>
      <c r="ECO244" s="82"/>
      <c r="ECP244" s="84"/>
      <c r="ECQ244" s="84"/>
      <c r="ECR244" s="82"/>
      <c r="ECS244" s="83"/>
      <c r="ECT244" s="82"/>
      <c r="ECU244" s="84"/>
      <c r="ECV244" s="84"/>
      <c r="ECW244" s="82"/>
      <c r="ECX244" s="83"/>
      <c r="ECY244" s="82"/>
      <c r="ECZ244" s="84"/>
      <c r="EDA244" s="84"/>
      <c r="EDB244" s="82"/>
      <c r="EDC244" s="83"/>
      <c r="EDD244" s="82"/>
      <c r="EDE244" s="84"/>
      <c r="EDF244" s="84"/>
      <c r="EDG244" s="82"/>
      <c r="EDH244" s="83"/>
      <c r="EDI244" s="82"/>
      <c r="EDJ244" s="84"/>
      <c r="EDK244" s="84"/>
      <c r="EDL244" s="82"/>
      <c r="EDM244" s="83"/>
      <c r="EDN244" s="82"/>
      <c r="EDO244" s="84"/>
      <c r="EDP244" s="84"/>
      <c r="EDQ244" s="82"/>
      <c r="EDR244" s="83"/>
      <c r="EDS244" s="82"/>
      <c r="EDT244" s="84"/>
      <c r="EDU244" s="84"/>
      <c r="EDV244" s="82"/>
      <c r="EDW244" s="83"/>
      <c r="EDX244" s="82"/>
      <c r="EDY244" s="84"/>
      <c r="EDZ244" s="84"/>
      <c r="EEA244" s="82"/>
      <c r="EEB244" s="83"/>
      <c r="EEC244" s="82"/>
      <c r="EED244" s="84"/>
      <c r="EEE244" s="84"/>
      <c r="EEF244" s="82"/>
      <c r="EEG244" s="83"/>
      <c r="EEH244" s="82"/>
      <c r="EEI244" s="84"/>
      <c r="EEJ244" s="84"/>
      <c r="EEK244" s="82"/>
      <c r="EEL244" s="83"/>
      <c r="EEM244" s="82"/>
      <c r="EEN244" s="84"/>
      <c r="EEO244" s="84"/>
      <c r="EEP244" s="82"/>
      <c r="EEQ244" s="83"/>
      <c r="EER244" s="82"/>
      <c r="EES244" s="84"/>
      <c r="EET244" s="84"/>
      <c r="EEU244" s="82"/>
      <c r="EEV244" s="83"/>
      <c r="EEW244" s="82"/>
      <c r="EEX244" s="84"/>
      <c r="EEY244" s="84"/>
      <c r="EEZ244" s="82"/>
      <c r="EFA244" s="83"/>
      <c r="EFB244" s="82"/>
      <c r="EFC244" s="84"/>
      <c r="EFD244" s="84"/>
      <c r="EFE244" s="82"/>
      <c r="EFF244" s="83"/>
      <c r="EFG244" s="82"/>
      <c r="EFH244" s="84"/>
      <c r="EFI244" s="84"/>
      <c r="EFJ244" s="82"/>
      <c r="EFK244" s="83"/>
      <c r="EFL244" s="82"/>
      <c r="EFM244" s="84"/>
      <c r="EFN244" s="84"/>
      <c r="EFO244" s="82"/>
      <c r="EFP244" s="83"/>
      <c r="EFQ244" s="82"/>
      <c r="EFR244" s="84"/>
      <c r="EFS244" s="84"/>
      <c r="EFT244" s="82"/>
      <c r="EFU244" s="83"/>
      <c r="EFV244" s="82"/>
      <c r="EFW244" s="84"/>
      <c r="EFX244" s="84"/>
      <c r="EFY244" s="82"/>
      <c r="EFZ244" s="83"/>
      <c r="EGA244" s="82"/>
      <c r="EGB244" s="84"/>
      <c r="EGC244" s="84"/>
      <c r="EGD244" s="82"/>
      <c r="EGE244" s="83"/>
      <c r="EGF244" s="82"/>
      <c r="EGG244" s="84"/>
      <c r="EGH244" s="84"/>
      <c r="EGI244" s="82"/>
      <c r="EGJ244" s="83"/>
      <c r="EGK244" s="82"/>
      <c r="EGL244" s="84"/>
      <c r="EGM244" s="84"/>
      <c r="EGN244" s="82"/>
      <c r="EGO244" s="83"/>
      <c r="EGP244" s="82"/>
      <c r="EGQ244" s="84"/>
      <c r="EGR244" s="84"/>
      <c r="EGS244" s="82"/>
      <c r="EGT244" s="83"/>
      <c r="EGU244" s="82"/>
      <c r="EGV244" s="84"/>
      <c r="EGW244" s="84"/>
      <c r="EGX244" s="82"/>
      <c r="EGY244" s="83"/>
      <c r="EGZ244" s="82"/>
      <c r="EHA244" s="84"/>
      <c r="EHB244" s="84"/>
      <c r="EHC244" s="82"/>
      <c r="EHD244" s="83"/>
      <c r="EHE244" s="82"/>
      <c r="EHF244" s="84"/>
      <c r="EHG244" s="84"/>
      <c r="EHH244" s="82"/>
      <c r="EHI244" s="83"/>
      <c r="EHJ244" s="82"/>
      <c r="EHK244" s="84"/>
      <c r="EHL244" s="84"/>
      <c r="EHM244" s="82"/>
      <c r="EHN244" s="83"/>
      <c r="EHO244" s="82"/>
      <c r="EHP244" s="84"/>
      <c r="EHQ244" s="84"/>
      <c r="EHR244" s="82"/>
      <c r="EHS244" s="83"/>
      <c r="EHT244" s="82"/>
      <c r="EHU244" s="84"/>
      <c r="EHV244" s="84"/>
      <c r="EHW244" s="82"/>
      <c r="EHX244" s="83"/>
      <c r="EHY244" s="82"/>
      <c r="EHZ244" s="84"/>
      <c r="EIA244" s="84"/>
      <c r="EIB244" s="82"/>
      <c r="EIC244" s="83"/>
      <c r="EID244" s="82"/>
      <c r="EIE244" s="84"/>
      <c r="EIF244" s="84"/>
      <c r="EIG244" s="82"/>
      <c r="EIH244" s="83"/>
      <c r="EII244" s="82"/>
      <c r="EIJ244" s="84"/>
      <c r="EIK244" s="84"/>
      <c r="EIL244" s="82"/>
      <c r="EIM244" s="83"/>
      <c r="EIN244" s="82"/>
      <c r="EIO244" s="84"/>
      <c r="EIP244" s="84"/>
      <c r="EIQ244" s="82"/>
      <c r="EIR244" s="83"/>
      <c r="EIS244" s="82"/>
      <c r="EIT244" s="84"/>
      <c r="EIU244" s="84"/>
      <c r="EIV244" s="82"/>
      <c r="EIW244" s="83"/>
      <c r="EIX244" s="82"/>
      <c r="EIY244" s="84"/>
      <c r="EIZ244" s="84"/>
      <c r="EJA244" s="82"/>
      <c r="EJB244" s="83"/>
      <c r="EJC244" s="82"/>
      <c r="EJD244" s="84"/>
      <c r="EJE244" s="84"/>
      <c r="EJF244" s="82"/>
      <c r="EJG244" s="83"/>
      <c r="EJH244" s="82"/>
      <c r="EJI244" s="84"/>
      <c r="EJJ244" s="84"/>
      <c r="EJK244" s="82"/>
      <c r="EJL244" s="83"/>
      <c r="EJM244" s="82"/>
      <c r="EJN244" s="84"/>
      <c r="EJO244" s="84"/>
      <c r="EJP244" s="82"/>
      <c r="EJQ244" s="83"/>
      <c r="EJR244" s="82"/>
      <c r="EJS244" s="84"/>
      <c r="EJT244" s="84"/>
      <c r="EJU244" s="82"/>
      <c r="EJV244" s="83"/>
      <c r="EJW244" s="82"/>
      <c r="EJX244" s="84"/>
      <c r="EJY244" s="84"/>
      <c r="EJZ244" s="82"/>
      <c r="EKA244" s="83"/>
      <c r="EKB244" s="82"/>
      <c r="EKC244" s="84"/>
      <c r="EKD244" s="84"/>
      <c r="EKE244" s="82"/>
      <c r="EKF244" s="83"/>
      <c r="EKG244" s="82"/>
      <c r="EKH244" s="84"/>
      <c r="EKI244" s="84"/>
      <c r="EKJ244" s="82"/>
      <c r="EKK244" s="83"/>
      <c r="EKL244" s="82"/>
      <c r="EKM244" s="84"/>
      <c r="EKN244" s="84"/>
      <c r="EKO244" s="82"/>
      <c r="EKP244" s="83"/>
      <c r="EKQ244" s="82"/>
      <c r="EKR244" s="84"/>
      <c r="EKS244" s="84"/>
      <c r="EKT244" s="82"/>
      <c r="EKU244" s="83"/>
      <c r="EKV244" s="82"/>
      <c r="EKW244" s="84"/>
      <c r="EKX244" s="84"/>
      <c r="EKY244" s="82"/>
      <c r="EKZ244" s="83"/>
      <c r="ELA244" s="82"/>
      <c r="ELB244" s="84"/>
      <c r="ELC244" s="84"/>
      <c r="ELD244" s="82"/>
      <c r="ELE244" s="83"/>
      <c r="ELF244" s="82"/>
      <c r="ELG244" s="84"/>
      <c r="ELH244" s="84"/>
      <c r="ELI244" s="82"/>
      <c r="ELJ244" s="83"/>
      <c r="ELK244" s="82"/>
      <c r="ELL244" s="84"/>
      <c r="ELM244" s="84"/>
      <c r="ELN244" s="82"/>
      <c r="ELO244" s="83"/>
      <c r="ELP244" s="82"/>
      <c r="ELQ244" s="84"/>
      <c r="ELR244" s="84"/>
      <c r="ELS244" s="82"/>
      <c r="ELT244" s="83"/>
      <c r="ELU244" s="82"/>
      <c r="ELV244" s="84"/>
      <c r="ELW244" s="84"/>
      <c r="ELX244" s="82"/>
      <c r="ELY244" s="83"/>
      <c r="ELZ244" s="82"/>
      <c r="EMA244" s="84"/>
      <c r="EMB244" s="84"/>
      <c r="EMC244" s="82"/>
      <c r="EMD244" s="83"/>
      <c r="EME244" s="82"/>
      <c r="EMF244" s="84"/>
      <c r="EMG244" s="84"/>
      <c r="EMH244" s="82"/>
      <c r="EMI244" s="83"/>
      <c r="EMJ244" s="82"/>
      <c r="EMK244" s="84"/>
      <c r="EML244" s="84"/>
      <c r="EMM244" s="82"/>
      <c r="EMN244" s="83"/>
      <c r="EMO244" s="82"/>
      <c r="EMP244" s="84"/>
      <c r="EMQ244" s="84"/>
      <c r="EMR244" s="82"/>
      <c r="EMS244" s="83"/>
      <c r="EMT244" s="82"/>
      <c r="EMU244" s="84"/>
      <c r="EMV244" s="84"/>
      <c r="EMW244" s="82"/>
      <c r="EMX244" s="83"/>
      <c r="EMY244" s="82"/>
      <c r="EMZ244" s="84"/>
      <c r="ENA244" s="84"/>
      <c r="ENB244" s="82"/>
      <c r="ENC244" s="83"/>
      <c r="END244" s="82"/>
      <c r="ENE244" s="84"/>
      <c r="ENF244" s="84"/>
      <c r="ENG244" s="82"/>
      <c r="ENH244" s="83"/>
      <c r="ENI244" s="82"/>
      <c r="ENJ244" s="84"/>
      <c r="ENK244" s="84"/>
      <c r="ENL244" s="82"/>
      <c r="ENM244" s="83"/>
      <c r="ENN244" s="82"/>
      <c r="ENO244" s="84"/>
      <c r="ENP244" s="84"/>
      <c r="ENQ244" s="82"/>
      <c r="ENR244" s="83"/>
      <c r="ENS244" s="82"/>
      <c r="ENT244" s="84"/>
      <c r="ENU244" s="84"/>
      <c r="ENV244" s="82"/>
      <c r="ENW244" s="83"/>
      <c r="ENX244" s="82"/>
      <c r="ENY244" s="84"/>
      <c r="ENZ244" s="84"/>
      <c r="EOA244" s="82"/>
      <c r="EOB244" s="83"/>
      <c r="EOC244" s="82"/>
      <c r="EOD244" s="84"/>
      <c r="EOE244" s="84"/>
      <c r="EOF244" s="82"/>
      <c r="EOG244" s="83"/>
      <c r="EOH244" s="82"/>
      <c r="EOI244" s="84"/>
      <c r="EOJ244" s="84"/>
      <c r="EOK244" s="82"/>
      <c r="EOL244" s="83"/>
      <c r="EOM244" s="82"/>
      <c r="EON244" s="84"/>
      <c r="EOO244" s="84"/>
      <c r="EOP244" s="82"/>
      <c r="EOQ244" s="83"/>
      <c r="EOR244" s="82"/>
      <c r="EOS244" s="84"/>
      <c r="EOT244" s="84"/>
      <c r="EOU244" s="82"/>
      <c r="EOV244" s="83"/>
      <c r="EOW244" s="82"/>
      <c r="EOX244" s="84"/>
      <c r="EOY244" s="84"/>
      <c r="EOZ244" s="82"/>
      <c r="EPA244" s="83"/>
      <c r="EPB244" s="82"/>
      <c r="EPC244" s="84"/>
      <c r="EPD244" s="84"/>
      <c r="EPE244" s="82"/>
      <c r="EPF244" s="83"/>
      <c r="EPG244" s="82"/>
      <c r="EPH244" s="84"/>
      <c r="EPI244" s="84"/>
      <c r="EPJ244" s="82"/>
      <c r="EPK244" s="83"/>
      <c r="EPL244" s="82"/>
      <c r="EPM244" s="84"/>
      <c r="EPN244" s="84"/>
      <c r="EPO244" s="82"/>
      <c r="EPP244" s="83"/>
      <c r="EPQ244" s="82"/>
      <c r="EPR244" s="84"/>
      <c r="EPS244" s="84"/>
      <c r="EPT244" s="82"/>
      <c r="EPU244" s="83"/>
      <c r="EPV244" s="82"/>
      <c r="EPW244" s="84"/>
      <c r="EPX244" s="84"/>
      <c r="EPY244" s="82"/>
      <c r="EPZ244" s="83"/>
      <c r="EQA244" s="82"/>
      <c r="EQB244" s="84"/>
      <c r="EQC244" s="84"/>
      <c r="EQD244" s="82"/>
      <c r="EQE244" s="83"/>
      <c r="EQF244" s="82"/>
      <c r="EQG244" s="84"/>
      <c r="EQH244" s="84"/>
      <c r="EQI244" s="82"/>
      <c r="EQJ244" s="83"/>
      <c r="EQK244" s="82"/>
      <c r="EQL244" s="84"/>
      <c r="EQM244" s="84"/>
      <c r="EQN244" s="82"/>
      <c r="EQO244" s="83"/>
      <c r="EQP244" s="82"/>
      <c r="EQQ244" s="84"/>
      <c r="EQR244" s="84"/>
      <c r="EQS244" s="82"/>
      <c r="EQT244" s="83"/>
      <c r="EQU244" s="82"/>
      <c r="EQV244" s="84"/>
      <c r="EQW244" s="84"/>
      <c r="EQX244" s="82"/>
      <c r="EQY244" s="83"/>
      <c r="EQZ244" s="82"/>
      <c r="ERA244" s="84"/>
      <c r="ERB244" s="84"/>
      <c r="ERC244" s="82"/>
      <c r="ERD244" s="83"/>
      <c r="ERE244" s="82"/>
      <c r="ERF244" s="84"/>
      <c r="ERG244" s="84"/>
      <c r="ERH244" s="82"/>
      <c r="ERI244" s="83"/>
      <c r="ERJ244" s="82"/>
      <c r="ERK244" s="84"/>
      <c r="ERL244" s="84"/>
      <c r="ERM244" s="82"/>
      <c r="ERN244" s="83"/>
      <c r="ERO244" s="82"/>
      <c r="ERP244" s="84"/>
      <c r="ERQ244" s="84"/>
      <c r="ERR244" s="82"/>
      <c r="ERS244" s="83"/>
      <c r="ERT244" s="82"/>
      <c r="ERU244" s="84"/>
      <c r="ERV244" s="84"/>
      <c r="ERW244" s="82"/>
      <c r="ERX244" s="83"/>
      <c r="ERY244" s="82"/>
      <c r="ERZ244" s="84"/>
      <c r="ESA244" s="84"/>
      <c r="ESB244" s="82"/>
      <c r="ESC244" s="83"/>
      <c r="ESD244" s="82"/>
      <c r="ESE244" s="84"/>
      <c r="ESF244" s="84"/>
      <c r="ESG244" s="82"/>
      <c r="ESH244" s="83"/>
      <c r="ESI244" s="82"/>
      <c r="ESJ244" s="84"/>
      <c r="ESK244" s="84"/>
      <c r="ESL244" s="82"/>
      <c r="ESM244" s="83"/>
      <c r="ESN244" s="82"/>
      <c r="ESO244" s="84"/>
      <c r="ESP244" s="84"/>
      <c r="ESQ244" s="82"/>
      <c r="ESR244" s="83"/>
      <c r="ESS244" s="82"/>
      <c r="EST244" s="84"/>
      <c r="ESU244" s="84"/>
      <c r="ESV244" s="82"/>
      <c r="ESW244" s="83"/>
      <c r="ESX244" s="82"/>
      <c r="ESY244" s="84"/>
      <c r="ESZ244" s="84"/>
      <c r="ETA244" s="82"/>
      <c r="ETB244" s="83"/>
      <c r="ETC244" s="82"/>
      <c r="ETD244" s="84"/>
      <c r="ETE244" s="84"/>
      <c r="ETF244" s="82"/>
      <c r="ETG244" s="83"/>
      <c r="ETH244" s="82"/>
      <c r="ETI244" s="84"/>
      <c r="ETJ244" s="84"/>
      <c r="ETK244" s="82"/>
      <c r="ETL244" s="83"/>
      <c r="ETM244" s="82"/>
      <c r="ETN244" s="84"/>
      <c r="ETO244" s="84"/>
      <c r="ETP244" s="82"/>
      <c r="ETQ244" s="83"/>
      <c r="ETR244" s="82"/>
      <c r="ETS244" s="84"/>
      <c r="ETT244" s="84"/>
      <c r="ETU244" s="82"/>
      <c r="ETV244" s="83"/>
      <c r="ETW244" s="82"/>
      <c r="ETX244" s="84"/>
      <c r="ETY244" s="84"/>
      <c r="ETZ244" s="82"/>
      <c r="EUA244" s="83"/>
      <c r="EUB244" s="82"/>
      <c r="EUC244" s="84"/>
      <c r="EUD244" s="84"/>
      <c r="EUE244" s="82"/>
      <c r="EUF244" s="83"/>
      <c r="EUG244" s="82"/>
      <c r="EUH244" s="84"/>
      <c r="EUI244" s="84"/>
      <c r="EUJ244" s="82"/>
      <c r="EUK244" s="83"/>
      <c r="EUL244" s="82"/>
      <c r="EUM244" s="84"/>
      <c r="EUN244" s="84"/>
      <c r="EUO244" s="82"/>
      <c r="EUP244" s="83"/>
      <c r="EUQ244" s="82"/>
      <c r="EUR244" s="84"/>
      <c r="EUS244" s="84"/>
      <c r="EUT244" s="82"/>
      <c r="EUU244" s="83"/>
      <c r="EUV244" s="82"/>
      <c r="EUW244" s="84"/>
      <c r="EUX244" s="84"/>
      <c r="EUY244" s="82"/>
      <c r="EUZ244" s="83"/>
      <c r="EVA244" s="82"/>
      <c r="EVB244" s="84"/>
      <c r="EVC244" s="84"/>
      <c r="EVD244" s="82"/>
      <c r="EVE244" s="83"/>
      <c r="EVF244" s="82"/>
      <c r="EVG244" s="84"/>
      <c r="EVH244" s="84"/>
      <c r="EVI244" s="82"/>
      <c r="EVJ244" s="83"/>
      <c r="EVK244" s="82"/>
      <c r="EVL244" s="84"/>
      <c r="EVM244" s="84"/>
      <c r="EVN244" s="82"/>
      <c r="EVO244" s="83"/>
      <c r="EVP244" s="82"/>
      <c r="EVQ244" s="84"/>
      <c r="EVR244" s="84"/>
      <c r="EVS244" s="82"/>
      <c r="EVT244" s="83"/>
      <c r="EVU244" s="82"/>
      <c r="EVV244" s="84"/>
      <c r="EVW244" s="84"/>
      <c r="EVX244" s="82"/>
      <c r="EVY244" s="83"/>
      <c r="EVZ244" s="82"/>
      <c r="EWA244" s="84"/>
      <c r="EWB244" s="84"/>
      <c r="EWC244" s="82"/>
      <c r="EWD244" s="83"/>
      <c r="EWE244" s="82"/>
      <c r="EWF244" s="84"/>
      <c r="EWG244" s="84"/>
      <c r="EWH244" s="82"/>
      <c r="EWI244" s="83"/>
      <c r="EWJ244" s="82"/>
      <c r="EWK244" s="84"/>
      <c r="EWL244" s="84"/>
      <c r="EWM244" s="82"/>
      <c r="EWN244" s="83"/>
      <c r="EWO244" s="82"/>
      <c r="EWP244" s="84"/>
      <c r="EWQ244" s="84"/>
      <c r="EWR244" s="82"/>
      <c r="EWS244" s="83"/>
      <c r="EWT244" s="82"/>
      <c r="EWU244" s="84"/>
      <c r="EWV244" s="84"/>
      <c r="EWW244" s="82"/>
      <c r="EWX244" s="83"/>
      <c r="EWY244" s="82"/>
      <c r="EWZ244" s="84"/>
      <c r="EXA244" s="84"/>
      <c r="EXB244" s="82"/>
      <c r="EXC244" s="83"/>
      <c r="EXD244" s="82"/>
      <c r="EXE244" s="84"/>
      <c r="EXF244" s="84"/>
      <c r="EXG244" s="82"/>
      <c r="EXH244" s="83"/>
      <c r="EXI244" s="82"/>
      <c r="EXJ244" s="84"/>
      <c r="EXK244" s="84"/>
      <c r="EXL244" s="82"/>
      <c r="EXM244" s="83"/>
      <c r="EXN244" s="82"/>
      <c r="EXO244" s="84"/>
      <c r="EXP244" s="84"/>
      <c r="EXQ244" s="82"/>
      <c r="EXR244" s="83"/>
      <c r="EXS244" s="82"/>
      <c r="EXT244" s="84"/>
      <c r="EXU244" s="84"/>
      <c r="EXV244" s="82"/>
      <c r="EXW244" s="83"/>
      <c r="EXX244" s="82"/>
      <c r="EXY244" s="84"/>
      <c r="EXZ244" s="84"/>
      <c r="EYA244" s="82"/>
      <c r="EYB244" s="83"/>
      <c r="EYC244" s="82"/>
      <c r="EYD244" s="84"/>
      <c r="EYE244" s="84"/>
      <c r="EYF244" s="82"/>
      <c r="EYG244" s="83"/>
      <c r="EYH244" s="82"/>
      <c r="EYI244" s="84"/>
      <c r="EYJ244" s="84"/>
      <c r="EYK244" s="82"/>
      <c r="EYL244" s="83"/>
      <c r="EYM244" s="82"/>
      <c r="EYN244" s="84"/>
      <c r="EYO244" s="84"/>
      <c r="EYP244" s="82"/>
      <c r="EYQ244" s="83"/>
      <c r="EYR244" s="82"/>
      <c r="EYS244" s="84"/>
      <c r="EYT244" s="84"/>
      <c r="EYU244" s="82"/>
      <c r="EYV244" s="83"/>
      <c r="EYW244" s="82"/>
      <c r="EYX244" s="84"/>
      <c r="EYY244" s="84"/>
      <c r="EYZ244" s="82"/>
      <c r="EZA244" s="83"/>
      <c r="EZB244" s="82"/>
      <c r="EZC244" s="84"/>
      <c r="EZD244" s="84"/>
      <c r="EZE244" s="82"/>
      <c r="EZF244" s="83"/>
      <c r="EZG244" s="82"/>
      <c r="EZH244" s="84"/>
      <c r="EZI244" s="84"/>
      <c r="EZJ244" s="82"/>
      <c r="EZK244" s="83"/>
      <c r="EZL244" s="82"/>
      <c r="EZM244" s="84"/>
      <c r="EZN244" s="84"/>
      <c r="EZO244" s="82"/>
      <c r="EZP244" s="83"/>
      <c r="EZQ244" s="82"/>
      <c r="EZR244" s="84"/>
      <c r="EZS244" s="84"/>
      <c r="EZT244" s="82"/>
      <c r="EZU244" s="83"/>
      <c r="EZV244" s="82"/>
      <c r="EZW244" s="84"/>
      <c r="EZX244" s="84"/>
      <c r="EZY244" s="82"/>
      <c r="EZZ244" s="83"/>
      <c r="FAA244" s="82"/>
      <c r="FAB244" s="84"/>
      <c r="FAC244" s="84"/>
      <c r="FAD244" s="82"/>
      <c r="FAE244" s="83"/>
      <c r="FAF244" s="82"/>
      <c r="FAG244" s="84"/>
      <c r="FAH244" s="84"/>
      <c r="FAI244" s="82"/>
      <c r="FAJ244" s="83"/>
      <c r="FAK244" s="82"/>
      <c r="FAL244" s="84"/>
      <c r="FAM244" s="84"/>
      <c r="FAN244" s="82"/>
      <c r="FAO244" s="83"/>
      <c r="FAP244" s="82"/>
      <c r="FAQ244" s="84"/>
      <c r="FAR244" s="84"/>
      <c r="FAS244" s="82"/>
      <c r="FAT244" s="83"/>
      <c r="FAU244" s="82"/>
      <c r="FAV244" s="84"/>
      <c r="FAW244" s="84"/>
      <c r="FAX244" s="82"/>
      <c r="FAY244" s="83"/>
      <c r="FAZ244" s="82"/>
      <c r="FBA244" s="84"/>
      <c r="FBB244" s="84"/>
      <c r="FBC244" s="82"/>
      <c r="FBD244" s="83"/>
      <c r="FBE244" s="82"/>
      <c r="FBF244" s="84"/>
      <c r="FBG244" s="84"/>
      <c r="FBH244" s="82"/>
      <c r="FBI244" s="83"/>
      <c r="FBJ244" s="82"/>
      <c r="FBK244" s="84"/>
      <c r="FBL244" s="84"/>
      <c r="FBM244" s="82"/>
      <c r="FBN244" s="83"/>
      <c r="FBO244" s="82"/>
      <c r="FBP244" s="84"/>
      <c r="FBQ244" s="84"/>
      <c r="FBR244" s="82"/>
      <c r="FBS244" s="83"/>
      <c r="FBT244" s="82"/>
      <c r="FBU244" s="84"/>
      <c r="FBV244" s="84"/>
      <c r="FBW244" s="82"/>
      <c r="FBX244" s="83"/>
      <c r="FBY244" s="82"/>
      <c r="FBZ244" s="84"/>
      <c r="FCA244" s="84"/>
      <c r="FCB244" s="82"/>
      <c r="FCC244" s="83"/>
      <c r="FCD244" s="82"/>
      <c r="FCE244" s="84"/>
      <c r="FCF244" s="84"/>
      <c r="FCG244" s="82"/>
      <c r="FCH244" s="83"/>
      <c r="FCI244" s="82"/>
      <c r="FCJ244" s="84"/>
      <c r="FCK244" s="84"/>
      <c r="FCL244" s="82"/>
      <c r="FCM244" s="83"/>
      <c r="FCN244" s="82"/>
      <c r="FCO244" s="84"/>
      <c r="FCP244" s="84"/>
      <c r="FCQ244" s="82"/>
      <c r="FCR244" s="83"/>
      <c r="FCS244" s="82"/>
      <c r="FCT244" s="84"/>
      <c r="FCU244" s="84"/>
      <c r="FCV244" s="82"/>
      <c r="FCW244" s="83"/>
      <c r="FCX244" s="82"/>
      <c r="FCY244" s="84"/>
      <c r="FCZ244" s="84"/>
      <c r="FDA244" s="82"/>
      <c r="FDB244" s="83"/>
      <c r="FDC244" s="82"/>
      <c r="FDD244" s="84"/>
      <c r="FDE244" s="84"/>
      <c r="FDF244" s="82"/>
      <c r="FDG244" s="83"/>
      <c r="FDH244" s="82"/>
      <c r="FDI244" s="84"/>
      <c r="FDJ244" s="84"/>
      <c r="FDK244" s="82"/>
      <c r="FDL244" s="83"/>
      <c r="FDM244" s="82"/>
      <c r="FDN244" s="84"/>
      <c r="FDO244" s="84"/>
      <c r="FDP244" s="82"/>
      <c r="FDQ244" s="83"/>
      <c r="FDR244" s="82"/>
      <c r="FDS244" s="84"/>
      <c r="FDT244" s="84"/>
      <c r="FDU244" s="82"/>
      <c r="FDV244" s="83"/>
      <c r="FDW244" s="82"/>
      <c r="FDX244" s="84"/>
      <c r="FDY244" s="84"/>
      <c r="FDZ244" s="82"/>
      <c r="FEA244" s="83"/>
      <c r="FEB244" s="82"/>
      <c r="FEC244" s="84"/>
      <c r="FED244" s="84"/>
      <c r="FEE244" s="82"/>
      <c r="FEF244" s="83"/>
      <c r="FEG244" s="82"/>
      <c r="FEH244" s="84"/>
      <c r="FEI244" s="84"/>
      <c r="FEJ244" s="82"/>
      <c r="FEK244" s="83"/>
      <c r="FEL244" s="82"/>
      <c r="FEM244" s="84"/>
      <c r="FEN244" s="84"/>
      <c r="FEO244" s="82"/>
      <c r="FEP244" s="83"/>
      <c r="FEQ244" s="82"/>
      <c r="FER244" s="84"/>
      <c r="FES244" s="84"/>
      <c r="FET244" s="82"/>
      <c r="FEU244" s="83"/>
      <c r="FEV244" s="82"/>
      <c r="FEW244" s="84"/>
      <c r="FEX244" s="84"/>
      <c r="FEY244" s="82"/>
      <c r="FEZ244" s="83"/>
      <c r="FFA244" s="82"/>
      <c r="FFB244" s="84"/>
      <c r="FFC244" s="84"/>
      <c r="FFD244" s="82"/>
      <c r="FFE244" s="83"/>
      <c r="FFF244" s="82"/>
      <c r="FFG244" s="84"/>
      <c r="FFH244" s="84"/>
      <c r="FFI244" s="82"/>
      <c r="FFJ244" s="83"/>
      <c r="FFK244" s="82"/>
      <c r="FFL244" s="84"/>
      <c r="FFM244" s="84"/>
      <c r="FFN244" s="82"/>
      <c r="FFO244" s="83"/>
      <c r="FFP244" s="82"/>
      <c r="FFQ244" s="84"/>
      <c r="FFR244" s="84"/>
      <c r="FFS244" s="82"/>
      <c r="FFT244" s="83"/>
      <c r="FFU244" s="82"/>
      <c r="FFV244" s="84"/>
      <c r="FFW244" s="84"/>
      <c r="FFX244" s="82"/>
      <c r="FFY244" s="83"/>
      <c r="FFZ244" s="82"/>
      <c r="FGA244" s="84"/>
      <c r="FGB244" s="84"/>
      <c r="FGC244" s="82"/>
      <c r="FGD244" s="83"/>
      <c r="FGE244" s="82"/>
      <c r="FGF244" s="84"/>
      <c r="FGG244" s="84"/>
      <c r="FGH244" s="82"/>
      <c r="FGI244" s="83"/>
      <c r="FGJ244" s="82"/>
      <c r="FGK244" s="84"/>
      <c r="FGL244" s="84"/>
      <c r="FGM244" s="82"/>
      <c r="FGN244" s="83"/>
      <c r="FGO244" s="82"/>
      <c r="FGP244" s="84"/>
      <c r="FGQ244" s="84"/>
      <c r="FGR244" s="82"/>
      <c r="FGS244" s="83"/>
      <c r="FGT244" s="82"/>
      <c r="FGU244" s="84"/>
      <c r="FGV244" s="84"/>
      <c r="FGW244" s="82"/>
      <c r="FGX244" s="83"/>
      <c r="FGY244" s="82"/>
      <c r="FGZ244" s="84"/>
      <c r="FHA244" s="84"/>
      <c r="FHB244" s="82"/>
      <c r="FHC244" s="83"/>
      <c r="FHD244" s="82"/>
      <c r="FHE244" s="84"/>
      <c r="FHF244" s="84"/>
      <c r="FHG244" s="82"/>
      <c r="FHH244" s="83"/>
      <c r="FHI244" s="82"/>
      <c r="FHJ244" s="84"/>
      <c r="FHK244" s="84"/>
      <c r="FHL244" s="82"/>
      <c r="FHM244" s="83"/>
      <c r="FHN244" s="82"/>
      <c r="FHO244" s="84"/>
      <c r="FHP244" s="84"/>
      <c r="FHQ244" s="82"/>
      <c r="FHR244" s="83"/>
      <c r="FHS244" s="82"/>
      <c r="FHT244" s="84"/>
      <c r="FHU244" s="84"/>
      <c r="FHV244" s="82"/>
      <c r="FHW244" s="83"/>
      <c r="FHX244" s="82"/>
      <c r="FHY244" s="84"/>
      <c r="FHZ244" s="84"/>
      <c r="FIA244" s="82"/>
      <c r="FIB244" s="83"/>
      <c r="FIC244" s="82"/>
      <c r="FID244" s="84"/>
      <c r="FIE244" s="84"/>
      <c r="FIF244" s="82"/>
      <c r="FIG244" s="83"/>
      <c r="FIH244" s="82"/>
      <c r="FII244" s="84"/>
      <c r="FIJ244" s="84"/>
      <c r="FIK244" s="82"/>
      <c r="FIL244" s="83"/>
      <c r="FIM244" s="82"/>
      <c r="FIN244" s="84"/>
      <c r="FIO244" s="84"/>
      <c r="FIP244" s="82"/>
      <c r="FIQ244" s="83"/>
      <c r="FIR244" s="82"/>
      <c r="FIS244" s="84"/>
      <c r="FIT244" s="84"/>
      <c r="FIU244" s="82"/>
      <c r="FIV244" s="83"/>
      <c r="FIW244" s="82"/>
      <c r="FIX244" s="84"/>
      <c r="FIY244" s="84"/>
      <c r="FIZ244" s="82"/>
      <c r="FJA244" s="83"/>
      <c r="FJB244" s="82"/>
      <c r="FJC244" s="84"/>
      <c r="FJD244" s="84"/>
      <c r="FJE244" s="82"/>
      <c r="FJF244" s="83"/>
      <c r="FJG244" s="82"/>
      <c r="FJH244" s="84"/>
      <c r="FJI244" s="84"/>
      <c r="FJJ244" s="82"/>
      <c r="FJK244" s="83"/>
      <c r="FJL244" s="82"/>
      <c r="FJM244" s="84"/>
      <c r="FJN244" s="84"/>
      <c r="FJO244" s="82"/>
      <c r="FJP244" s="83"/>
      <c r="FJQ244" s="82"/>
      <c r="FJR244" s="84"/>
      <c r="FJS244" s="84"/>
      <c r="FJT244" s="82"/>
      <c r="FJU244" s="83"/>
      <c r="FJV244" s="82"/>
      <c r="FJW244" s="84"/>
      <c r="FJX244" s="84"/>
      <c r="FJY244" s="82"/>
      <c r="FJZ244" s="83"/>
      <c r="FKA244" s="82"/>
      <c r="FKB244" s="84"/>
      <c r="FKC244" s="84"/>
      <c r="FKD244" s="82"/>
      <c r="FKE244" s="83"/>
      <c r="FKF244" s="82"/>
      <c r="FKG244" s="84"/>
      <c r="FKH244" s="84"/>
      <c r="FKI244" s="82"/>
      <c r="FKJ244" s="83"/>
      <c r="FKK244" s="82"/>
      <c r="FKL244" s="84"/>
      <c r="FKM244" s="84"/>
      <c r="FKN244" s="82"/>
      <c r="FKO244" s="83"/>
      <c r="FKP244" s="82"/>
      <c r="FKQ244" s="84"/>
      <c r="FKR244" s="84"/>
      <c r="FKS244" s="82"/>
      <c r="FKT244" s="83"/>
      <c r="FKU244" s="82"/>
      <c r="FKV244" s="84"/>
      <c r="FKW244" s="84"/>
      <c r="FKX244" s="82"/>
      <c r="FKY244" s="83"/>
      <c r="FKZ244" s="82"/>
      <c r="FLA244" s="84"/>
      <c r="FLB244" s="84"/>
      <c r="FLC244" s="82"/>
      <c r="FLD244" s="83"/>
      <c r="FLE244" s="82"/>
      <c r="FLF244" s="84"/>
      <c r="FLG244" s="84"/>
      <c r="FLH244" s="82"/>
      <c r="FLI244" s="83"/>
      <c r="FLJ244" s="82"/>
      <c r="FLK244" s="84"/>
      <c r="FLL244" s="84"/>
      <c r="FLM244" s="82"/>
      <c r="FLN244" s="83"/>
      <c r="FLO244" s="82"/>
      <c r="FLP244" s="84"/>
      <c r="FLQ244" s="84"/>
      <c r="FLR244" s="82"/>
      <c r="FLS244" s="83"/>
      <c r="FLT244" s="82"/>
      <c r="FLU244" s="84"/>
      <c r="FLV244" s="84"/>
      <c r="FLW244" s="82"/>
      <c r="FLX244" s="83"/>
      <c r="FLY244" s="82"/>
      <c r="FLZ244" s="84"/>
      <c r="FMA244" s="84"/>
      <c r="FMB244" s="82"/>
      <c r="FMC244" s="83"/>
      <c r="FMD244" s="82"/>
      <c r="FME244" s="84"/>
      <c r="FMF244" s="84"/>
      <c r="FMG244" s="82"/>
      <c r="FMH244" s="83"/>
      <c r="FMI244" s="82"/>
      <c r="FMJ244" s="84"/>
      <c r="FMK244" s="84"/>
      <c r="FML244" s="82"/>
      <c r="FMM244" s="83"/>
      <c r="FMN244" s="82"/>
      <c r="FMO244" s="84"/>
      <c r="FMP244" s="84"/>
      <c r="FMQ244" s="82"/>
      <c r="FMR244" s="83"/>
      <c r="FMS244" s="82"/>
      <c r="FMT244" s="84"/>
      <c r="FMU244" s="84"/>
      <c r="FMV244" s="82"/>
      <c r="FMW244" s="83"/>
      <c r="FMX244" s="82"/>
      <c r="FMY244" s="84"/>
      <c r="FMZ244" s="84"/>
      <c r="FNA244" s="82"/>
      <c r="FNB244" s="83"/>
      <c r="FNC244" s="82"/>
      <c r="FND244" s="84"/>
      <c r="FNE244" s="84"/>
      <c r="FNF244" s="82"/>
      <c r="FNG244" s="83"/>
      <c r="FNH244" s="82"/>
      <c r="FNI244" s="84"/>
      <c r="FNJ244" s="84"/>
      <c r="FNK244" s="82"/>
      <c r="FNL244" s="83"/>
      <c r="FNM244" s="82"/>
      <c r="FNN244" s="84"/>
      <c r="FNO244" s="84"/>
      <c r="FNP244" s="82"/>
      <c r="FNQ244" s="83"/>
      <c r="FNR244" s="82"/>
      <c r="FNS244" s="84"/>
      <c r="FNT244" s="84"/>
      <c r="FNU244" s="82"/>
      <c r="FNV244" s="83"/>
      <c r="FNW244" s="82"/>
      <c r="FNX244" s="84"/>
      <c r="FNY244" s="84"/>
      <c r="FNZ244" s="82"/>
      <c r="FOA244" s="83"/>
      <c r="FOB244" s="82"/>
      <c r="FOC244" s="84"/>
      <c r="FOD244" s="84"/>
      <c r="FOE244" s="82"/>
      <c r="FOF244" s="83"/>
      <c r="FOG244" s="82"/>
      <c r="FOH244" s="84"/>
      <c r="FOI244" s="84"/>
      <c r="FOJ244" s="82"/>
      <c r="FOK244" s="83"/>
      <c r="FOL244" s="82"/>
      <c r="FOM244" s="84"/>
      <c r="FON244" s="84"/>
      <c r="FOO244" s="82"/>
      <c r="FOP244" s="83"/>
      <c r="FOQ244" s="82"/>
      <c r="FOR244" s="84"/>
      <c r="FOS244" s="84"/>
      <c r="FOT244" s="82"/>
      <c r="FOU244" s="83"/>
      <c r="FOV244" s="82"/>
      <c r="FOW244" s="84"/>
      <c r="FOX244" s="84"/>
      <c r="FOY244" s="82"/>
      <c r="FOZ244" s="83"/>
      <c r="FPA244" s="82"/>
      <c r="FPB244" s="84"/>
      <c r="FPC244" s="84"/>
      <c r="FPD244" s="82"/>
      <c r="FPE244" s="83"/>
      <c r="FPF244" s="82"/>
      <c r="FPG244" s="84"/>
      <c r="FPH244" s="84"/>
      <c r="FPI244" s="82"/>
      <c r="FPJ244" s="83"/>
      <c r="FPK244" s="82"/>
      <c r="FPL244" s="84"/>
      <c r="FPM244" s="84"/>
      <c r="FPN244" s="82"/>
      <c r="FPO244" s="83"/>
      <c r="FPP244" s="82"/>
      <c r="FPQ244" s="84"/>
      <c r="FPR244" s="84"/>
      <c r="FPS244" s="82"/>
      <c r="FPT244" s="83"/>
      <c r="FPU244" s="82"/>
      <c r="FPV244" s="84"/>
      <c r="FPW244" s="84"/>
      <c r="FPX244" s="82"/>
      <c r="FPY244" s="83"/>
      <c r="FPZ244" s="82"/>
      <c r="FQA244" s="84"/>
      <c r="FQB244" s="84"/>
      <c r="FQC244" s="82"/>
      <c r="FQD244" s="83"/>
      <c r="FQE244" s="82"/>
      <c r="FQF244" s="84"/>
      <c r="FQG244" s="84"/>
      <c r="FQH244" s="82"/>
      <c r="FQI244" s="83"/>
      <c r="FQJ244" s="82"/>
      <c r="FQK244" s="84"/>
      <c r="FQL244" s="84"/>
      <c r="FQM244" s="82"/>
      <c r="FQN244" s="83"/>
      <c r="FQO244" s="82"/>
      <c r="FQP244" s="84"/>
      <c r="FQQ244" s="84"/>
      <c r="FQR244" s="82"/>
      <c r="FQS244" s="83"/>
      <c r="FQT244" s="82"/>
      <c r="FQU244" s="84"/>
      <c r="FQV244" s="84"/>
      <c r="FQW244" s="82"/>
      <c r="FQX244" s="83"/>
      <c r="FQY244" s="82"/>
      <c r="FQZ244" s="84"/>
      <c r="FRA244" s="84"/>
      <c r="FRB244" s="82"/>
      <c r="FRC244" s="83"/>
      <c r="FRD244" s="82"/>
      <c r="FRE244" s="84"/>
      <c r="FRF244" s="84"/>
      <c r="FRG244" s="82"/>
      <c r="FRH244" s="83"/>
      <c r="FRI244" s="82"/>
      <c r="FRJ244" s="84"/>
      <c r="FRK244" s="84"/>
      <c r="FRL244" s="82"/>
      <c r="FRM244" s="83"/>
      <c r="FRN244" s="82"/>
      <c r="FRO244" s="84"/>
      <c r="FRP244" s="84"/>
      <c r="FRQ244" s="82"/>
      <c r="FRR244" s="83"/>
      <c r="FRS244" s="82"/>
      <c r="FRT244" s="84"/>
      <c r="FRU244" s="84"/>
      <c r="FRV244" s="82"/>
      <c r="FRW244" s="83"/>
      <c r="FRX244" s="82"/>
      <c r="FRY244" s="84"/>
      <c r="FRZ244" s="84"/>
      <c r="FSA244" s="82"/>
      <c r="FSB244" s="83"/>
      <c r="FSC244" s="82"/>
      <c r="FSD244" s="84"/>
      <c r="FSE244" s="84"/>
      <c r="FSF244" s="82"/>
      <c r="FSG244" s="83"/>
      <c r="FSH244" s="82"/>
      <c r="FSI244" s="84"/>
      <c r="FSJ244" s="84"/>
      <c r="FSK244" s="82"/>
      <c r="FSL244" s="83"/>
      <c r="FSM244" s="82"/>
      <c r="FSN244" s="84"/>
      <c r="FSO244" s="84"/>
      <c r="FSP244" s="82"/>
      <c r="FSQ244" s="83"/>
      <c r="FSR244" s="82"/>
      <c r="FSS244" s="84"/>
      <c r="FST244" s="84"/>
      <c r="FSU244" s="82"/>
      <c r="FSV244" s="83"/>
      <c r="FSW244" s="82"/>
      <c r="FSX244" s="84"/>
      <c r="FSY244" s="84"/>
      <c r="FSZ244" s="82"/>
      <c r="FTA244" s="83"/>
      <c r="FTB244" s="82"/>
      <c r="FTC244" s="84"/>
      <c r="FTD244" s="84"/>
      <c r="FTE244" s="82"/>
      <c r="FTF244" s="83"/>
      <c r="FTG244" s="82"/>
      <c r="FTH244" s="84"/>
      <c r="FTI244" s="84"/>
      <c r="FTJ244" s="82"/>
      <c r="FTK244" s="83"/>
      <c r="FTL244" s="82"/>
      <c r="FTM244" s="84"/>
      <c r="FTN244" s="84"/>
      <c r="FTO244" s="82"/>
      <c r="FTP244" s="83"/>
      <c r="FTQ244" s="82"/>
      <c r="FTR244" s="84"/>
      <c r="FTS244" s="84"/>
      <c r="FTT244" s="82"/>
      <c r="FTU244" s="83"/>
      <c r="FTV244" s="82"/>
      <c r="FTW244" s="84"/>
      <c r="FTX244" s="84"/>
      <c r="FTY244" s="82"/>
      <c r="FTZ244" s="83"/>
      <c r="FUA244" s="82"/>
      <c r="FUB244" s="84"/>
      <c r="FUC244" s="84"/>
      <c r="FUD244" s="82"/>
      <c r="FUE244" s="83"/>
      <c r="FUF244" s="82"/>
      <c r="FUG244" s="84"/>
      <c r="FUH244" s="84"/>
      <c r="FUI244" s="82"/>
      <c r="FUJ244" s="83"/>
      <c r="FUK244" s="82"/>
      <c r="FUL244" s="84"/>
      <c r="FUM244" s="84"/>
      <c r="FUN244" s="82"/>
      <c r="FUO244" s="83"/>
      <c r="FUP244" s="82"/>
      <c r="FUQ244" s="84"/>
      <c r="FUR244" s="84"/>
      <c r="FUS244" s="82"/>
      <c r="FUT244" s="83"/>
      <c r="FUU244" s="82"/>
      <c r="FUV244" s="84"/>
      <c r="FUW244" s="84"/>
      <c r="FUX244" s="82"/>
      <c r="FUY244" s="83"/>
      <c r="FUZ244" s="82"/>
      <c r="FVA244" s="84"/>
      <c r="FVB244" s="84"/>
      <c r="FVC244" s="82"/>
      <c r="FVD244" s="83"/>
      <c r="FVE244" s="82"/>
      <c r="FVF244" s="84"/>
      <c r="FVG244" s="84"/>
      <c r="FVH244" s="82"/>
      <c r="FVI244" s="83"/>
      <c r="FVJ244" s="82"/>
      <c r="FVK244" s="84"/>
      <c r="FVL244" s="84"/>
      <c r="FVM244" s="82"/>
      <c r="FVN244" s="83"/>
      <c r="FVO244" s="82"/>
      <c r="FVP244" s="84"/>
      <c r="FVQ244" s="84"/>
      <c r="FVR244" s="82"/>
      <c r="FVS244" s="83"/>
      <c r="FVT244" s="82"/>
      <c r="FVU244" s="84"/>
      <c r="FVV244" s="84"/>
      <c r="FVW244" s="82"/>
      <c r="FVX244" s="83"/>
      <c r="FVY244" s="82"/>
      <c r="FVZ244" s="84"/>
      <c r="FWA244" s="84"/>
      <c r="FWB244" s="82"/>
      <c r="FWC244" s="83"/>
      <c r="FWD244" s="82"/>
      <c r="FWE244" s="84"/>
      <c r="FWF244" s="84"/>
      <c r="FWG244" s="82"/>
      <c r="FWH244" s="83"/>
      <c r="FWI244" s="82"/>
      <c r="FWJ244" s="84"/>
      <c r="FWK244" s="84"/>
      <c r="FWL244" s="82"/>
      <c r="FWM244" s="83"/>
      <c r="FWN244" s="82"/>
      <c r="FWO244" s="84"/>
      <c r="FWP244" s="84"/>
      <c r="FWQ244" s="82"/>
      <c r="FWR244" s="83"/>
      <c r="FWS244" s="82"/>
      <c r="FWT244" s="84"/>
      <c r="FWU244" s="84"/>
      <c r="FWV244" s="82"/>
      <c r="FWW244" s="83"/>
      <c r="FWX244" s="82"/>
      <c r="FWY244" s="84"/>
      <c r="FWZ244" s="84"/>
      <c r="FXA244" s="82"/>
      <c r="FXB244" s="83"/>
      <c r="FXC244" s="82"/>
      <c r="FXD244" s="84"/>
      <c r="FXE244" s="84"/>
      <c r="FXF244" s="82"/>
      <c r="FXG244" s="83"/>
      <c r="FXH244" s="82"/>
      <c r="FXI244" s="84"/>
      <c r="FXJ244" s="84"/>
      <c r="FXK244" s="82"/>
      <c r="FXL244" s="83"/>
      <c r="FXM244" s="82"/>
      <c r="FXN244" s="84"/>
      <c r="FXO244" s="84"/>
      <c r="FXP244" s="82"/>
      <c r="FXQ244" s="83"/>
      <c r="FXR244" s="82"/>
      <c r="FXS244" s="84"/>
      <c r="FXT244" s="84"/>
      <c r="FXU244" s="82"/>
      <c r="FXV244" s="83"/>
      <c r="FXW244" s="82"/>
      <c r="FXX244" s="84"/>
      <c r="FXY244" s="84"/>
      <c r="FXZ244" s="82"/>
      <c r="FYA244" s="83"/>
      <c r="FYB244" s="82"/>
      <c r="FYC244" s="84"/>
      <c r="FYD244" s="84"/>
      <c r="FYE244" s="82"/>
      <c r="FYF244" s="83"/>
      <c r="FYG244" s="82"/>
      <c r="FYH244" s="84"/>
      <c r="FYI244" s="84"/>
      <c r="FYJ244" s="82"/>
      <c r="FYK244" s="83"/>
      <c r="FYL244" s="82"/>
      <c r="FYM244" s="84"/>
      <c r="FYN244" s="84"/>
      <c r="FYO244" s="82"/>
      <c r="FYP244" s="83"/>
      <c r="FYQ244" s="82"/>
      <c r="FYR244" s="84"/>
      <c r="FYS244" s="84"/>
      <c r="FYT244" s="82"/>
      <c r="FYU244" s="83"/>
      <c r="FYV244" s="82"/>
      <c r="FYW244" s="84"/>
      <c r="FYX244" s="84"/>
      <c r="FYY244" s="82"/>
      <c r="FYZ244" s="83"/>
      <c r="FZA244" s="82"/>
      <c r="FZB244" s="84"/>
      <c r="FZC244" s="84"/>
      <c r="FZD244" s="82"/>
      <c r="FZE244" s="83"/>
      <c r="FZF244" s="82"/>
      <c r="FZG244" s="84"/>
      <c r="FZH244" s="84"/>
      <c r="FZI244" s="82"/>
      <c r="FZJ244" s="83"/>
      <c r="FZK244" s="82"/>
      <c r="FZL244" s="84"/>
      <c r="FZM244" s="84"/>
      <c r="FZN244" s="82"/>
      <c r="FZO244" s="83"/>
      <c r="FZP244" s="82"/>
      <c r="FZQ244" s="84"/>
      <c r="FZR244" s="84"/>
      <c r="FZS244" s="82"/>
      <c r="FZT244" s="83"/>
      <c r="FZU244" s="82"/>
      <c r="FZV244" s="84"/>
      <c r="FZW244" s="84"/>
      <c r="FZX244" s="82"/>
      <c r="FZY244" s="83"/>
      <c r="FZZ244" s="82"/>
      <c r="GAA244" s="84"/>
      <c r="GAB244" s="84"/>
      <c r="GAC244" s="82"/>
      <c r="GAD244" s="83"/>
      <c r="GAE244" s="82"/>
      <c r="GAF244" s="84"/>
      <c r="GAG244" s="84"/>
      <c r="GAH244" s="82"/>
      <c r="GAI244" s="83"/>
      <c r="GAJ244" s="82"/>
      <c r="GAK244" s="84"/>
      <c r="GAL244" s="84"/>
      <c r="GAM244" s="82"/>
      <c r="GAN244" s="83"/>
      <c r="GAO244" s="82"/>
      <c r="GAP244" s="84"/>
      <c r="GAQ244" s="84"/>
      <c r="GAR244" s="82"/>
      <c r="GAS244" s="83"/>
      <c r="GAT244" s="82"/>
      <c r="GAU244" s="84"/>
      <c r="GAV244" s="84"/>
      <c r="GAW244" s="82"/>
      <c r="GAX244" s="83"/>
      <c r="GAY244" s="82"/>
      <c r="GAZ244" s="84"/>
      <c r="GBA244" s="84"/>
      <c r="GBB244" s="82"/>
      <c r="GBC244" s="83"/>
      <c r="GBD244" s="82"/>
      <c r="GBE244" s="84"/>
      <c r="GBF244" s="84"/>
      <c r="GBG244" s="82"/>
      <c r="GBH244" s="83"/>
      <c r="GBI244" s="82"/>
      <c r="GBJ244" s="84"/>
      <c r="GBK244" s="84"/>
      <c r="GBL244" s="82"/>
      <c r="GBM244" s="83"/>
      <c r="GBN244" s="82"/>
      <c r="GBO244" s="84"/>
      <c r="GBP244" s="84"/>
      <c r="GBQ244" s="82"/>
      <c r="GBR244" s="83"/>
      <c r="GBS244" s="82"/>
      <c r="GBT244" s="84"/>
      <c r="GBU244" s="84"/>
      <c r="GBV244" s="82"/>
      <c r="GBW244" s="83"/>
      <c r="GBX244" s="82"/>
      <c r="GBY244" s="84"/>
      <c r="GBZ244" s="84"/>
      <c r="GCA244" s="82"/>
      <c r="GCB244" s="83"/>
      <c r="GCC244" s="82"/>
      <c r="GCD244" s="84"/>
      <c r="GCE244" s="84"/>
      <c r="GCF244" s="82"/>
      <c r="GCG244" s="83"/>
      <c r="GCH244" s="82"/>
      <c r="GCI244" s="84"/>
      <c r="GCJ244" s="84"/>
      <c r="GCK244" s="82"/>
      <c r="GCL244" s="83"/>
      <c r="GCM244" s="82"/>
      <c r="GCN244" s="84"/>
      <c r="GCO244" s="84"/>
      <c r="GCP244" s="82"/>
      <c r="GCQ244" s="83"/>
      <c r="GCR244" s="82"/>
      <c r="GCS244" s="84"/>
      <c r="GCT244" s="84"/>
      <c r="GCU244" s="82"/>
      <c r="GCV244" s="83"/>
      <c r="GCW244" s="82"/>
      <c r="GCX244" s="84"/>
      <c r="GCY244" s="84"/>
      <c r="GCZ244" s="82"/>
      <c r="GDA244" s="83"/>
      <c r="GDB244" s="82"/>
      <c r="GDC244" s="84"/>
      <c r="GDD244" s="84"/>
      <c r="GDE244" s="82"/>
      <c r="GDF244" s="83"/>
      <c r="GDG244" s="82"/>
      <c r="GDH244" s="84"/>
      <c r="GDI244" s="84"/>
      <c r="GDJ244" s="82"/>
      <c r="GDK244" s="83"/>
      <c r="GDL244" s="82"/>
      <c r="GDM244" s="84"/>
      <c r="GDN244" s="84"/>
      <c r="GDO244" s="82"/>
      <c r="GDP244" s="83"/>
      <c r="GDQ244" s="82"/>
      <c r="GDR244" s="84"/>
      <c r="GDS244" s="84"/>
      <c r="GDT244" s="82"/>
      <c r="GDU244" s="83"/>
      <c r="GDV244" s="82"/>
      <c r="GDW244" s="84"/>
      <c r="GDX244" s="84"/>
      <c r="GDY244" s="82"/>
      <c r="GDZ244" s="83"/>
      <c r="GEA244" s="82"/>
      <c r="GEB244" s="84"/>
      <c r="GEC244" s="84"/>
      <c r="GED244" s="82"/>
      <c r="GEE244" s="83"/>
      <c r="GEF244" s="82"/>
      <c r="GEG244" s="84"/>
      <c r="GEH244" s="84"/>
      <c r="GEI244" s="82"/>
      <c r="GEJ244" s="83"/>
      <c r="GEK244" s="82"/>
      <c r="GEL244" s="84"/>
      <c r="GEM244" s="84"/>
      <c r="GEN244" s="82"/>
      <c r="GEO244" s="83"/>
      <c r="GEP244" s="82"/>
      <c r="GEQ244" s="84"/>
      <c r="GER244" s="84"/>
      <c r="GES244" s="82"/>
      <c r="GET244" s="83"/>
      <c r="GEU244" s="82"/>
      <c r="GEV244" s="84"/>
      <c r="GEW244" s="84"/>
      <c r="GEX244" s="82"/>
      <c r="GEY244" s="83"/>
      <c r="GEZ244" s="82"/>
      <c r="GFA244" s="84"/>
      <c r="GFB244" s="84"/>
      <c r="GFC244" s="82"/>
      <c r="GFD244" s="83"/>
      <c r="GFE244" s="82"/>
      <c r="GFF244" s="84"/>
      <c r="GFG244" s="84"/>
      <c r="GFH244" s="82"/>
      <c r="GFI244" s="83"/>
      <c r="GFJ244" s="82"/>
      <c r="GFK244" s="84"/>
      <c r="GFL244" s="84"/>
      <c r="GFM244" s="82"/>
      <c r="GFN244" s="83"/>
      <c r="GFO244" s="82"/>
      <c r="GFP244" s="84"/>
      <c r="GFQ244" s="84"/>
      <c r="GFR244" s="82"/>
      <c r="GFS244" s="83"/>
      <c r="GFT244" s="82"/>
      <c r="GFU244" s="84"/>
      <c r="GFV244" s="84"/>
      <c r="GFW244" s="82"/>
      <c r="GFX244" s="83"/>
      <c r="GFY244" s="82"/>
      <c r="GFZ244" s="84"/>
      <c r="GGA244" s="84"/>
      <c r="GGB244" s="82"/>
      <c r="GGC244" s="83"/>
      <c r="GGD244" s="82"/>
      <c r="GGE244" s="84"/>
      <c r="GGF244" s="84"/>
      <c r="GGG244" s="82"/>
      <c r="GGH244" s="83"/>
      <c r="GGI244" s="82"/>
      <c r="GGJ244" s="84"/>
      <c r="GGK244" s="84"/>
      <c r="GGL244" s="82"/>
      <c r="GGM244" s="83"/>
      <c r="GGN244" s="82"/>
      <c r="GGO244" s="84"/>
      <c r="GGP244" s="84"/>
      <c r="GGQ244" s="82"/>
      <c r="GGR244" s="83"/>
      <c r="GGS244" s="82"/>
      <c r="GGT244" s="84"/>
      <c r="GGU244" s="84"/>
      <c r="GGV244" s="82"/>
      <c r="GGW244" s="83"/>
      <c r="GGX244" s="82"/>
      <c r="GGY244" s="84"/>
      <c r="GGZ244" s="84"/>
      <c r="GHA244" s="82"/>
      <c r="GHB244" s="83"/>
      <c r="GHC244" s="82"/>
      <c r="GHD244" s="84"/>
      <c r="GHE244" s="84"/>
      <c r="GHF244" s="82"/>
      <c r="GHG244" s="83"/>
      <c r="GHH244" s="82"/>
      <c r="GHI244" s="84"/>
      <c r="GHJ244" s="84"/>
      <c r="GHK244" s="82"/>
      <c r="GHL244" s="83"/>
      <c r="GHM244" s="82"/>
      <c r="GHN244" s="84"/>
      <c r="GHO244" s="84"/>
      <c r="GHP244" s="82"/>
      <c r="GHQ244" s="83"/>
      <c r="GHR244" s="82"/>
      <c r="GHS244" s="84"/>
      <c r="GHT244" s="84"/>
      <c r="GHU244" s="82"/>
      <c r="GHV244" s="83"/>
      <c r="GHW244" s="82"/>
      <c r="GHX244" s="84"/>
      <c r="GHY244" s="84"/>
      <c r="GHZ244" s="82"/>
      <c r="GIA244" s="83"/>
      <c r="GIB244" s="82"/>
      <c r="GIC244" s="84"/>
      <c r="GID244" s="84"/>
      <c r="GIE244" s="82"/>
      <c r="GIF244" s="83"/>
      <c r="GIG244" s="82"/>
      <c r="GIH244" s="84"/>
      <c r="GII244" s="84"/>
      <c r="GIJ244" s="82"/>
      <c r="GIK244" s="83"/>
      <c r="GIL244" s="82"/>
      <c r="GIM244" s="84"/>
      <c r="GIN244" s="84"/>
      <c r="GIO244" s="82"/>
      <c r="GIP244" s="83"/>
      <c r="GIQ244" s="82"/>
      <c r="GIR244" s="84"/>
      <c r="GIS244" s="84"/>
      <c r="GIT244" s="82"/>
      <c r="GIU244" s="83"/>
      <c r="GIV244" s="82"/>
      <c r="GIW244" s="84"/>
      <c r="GIX244" s="84"/>
      <c r="GIY244" s="82"/>
      <c r="GIZ244" s="83"/>
      <c r="GJA244" s="82"/>
      <c r="GJB244" s="84"/>
      <c r="GJC244" s="84"/>
      <c r="GJD244" s="82"/>
      <c r="GJE244" s="83"/>
      <c r="GJF244" s="82"/>
      <c r="GJG244" s="84"/>
      <c r="GJH244" s="84"/>
      <c r="GJI244" s="82"/>
      <c r="GJJ244" s="83"/>
      <c r="GJK244" s="82"/>
      <c r="GJL244" s="84"/>
      <c r="GJM244" s="84"/>
      <c r="GJN244" s="82"/>
      <c r="GJO244" s="83"/>
      <c r="GJP244" s="82"/>
      <c r="GJQ244" s="84"/>
      <c r="GJR244" s="84"/>
      <c r="GJS244" s="82"/>
      <c r="GJT244" s="83"/>
      <c r="GJU244" s="82"/>
      <c r="GJV244" s="84"/>
      <c r="GJW244" s="84"/>
      <c r="GJX244" s="82"/>
      <c r="GJY244" s="83"/>
      <c r="GJZ244" s="82"/>
      <c r="GKA244" s="84"/>
      <c r="GKB244" s="84"/>
      <c r="GKC244" s="82"/>
      <c r="GKD244" s="83"/>
      <c r="GKE244" s="82"/>
      <c r="GKF244" s="84"/>
      <c r="GKG244" s="84"/>
      <c r="GKH244" s="82"/>
      <c r="GKI244" s="83"/>
      <c r="GKJ244" s="82"/>
      <c r="GKK244" s="84"/>
      <c r="GKL244" s="84"/>
      <c r="GKM244" s="82"/>
      <c r="GKN244" s="83"/>
      <c r="GKO244" s="82"/>
      <c r="GKP244" s="84"/>
      <c r="GKQ244" s="84"/>
      <c r="GKR244" s="82"/>
      <c r="GKS244" s="83"/>
      <c r="GKT244" s="82"/>
      <c r="GKU244" s="84"/>
      <c r="GKV244" s="84"/>
      <c r="GKW244" s="82"/>
      <c r="GKX244" s="83"/>
      <c r="GKY244" s="82"/>
      <c r="GKZ244" s="84"/>
      <c r="GLA244" s="84"/>
      <c r="GLB244" s="82"/>
      <c r="GLC244" s="83"/>
      <c r="GLD244" s="82"/>
      <c r="GLE244" s="84"/>
      <c r="GLF244" s="84"/>
      <c r="GLG244" s="82"/>
      <c r="GLH244" s="83"/>
      <c r="GLI244" s="82"/>
      <c r="GLJ244" s="84"/>
      <c r="GLK244" s="84"/>
      <c r="GLL244" s="82"/>
      <c r="GLM244" s="83"/>
      <c r="GLN244" s="82"/>
      <c r="GLO244" s="84"/>
      <c r="GLP244" s="84"/>
      <c r="GLQ244" s="82"/>
      <c r="GLR244" s="83"/>
      <c r="GLS244" s="82"/>
      <c r="GLT244" s="84"/>
      <c r="GLU244" s="84"/>
      <c r="GLV244" s="82"/>
      <c r="GLW244" s="83"/>
      <c r="GLX244" s="82"/>
      <c r="GLY244" s="84"/>
      <c r="GLZ244" s="84"/>
      <c r="GMA244" s="82"/>
      <c r="GMB244" s="83"/>
      <c r="GMC244" s="82"/>
      <c r="GMD244" s="84"/>
      <c r="GME244" s="84"/>
      <c r="GMF244" s="82"/>
      <c r="GMG244" s="83"/>
      <c r="GMH244" s="82"/>
      <c r="GMI244" s="84"/>
      <c r="GMJ244" s="84"/>
      <c r="GMK244" s="82"/>
      <c r="GML244" s="83"/>
      <c r="GMM244" s="82"/>
      <c r="GMN244" s="84"/>
      <c r="GMO244" s="84"/>
      <c r="GMP244" s="82"/>
      <c r="GMQ244" s="83"/>
      <c r="GMR244" s="82"/>
      <c r="GMS244" s="84"/>
      <c r="GMT244" s="84"/>
      <c r="GMU244" s="82"/>
      <c r="GMV244" s="83"/>
      <c r="GMW244" s="82"/>
      <c r="GMX244" s="84"/>
      <c r="GMY244" s="84"/>
      <c r="GMZ244" s="82"/>
      <c r="GNA244" s="83"/>
      <c r="GNB244" s="82"/>
      <c r="GNC244" s="84"/>
      <c r="GND244" s="84"/>
      <c r="GNE244" s="82"/>
      <c r="GNF244" s="83"/>
      <c r="GNG244" s="82"/>
      <c r="GNH244" s="84"/>
      <c r="GNI244" s="84"/>
      <c r="GNJ244" s="82"/>
      <c r="GNK244" s="83"/>
      <c r="GNL244" s="82"/>
      <c r="GNM244" s="84"/>
      <c r="GNN244" s="84"/>
      <c r="GNO244" s="82"/>
      <c r="GNP244" s="83"/>
      <c r="GNQ244" s="82"/>
      <c r="GNR244" s="84"/>
      <c r="GNS244" s="84"/>
      <c r="GNT244" s="82"/>
      <c r="GNU244" s="83"/>
      <c r="GNV244" s="82"/>
      <c r="GNW244" s="84"/>
      <c r="GNX244" s="84"/>
      <c r="GNY244" s="82"/>
      <c r="GNZ244" s="83"/>
      <c r="GOA244" s="82"/>
      <c r="GOB244" s="84"/>
      <c r="GOC244" s="84"/>
      <c r="GOD244" s="82"/>
      <c r="GOE244" s="83"/>
      <c r="GOF244" s="82"/>
      <c r="GOG244" s="84"/>
      <c r="GOH244" s="84"/>
      <c r="GOI244" s="82"/>
      <c r="GOJ244" s="83"/>
      <c r="GOK244" s="82"/>
      <c r="GOL244" s="84"/>
      <c r="GOM244" s="84"/>
      <c r="GON244" s="82"/>
      <c r="GOO244" s="83"/>
      <c r="GOP244" s="82"/>
      <c r="GOQ244" s="84"/>
      <c r="GOR244" s="84"/>
      <c r="GOS244" s="82"/>
      <c r="GOT244" s="83"/>
      <c r="GOU244" s="82"/>
      <c r="GOV244" s="84"/>
      <c r="GOW244" s="84"/>
      <c r="GOX244" s="82"/>
      <c r="GOY244" s="83"/>
      <c r="GOZ244" s="82"/>
      <c r="GPA244" s="84"/>
      <c r="GPB244" s="84"/>
      <c r="GPC244" s="82"/>
      <c r="GPD244" s="83"/>
      <c r="GPE244" s="82"/>
      <c r="GPF244" s="84"/>
      <c r="GPG244" s="84"/>
      <c r="GPH244" s="82"/>
      <c r="GPI244" s="83"/>
      <c r="GPJ244" s="82"/>
      <c r="GPK244" s="84"/>
      <c r="GPL244" s="84"/>
      <c r="GPM244" s="82"/>
      <c r="GPN244" s="83"/>
      <c r="GPO244" s="82"/>
      <c r="GPP244" s="84"/>
      <c r="GPQ244" s="84"/>
      <c r="GPR244" s="82"/>
      <c r="GPS244" s="83"/>
      <c r="GPT244" s="82"/>
      <c r="GPU244" s="84"/>
      <c r="GPV244" s="84"/>
      <c r="GPW244" s="82"/>
      <c r="GPX244" s="83"/>
      <c r="GPY244" s="82"/>
      <c r="GPZ244" s="84"/>
      <c r="GQA244" s="84"/>
      <c r="GQB244" s="82"/>
      <c r="GQC244" s="83"/>
      <c r="GQD244" s="82"/>
      <c r="GQE244" s="84"/>
      <c r="GQF244" s="84"/>
      <c r="GQG244" s="82"/>
      <c r="GQH244" s="83"/>
      <c r="GQI244" s="82"/>
      <c r="GQJ244" s="84"/>
      <c r="GQK244" s="84"/>
      <c r="GQL244" s="82"/>
      <c r="GQM244" s="83"/>
      <c r="GQN244" s="82"/>
      <c r="GQO244" s="84"/>
      <c r="GQP244" s="84"/>
      <c r="GQQ244" s="82"/>
      <c r="GQR244" s="83"/>
      <c r="GQS244" s="82"/>
      <c r="GQT244" s="84"/>
      <c r="GQU244" s="84"/>
      <c r="GQV244" s="82"/>
      <c r="GQW244" s="83"/>
      <c r="GQX244" s="82"/>
      <c r="GQY244" s="84"/>
      <c r="GQZ244" s="84"/>
      <c r="GRA244" s="82"/>
      <c r="GRB244" s="83"/>
      <c r="GRC244" s="82"/>
      <c r="GRD244" s="84"/>
      <c r="GRE244" s="84"/>
      <c r="GRF244" s="82"/>
      <c r="GRG244" s="83"/>
      <c r="GRH244" s="82"/>
      <c r="GRI244" s="84"/>
      <c r="GRJ244" s="84"/>
      <c r="GRK244" s="82"/>
      <c r="GRL244" s="83"/>
      <c r="GRM244" s="82"/>
      <c r="GRN244" s="84"/>
      <c r="GRO244" s="84"/>
      <c r="GRP244" s="82"/>
      <c r="GRQ244" s="83"/>
      <c r="GRR244" s="82"/>
      <c r="GRS244" s="84"/>
      <c r="GRT244" s="84"/>
      <c r="GRU244" s="82"/>
      <c r="GRV244" s="83"/>
      <c r="GRW244" s="82"/>
      <c r="GRX244" s="84"/>
      <c r="GRY244" s="84"/>
      <c r="GRZ244" s="82"/>
      <c r="GSA244" s="83"/>
      <c r="GSB244" s="82"/>
      <c r="GSC244" s="84"/>
      <c r="GSD244" s="84"/>
      <c r="GSE244" s="82"/>
      <c r="GSF244" s="83"/>
      <c r="GSG244" s="82"/>
      <c r="GSH244" s="84"/>
      <c r="GSI244" s="84"/>
      <c r="GSJ244" s="82"/>
      <c r="GSK244" s="83"/>
      <c r="GSL244" s="82"/>
      <c r="GSM244" s="84"/>
      <c r="GSN244" s="84"/>
      <c r="GSO244" s="82"/>
      <c r="GSP244" s="83"/>
      <c r="GSQ244" s="82"/>
      <c r="GSR244" s="84"/>
      <c r="GSS244" s="84"/>
      <c r="GST244" s="82"/>
      <c r="GSU244" s="83"/>
      <c r="GSV244" s="82"/>
      <c r="GSW244" s="84"/>
      <c r="GSX244" s="84"/>
      <c r="GSY244" s="82"/>
      <c r="GSZ244" s="83"/>
      <c r="GTA244" s="82"/>
      <c r="GTB244" s="84"/>
      <c r="GTC244" s="84"/>
      <c r="GTD244" s="82"/>
      <c r="GTE244" s="83"/>
      <c r="GTF244" s="82"/>
      <c r="GTG244" s="84"/>
      <c r="GTH244" s="84"/>
      <c r="GTI244" s="82"/>
      <c r="GTJ244" s="83"/>
      <c r="GTK244" s="82"/>
      <c r="GTL244" s="84"/>
      <c r="GTM244" s="84"/>
      <c r="GTN244" s="82"/>
      <c r="GTO244" s="83"/>
      <c r="GTP244" s="82"/>
      <c r="GTQ244" s="84"/>
      <c r="GTR244" s="84"/>
      <c r="GTS244" s="82"/>
      <c r="GTT244" s="83"/>
      <c r="GTU244" s="82"/>
      <c r="GTV244" s="84"/>
      <c r="GTW244" s="84"/>
      <c r="GTX244" s="82"/>
      <c r="GTY244" s="83"/>
      <c r="GTZ244" s="82"/>
      <c r="GUA244" s="84"/>
      <c r="GUB244" s="84"/>
      <c r="GUC244" s="82"/>
      <c r="GUD244" s="83"/>
      <c r="GUE244" s="82"/>
      <c r="GUF244" s="84"/>
      <c r="GUG244" s="84"/>
      <c r="GUH244" s="82"/>
      <c r="GUI244" s="83"/>
      <c r="GUJ244" s="82"/>
      <c r="GUK244" s="84"/>
      <c r="GUL244" s="84"/>
      <c r="GUM244" s="82"/>
      <c r="GUN244" s="83"/>
      <c r="GUO244" s="82"/>
      <c r="GUP244" s="84"/>
      <c r="GUQ244" s="84"/>
      <c r="GUR244" s="82"/>
      <c r="GUS244" s="83"/>
      <c r="GUT244" s="82"/>
      <c r="GUU244" s="84"/>
      <c r="GUV244" s="84"/>
      <c r="GUW244" s="82"/>
      <c r="GUX244" s="83"/>
      <c r="GUY244" s="82"/>
      <c r="GUZ244" s="84"/>
      <c r="GVA244" s="84"/>
      <c r="GVB244" s="82"/>
      <c r="GVC244" s="83"/>
      <c r="GVD244" s="82"/>
      <c r="GVE244" s="84"/>
      <c r="GVF244" s="84"/>
      <c r="GVG244" s="82"/>
      <c r="GVH244" s="83"/>
      <c r="GVI244" s="82"/>
      <c r="GVJ244" s="84"/>
      <c r="GVK244" s="84"/>
      <c r="GVL244" s="82"/>
      <c r="GVM244" s="83"/>
      <c r="GVN244" s="82"/>
      <c r="GVO244" s="84"/>
      <c r="GVP244" s="84"/>
      <c r="GVQ244" s="82"/>
      <c r="GVR244" s="83"/>
      <c r="GVS244" s="82"/>
      <c r="GVT244" s="84"/>
      <c r="GVU244" s="84"/>
      <c r="GVV244" s="82"/>
      <c r="GVW244" s="83"/>
      <c r="GVX244" s="82"/>
      <c r="GVY244" s="84"/>
      <c r="GVZ244" s="84"/>
      <c r="GWA244" s="82"/>
      <c r="GWB244" s="83"/>
      <c r="GWC244" s="82"/>
      <c r="GWD244" s="84"/>
      <c r="GWE244" s="84"/>
      <c r="GWF244" s="82"/>
      <c r="GWG244" s="83"/>
      <c r="GWH244" s="82"/>
      <c r="GWI244" s="84"/>
      <c r="GWJ244" s="84"/>
      <c r="GWK244" s="82"/>
      <c r="GWL244" s="83"/>
      <c r="GWM244" s="82"/>
      <c r="GWN244" s="84"/>
      <c r="GWO244" s="84"/>
      <c r="GWP244" s="82"/>
      <c r="GWQ244" s="83"/>
      <c r="GWR244" s="82"/>
      <c r="GWS244" s="84"/>
      <c r="GWT244" s="84"/>
      <c r="GWU244" s="82"/>
      <c r="GWV244" s="83"/>
      <c r="GWW244" s="82"/>
      <c r="GWX244" s="84"/>
      <c r="GWY244" s="84"/>
      <c r="GWZ244" s="82"/>
      <c r="GXA244" s="83"/>
      <c r="GXB244" s="82"/>
      <c r="GXC244" s="84"/>
      <c r="GXD244" s="84"/>
      <c r="GXE244" s="82"/>
      <c r="GXF244" s="83"/>
      <c r="GXG244" s="82"/>
      <c r="GXH244" s="84"/>
      <c r="GXI244" s="84"/>
      <c r="GXJ244" s="82"/>
      <c r="GXK244" s="83"/>
      <c r="GXL244" s="82"/>
      <c r="GXM244" s="84"/>
      <c r="GXN244" s="84"/>
      <c r="GXO244" s="82"/>
      <c r="GXP244" s="83"/>
      <c r="GXQ244" s="82"/>
      <c r="GXR244" s="84"/>
      <c r="GXS244" s="84"/>
      <c r="GXT244" s="82"/>
      <c r="GXU244" s="83"/>
      <c r="GXV244" s="82"/>
      <c r="GXW244" s="84"/>
      <c r="GXX244" s="84"/>
      <c r="GXY244" s="82"/>
      <c r="GXZ244" s="83"/>
      <c r="GYA244" s="82"/>
      <c r="GYB244" s="84"/>
      <c r="GYC244" s="84"/>
      <c r="GYD244" s="82"/>
      <c r="GYE244" s="83"/>
      <c r="GYF244" s="82"/>
      <c r="GYG244" s="84"/>
      <c r="GYH244" s="84"/>
      <c r="GYI244" s="82"/>
      <c r="GYJ244" s="83"/>
      <c r="GYK244" s="82"/>
      <c r="GYL244" s="84"/>
      <c r="GYM244" s="84"/>
      <c r="GYN244" s="82"/>
      <c r="GYO244" s="83"/>
      <c r="GYP244" s="82"/>
      <c r="GYQ244" s="84"/>
      <c r="GYR244" s="84"/>
      <c r="GYS244" s="82"/>
      <c r="GYT244" s="83"/>
      <c r="GYU244" s="82"/>
      <c r="GYV244" s="84"/>
      <c r="GYW244" s="84"/>
      <c r="GYX244" s="82"/>
      <c r="GYY244" s="83"/>
      <c r="GYZ244" s="82"/>
      <c r="GZA244" s="84"/>
      <c r="GZB244" s="84"/>
      <c r="GZC244" s="82"/>
      <c r="GZD244" s="83"/>
      <c r="GZE244" s="82"/>
      <c r="GZF244" s="84"/>
      <c r="GZG244" s="84"/>
      <c r="GZH244" s="82"/>
      <c r="GZI244" s="83"/>
      <c r="GZJ244" s="82"/>
      <c r="GZK244" s="84"/>
      <c r="GZL244" s="84"/>
      <c r="GZM244" s="82"/>
      <c r="GZN244" s="83"/>
      <c r="GZO244" s="82"/>
      <c r="GZP244" s="84"/>
      <c r="GZQ244" s="84"/>
      <c r="GZR244" s="82"/>
      <c r="GZS244" s="83"/>
      <c r="GZT244" s="82"/>
      <c r="GZU244" s="84"/>
      <c r="GZV244" s="84"/>
      <c r="GZW244" s="82"/>
      <c r="GZX244" s="83"/>
      <c r="GZY244" s="82"/>
      <c r="GZZ244" s="84"/>
      <c r="HAA244" s="84"/>
      <c r="HAB244" s="82"/>
      <c r="HAC244" s="83"/>
      <c r="HAD244" s="82"/>
      <c r="HAE244" s="84"/>
      <c r="HAF244" s="84"/>
      <c r="HAG244" s="82"/>
      <c r="HAH244" s="83"/>
      <c r="HAI244" s="82"/>
      <c r="HAJ244" s="84"/>
      <c r="HAK244" s="84"/>
      <c r="HAL244" s="82"/>
      <c r="HAM244" s="83"/>
      <c r="HAN244" s="82"/>
      <c r="HAO244" s="84"/>
      <c r="HAP244" s="84"/>
      <c r="HAQ244" s="82"/>
      <c r="HAR244" s="83"/>
      <c r="HAS244" s="82"/>
      <c r="HAT244" s="84"/>
      <c r="HAU244" s="84"/>
      <c r="HAV244" s="82"/>
      <c r="HAW244" s="83"/>
      <c r="HAX244" s="82"/>
      <c r="HAY244" s="84"/>
      <c r="HAZ244" s="84"/>
      <c r="HBA244" s="82"/>
      <c r="HBB244" s="83"/>
      <c r="HBC244" s="82"/>
      <c r="HBD244" s="84"/>
      <c r="HBE244" s="84"/>
      <c r="HBF244" s="82"/>
      <c r="HBG244" s="83"/>
      <c r="HBH244" s="82"/>
      <c r="HBI244" s="84"/>
      <c r="HBJ244" s="84"/>
      <c r="HBK244" s="82"/>
      <c r="HBL244" s="83"/>
      <c r="HBM244" s="82"/>
      <c r="HBN244" s="84"/>
      <c r="HBO244" s="84"/>
      <c r="HBP244" s="82"/>
      <c r="HBQ244" s="83"/>
      <c r="HBR244" s="82"/>
      <c r="HBS244" s="84"/>
      <c r="HBT244" s="84"/>
      <c r="HBU244" s="82"/>
      <c r="HBV244" s="83"/>
      <c r="HBW244" s="82"/>
      <c r="HBX244" s="84"/>
      <c r="HBY244" s="84"/>
      <c r="HBZ244" s="82"/>
      <c r="HCA244" s="83"/>
      <c r="HCB244" s="82"/>
      <c r="HCC244" s="84"/>
      <c r="HCD244" s="84"/>
      <c r="HCE244" s="82"/>
      <c r="HCF244" s="83"/>
      <c r="HCG244" s="82"/>
      <c r="HCH244" s="84"/>
      <c r="HCI244" s="84"/>
      <c r="HCJ244" s="82"/>
      <c r="HCK244" s="83"/>
      <c r="HCL244" s="82"/>
      <c r="HCM244" s="84"/>
      <c r="HCN244" s="84"/>
      <c r="HCO244" s="82"/>
      <c r="HCP244" s="83"/>
      <c r="HCQ244" s="82"/>
      <c r="HCR244" s="84"/>
      <c r="HCS244" s="84"/>
      <c r="HCT244" s="82"/>
      <c r="HCU244" s="83"/>
      <c r="HCV244" s="82"/>
      <c r="HCW244" s="84"/>
      <c r="HCX244" s="84"/>
      <c r="HCY244" s="82"/>
      <c r="HCZ244" s="83"/>
      <c r="HDA244" s="82"/>
      <c r="HDB244" s="84"/>
      <c r="HDC244" s="84"/>
      <c r="HDD244" s="82"/>
      <c r="HDE244" s="83"/>
      <c r="HDF244" s="82"/>
      <c r="HDG244" s="84"/>
      <c r="HDH244" s="84"/>
      <c r="HDI244" s="82"/>
      <c r="HDJ244" s="83"/>
      <c r="HDK244" s="82"/>
      <c r="HDL244" s="84"/>
      <c r="HDM244" s="84"/>
      <c r="HDN244" s="82"/>
      <c r="HDO244" s="83"/>
      <c r="HDP244" s="82"/>
      <c r="HDQ244" s="84"/>
      <c r="HDR244" s="84"/>
      <c r="HDS244" s="82"/>
      <c r="HDT244" s="83"/>
      <c r="HDU244" s="82"/>
      <c r="HDV244" s="84"/>
      <c r="HDW244" s="84"/>
      <c r="HDX244" s="82"/>
      <c r="HDY244" s="83"/>
      <c r="HDZ244" s="82"/>
      <c r="HEA244" s="84"/>
      <c r="HEB244" s="84"/>
      <c r="HEC244" s="82"/>
      <c r="HED244" s="83"/>
      <c r="HEE244" s="82"/>
      <c r="HEF244" s="84"/>
      <c r="HEG244" s="84"/>
      <c r="HEH244" s="82"/>
      <c r="HEI244" s="83"/>
      <c r="HEJ244" s="82"/>
      <c r="HEK244" s="84"/>
      <c r="HEL244" s="84"/>
      <c r="HEM244" s="82"/>
      <c r="HEN244" s="83"/>
      <c r="HEO244" s="82"/>
      <c r="HEP244" s="84"/>
      <c r="HEQ244" s="84"/>
      <c r="HER244" s="82"/>
      <c r="HES244" s="83"/>
      <c r="HET244" s="82"/>
      <c r="HEU244" s="84"/>
      <c r="HEV244" s="84"/>
      <c r="HEW244" s="82"/>
      <c r="HEX244" s="83"/>
      <c r="HEY244" s="82"/>
      <c r="HEZ244" s="84"/>
      <c r="HFA244" s="84"/>
      <c r="HFB244" s="82"/>
      <c r="HFC244" s="83"/>
      <c r="HFD244" s="82"/>
      <c r="HFE244" s="84"/>
      <c r="HFF244" s="84"/>
      <c r="HFG244" s="82"/>
      <c r="HFH244" s="83"/>
      <c r="HFI244" s="82"/>
      <c r="HFJ244" s="84"/>
      <c r="HFK244" s="84"/>
      <c r="HFL244" s="82"/>
      <c r="HFM244" s="83"/>
      <c r="HFN244" s="82"/>
      <c r="HFO244" s="84"/>
      <c r="HFP244" s="84"/>
      <c r="HFQ244" s="82"/>
      <c r="HFR244" s="83"/>
      <c r="HFS244" s="82"/>
      <c r="HFT244" s="84"/>
      <c r="HFU244" s="84"/>
      <c r="HFV244" s="82"/>
      <c r="HFW244" s="83"/>
      <c r="HFX244" s="82"/>
      <c r="HFY244" s="84"/>
      <c r="HFZ244" s="84"/>
      <c r="HGA244" s="82"/>
      <c r="HGB244" s="83"/>
      <c r="HGC244" s="82"/>
      <c r="HGD244" s="84"/>
      <c r="HGE244" s="84"/>
      <c r="HGF244" s="82"/>
      <c r="HGG244" s="83"/>
      <c r="HGH244" s="82"/>
      <c r="HGI244" s="84"/>
      <c r="HGJ244" s="84"/>
      <c r="HGK244" s="82"/>
      <c r="HGL244" s="83"/>
      <c r="HGM244" s="82"/>
      <c r="HGN244" s="84"/>
      <c r="HGO244" s="84"/>
      <c r="HGP244" s="82"/>
      <c r="HGQ244" s="83"/>
      <c r="HGR244" s="82"/>
      <c r="HGS244" s="84"/>
      <c r="HGT244" s="84"/>
      <c r="HGU244" s="82"/>
      <c r="HGV244" s="83"/>
      <c r="HGW244" s="82"/>
      <c r="HGX244" s="84"/>
      <c r="HGY244" s="84"/>
      <c r="HGZ244" s="82"/>
      <c r="HHA244" s="83"/>
      <c r="HHB244" s="82"/>
      <c r="HHC244" s="84"/>
      <c r="HHD244" s="84"/>
      <c r="HHE244" s="82"/>
      <c r="HHF244" s="83"/>
      <c r="HHG244" s="82"/>
      <c r="HHH244" s="84"/>
      <c r="HHI244" s="84"/>
      <c r="HHJ244" s="82"/>
      <c r="HHK244" s="83"/>
      <c r="HHL244" s="82"/>
      <c r="HHM244" s="84"/>
      <c r="HHN244" s="84"/>
      <c r="HHO244" s="82"/>
      <c r="HHP244" s="83"/>
      <c r="HHQ244" s="82"/>
      <c r="HHR244" s="84"/>
      <c r="HHS244" s="84"/>
      <c r="HHT244" s="82"/>
      <c r="HHU244" s="83"/>
      <c r="HHV244" s="82"/>
      <c r="HHW244" s="84"/>
      <c r="HHX244" s="84"/>
      <c r="HHY244" s="82"/>
      <c r="HHZ244" s="83"/>
      <c r="HIA244" s="82"/>
      <c r="HIB244" s="84"/>
      <c r="HIC244" s="84"/>
      <c r="HID244" s="82"/>
      <c r="HIE244" s="83"/>
      <c r="HIF244" s="82"/>
      <c r="HIG244" s="84"/>
      <c r="HIH244" s="84"/>
      <c r="HII244" s="82"/>
      <c r="HIJ244" s="83"/>
      <c r="HIK244" s="82"/>
      <c r="HIL244" s="84"/>
      <c r="HIM244" s="84"/>
      <c r="HIN244" s="82"/>
      <c r="HIO244" s="83"/>
      <c r="HIP244" s="82"/>
      <c r="HIQ244" s="84"/>
      <c r="HIR244" s="84"/>
      <c r="HIS244" s="82"/>
      <c r="HIT244" s="83"/>
      <c r="HIU244" s="82"/>
      <c r="HIV244" s="84"/>
      <c r="HIW244" s="84"/>
      <c r="HIX244" s="82"/>
      <c r="HIY244" s="83"/>
      <c r="HIZ244" s="82"/>
      <c r="HJA244" s="84"/>
      <c r="HJB244" s="84"/>
      <c r="HJC244" s="82"/>
      <c r="HJD244" s="83"/>
      <c r="HJE244" s="82"/>
      <c r="HJF244" s="84"/>
      <c r="HJG244" s="84"/>
      <c r="HJH244" s="82"/>
      <c r="HJI244" s="83"/>
      <c r="HJJ244" s="82"/>
      <c r="HJK244" s="84"/>
      <c r="HJL244" s="84"/>
      <c r="HJM244" s="82"/>
      <c r="HJN244" s="83"/>
      <c r="HJO244" s="82"/>
      <c r="HJP244" s="84"/>
      <c r="HJQ244" s="84"/>
      <c r="HJR244" s="82"/>
      <c r="HJS244" s="83"/>
      <c r="HJT244" s="82"/>
      <c r="HJU244" s="84"/>
      <c r="HJV244" s="84"/>
      <c r="HJW244" s="82"/>
      <c r="HJX244" s="83"/>
      <c r="HJY244" s="82"/>
      <c r="HJZ244" s="84"/>
      <c r="HKA244" s="84"/>
      <c r="HKB244" s="82"/>
      <c r="HKC244" s="83"/>
      <c r="HKD244" s="82"/>
      <c r="HKE244" s="84"/>
      <c r="HKF244" s="84"/>
      <c r="HKG244" s="82"/>
      <c r="HKH244" s="83"/>
      <c r="HKI244" s="82"/>
      <c r="HKJ244" s="84"/>
      <c r="HKK244" s="84"/>
      <c r="HKL244" s="82"/>
      <c r="HKM244" s="83"/>
      <c r="HKN244" s="82"/>
      <c r="HKO244" s="84"/>
      <c r="HKP244" s="84"/>
      <c r="HKQ244" s="82"/>
      <c r="HKR244" s="83"/>
      <c r="HKS244" s="82"/>
      <c r="HKT244" s="84"/>
      <c r="HKU244" s="84"/>
      <c r="HKV244" s="82"/>
      <c r="HKW244" s="83"/>
      <c r="HKX244" s="82"/>
      <c r="HKY244" s="84"/>
      <c r="HKZ244" s="84"/>
      <c r="HLA244" s="82"/>
      <c r="HLB244" s="83"/>
      <c r="HLC244" s="82"/>
      <c r="HLD244" s="84"/>
      <c r="HLE244" s="84"/>
      <c r="HLF244" s="82"/>
      <c r="HLG244" s="83"/>
      <c r="HLH244" s="82"/>
      <c r="HLI244" s="84"/>
      <c r="HLJ244" s="84"/>
      <c r="HLK244" s="82"/>
      <c r="HLL244" s="83"/>
      <c r="HLM244" s="82"/>
      <c r="HLN244" s="84"/>
      <c r="HLO244" s="84"/>
      <c r="HLP244" s="82"/>
      <c r="HLQ244" s="83"/>
      <c r="HLR244" s="82"/>
      <c r="HLS244" s="84"/>
      <c r="HLT244" s="84"/>
      <c r="HLU244" s="82"/>
      <c r="HLV244" s="83"/>
      <c r="HLW244" s="82"/>
      <c r="HLX244" s="84"/>
      <c r="HLY244" s="84"/>
      <c r="HLZ244" s="82"/>
      <c r="HMA244" s="83"/>
      <c r="HMB244" s="82"/>
      <c r="HMC244" s="84"/>
      <c r="HMD244" s="84"/>
      <c r="HME244" s="82"/>
      <c r="HMF244" s="83"/>
      <c r="HMG244" s="82"/>
      <c r="HMH244" s="84"/>
      <c r="HMI244" s="84"/>
      <c r="HMJ244" s="82"/>
      <c r="HMK244" s="83"/>
      <c r="HML244" s="82"/>
      <c r="HMM244" s="84"/>
      <c r="HMN244" s="84"/>
      <c r="HMO244" s="82"/>
      <c r="HMP244" s="83"/>
      <c r="HMQ244" s="82"/>
      <c r="HMR244" s="84"/>
      <c r="HMS244" s="84"/>
      <c r="HMT244" s="82"/>
      <c r="HMU244" s="83"/>
      <c r="HMV244" s="82"/>
      <c r="HMW244" s="84"/>
      <c r="HMX244" s="84"/>
      <c r="HMY244" s="82"/>
      <c r="HMZ244" s="83"/>
      <c r="HNA244" s="82"/>
      <c r="HNB244" s="84"/>
      <c r="HNC244" s="84"/>
      <c r="HND244" s="82"/>
      <c r="HNE244" s="83"/>
      <c r="HNF244" s="82"/>
      <c r="HNG244" s="84"/>
      <c r="HNH244" s="84"/>
      <c r="HNI244" s="82"/>
      <c r="HNJ244" s="83"/>
      <c r="HNK244" s="82"/>
      <c r="HNL244" s="84"/>
      <c r="HNM244" s="84"/>
      <c r="HNN244" s="82"/>
      <c r="HNO244" s="83"/>
      <c r="HNP244" s="82"/>
      <c r="HNQ244" s="84"/>
      <c r="HNR244" s="84"/>
      <c r="HNS244" s="82"/>
      <c r="HNT244" s="83"/>
      <c r="HNU244" s="82"/>
      <c r="HNV244" s="84"/>
      <c r="HNW244" s="84"/>
      <c r="HNX244" s="82"/>
      <c r="HNY244" s="83"/>
      <c r="HNZ244" s="82"/>
      <c r="HOA244" s="84"/>
      <c r="HOB244" s="84"/>
      <c r="HOC244" s="82"/>
      <c r="HOD244" s="83"/>
      <c r="HOE244" s="82"/>
      <c r="HOF244" s="84"/>
      <c r="HOG244" s="84"/>
      <c r="HOH244" s="82"/>
      <c r="HOI244" s="83"/>
      <c r="HOJ244" s="82"/>
      <c r="HOK244" s="84"/>
      <c r="HOL244" s="84"/>
      <c r="HOM244" s="82"/>
      <c r="HON244" s="83"/>
      <c r="HOO244" s="82"/>
      <c r="HOP244" s="84"/>
      <c r="HOQ244" s="84"/>
      <c r="HOR244" s="82"/>
      <c r="HOS244" s="83"/>
      <c r="HOT244" s="82"/>
      <c r="HOU244" s="84"/>
      <c r="HOV244" s="84"/>
      <c r="HOW244" s="82"/>
      <c r="HOX244" s="83"/>
      <c r="HOY244" s="82"/>
      <c r="HOZ244" s="84"/>
      <c r="HPA244" s="84"/>
      <c r="HPB244" s="82"/>
      <c r="HPC244" s="83"/>
      <c r="HPD244" s="82"/>
      <c r="HPE244" s="84"/>
      <c r="HPF244" s="84"/>
      <c r="HPG244" s="82"/>
      <c r="HPH244" s="83"/>
      <c r="HPI244" s="82"/>
      <c r="HPJ244" s="84"/>
      <c r="HPK244" s="84"/>
      <c r="HPL244" s="82"/>
      <c r="HPM244" s="83"/>
      <c r="HPN244" s="82"/>
      <c r="HPO244" s="84"/>
      <c r="HPP244" s="84"/>
      <c r="HPQ244" s="82"/>
      <c r="HPR244" s="83"/>
      <c r="HPS244" s="82"/>
      <c r="HPT244" s="84"/>
      <c r="HPU244" s="84"/>
      <c r="HPV244" s="82"/>
      <c r="HPW244" s="83"/>
      <c r="HPX244" s="82"/>
      <c r="HPY244" s="84"/>
      <c r="HPZ244" s="84"/>
      <c r="HQA244" s="82"/>
      <c r="HQB244" s="83"/>
      <c r="HQC244" s="82"/>
      <c r="HQD244" s="84"/>
      <c r="HQE244" s="84"/>
      <c r="HQF244" s="82"/>
      <c r="HQG244" s="83"/>
      <c r="HQH244" s="82"/>
      <c r="HQI244" s="84"/>
      <c r="HQJ244" s="84"/>
      <c r="HQK244" s="82"/>
      <c r="HQL244" s="83"/>
      <c r="HQM244" s="82"/>
      <c r="HQN244" s="84"/>
      <c r="HQO244" s="84"/>
      <c r="HQP244" s="82"/>
      <c r="HQQ244" s="83"/>
      <c r="HQR244" s="82"/>
      <c r="HQS244" s="84"/>
      <c r="HQT244" s="84"/>
      <c r="HQU244" s="82"/>
      <c r="HQV244" s="83"/>
      <c r="HQW244" s="82"/>
      <c r="HQX244" s="84"/>
      <c r="HQY244" s="84"/>
      <c r="HQZ244" s="82"/>
      <c r="HRA244" s="83"/>
      <c r="HRB244" s="82"/>
      <c r="HRC244" s="84"/>
      <c r="HRD244" s="84"/>
      <c r="HRE244" s="82"/>
      <c r="HRF244" s="83"/>
      <c r="HRG244" s="82"/>
      <c r="HRH244" s="84"/>
      <c r="HRI244" s="84"/>
      <c r="HRJ244" s="82"/>
      <c r="HRK244" s="83"/>
      <c r="HRL244" s="82"/>
      <c r="HRM244" s="84"/>
      <c r="HRN244" s="84"/>
      <c r="HRO244" s="82"/>
      <c r="HRP244" s="83"/>
      <c r="HRQ244" s="82"/>
      <c r="HRR244" s="84"/>
      <c r="HRS244" s="84"/>
      <c r="HRT244" s="82"/>
      <c r="HRU244" s="83"/>
      <c r="HRV244" s="82"/>
      <c r="HRW244" s="84"/>
      <c r="HRX244" s="84"/>
      <c r="HRY244" s="82"/>
      <c r="HRZ244" s="83"/>
      <c r="HSA244" s="82"/>
      <c r="HSB244" s="84"/>
      <c r="HSC244" s="84"/>
      <c r="HSD244" s="82"/>
      <c r="HSE244" s="83"/>
      <c r="HSF244" s="82"/>
      <c r="HSG244" s="84"/>
      <c r="HSH244" s="84"/>
      <c r="HSI244" s="82"/>
      <c r="HSJ244" s="83"/>
      <c r="HSK244" s="82"/>
      <c r="HSL244" s="84"/>
      <c r="HSM244" s="84"/>
      <c r="HSN244" s="82"/>
      <c r="HSO244" s="83"/>
      <c r="HSP244" s="82"/>
      <c r="HSQ244" s="84"/>
      <c r="HSR244" s="84"/>
      <c r="HSS244" s="82"/>
      <c r="HST244" s="83"/>
      <c r="HSU244" s="82"/>
      <c r="HSV244" s="84"/>
      <c r="HSW244" s="84"/>
      <c r="HSX244" s="82"/>
      <c r="HSY244" s="83"/>
      <c r="HSZ244" s="82"/>
      <c r="HTA244" s="84"/>
      <c r="HTB244" s="84"/>
      <c r="HTC244" s="82"/>
      <c r="HTD244" s="83"/>
      <c r="HTE244" s="82"/>
      <c r="HTF244" s="84"/>
      <c r="HTG244" s="84"/>
      <c r="HTH244" s="82"/>
      <c r="HTI244" s="83"/>
      <c r="HTJ244" s="82"/>
      <c r="HTK244" s="84"/>
      <c r="HTL244" s="84"/>
      <c r="HTM244" s="82"/>
      <c r="HTN244" s="83"/>
      <c r="HTO244" s="82"/>
      <c r="HTP244" s="84"/>
      <c r="HTQ244" s="84"/>
      <c r="HTR244" s="82"/>
      <c r="HTS244" s="83"/>
      <c r="HTT244" s="82"/>
      <c r="HTU244" s="84"/>
      <c r="HTV244" s="84"/>
      <c r="HTW244" s="82"/>
      <c r="HTX244" s="83"/>
      <c r="HTY244" s="82"/>
      <c r="HTZ244" s="84"/>
      <c r="HUA244" s="84"/>
      <c r="HUB244" s="82"/>
      <c r="HUC244" s="83"/>
      <c r="HUD244" s="82"/>
      <c r="HUE244" s="84"/>
      <c r="HUF244" s="84"/>
      <c r="HUG244" s="82"/>
      <c r="HUH244" s="83"/>
      <c r="HUI244" s="82"/>
      <c r="HUJ244" s="84"/>
      <c r="HUK244" s="84"/>
      <c r="HUL244" s="82"/>
      <c r="HUM244" s="83"/>
      <c r="HUN244" s="82"/>
      <c r="HUO244" s="84"/>
      <c r="HUP244" s="84"/>
      <c r="HUQ244" s="82"/>
      <c r="HUR244" s="83"/>
      <c r="HUS244" s="82"/>
      <c r="HUT244" s="84"/>
      <c r="HUU244" s="84"/>
      <c r="HUV244" s="82"/>
      <c r="HUW244" s="83"/>
      <c r="HUX244" s="82"/>
      <c r="HUY244" s="84"/>
      <c r="HUZ244" s="84"/>
      <c r="HVA244" s="82"/>
      <c r="HVB244" s="83"/>
      <c r="HVC244" s="82"/>
      <c r="HVD244" s="84"/>
      <c r="HVE244" s="84"/>
      <c r="HVF244" s="82"/>
      <c r="HVG244" s="83"/>
      <c r="HVH244" s="82"/>
      <c r="HVI244" s="84"/>
      <c r="HVJ244" s="84"/>
      <c r="HVK244" s="82"/>
      <c r="HVL244" s="83"/>
      <c r="HVM244" s="82"/>
      <c r="HVN244" s="84"/>
      <c r="HVO244" s="84"/>
      <c r="HVP244" s="82"/>
      <c r="HVQ244" s="83"/>
      <c r="HVR244" s="82"/>
      <c r="HVS244" s="84"/>
      <c r="HVT244" s="84"/>
      <c r="HVU244" s="82"/>
      <c r="HVV244" s="83"/>
      <c r="HVW244" s="82"/>
      <c r="HVX244" s="84"/>
      <c r="HVY244" s="84"/>
      <c r="HVZ244" s="82"/>
      <c r="HWA244" s="83"/>
      <c r="HWB244" s="82"/>
      <c r="HWC244" s="84"/>
      <c r="HWD244" s="84"/>
      <c r="HWE244" s="82"/>
      <c r="HWF244" s="83"/>
      <c r="HWG244" s="82"/>
      <c r="HWH244" s="84"/>
      <c r="HWI244" s="84"/>
      <c r="HWJ244" s="82"/>
      <c r="HWK244" s="83"/>
      <c r="HWL244" s="82"/>
      <c r="HWM244" s="84"/>
      <c r="HWN244" s="84"/>
      <c r="HWO244" s="82"/>
      <c r="HWP244" s="83"/>
      <c r="HWQ244" s="82"/>
      <c r="HWR244" s="84"/>
      <c r="HWS244" s="84"/>
      <c r="HWT244" s="82"/>
      <c r="HWU244" s="83"/>
      <c r="HWV244" s="82"/>
      <c r="HWW244" s="84"/>
      <c r="HWX244" s="84"/>
      <c r="HWY244" s="82"/>
      <c r="HWZ244" s="83"/>
      <c r="HXA244" s="82"/>
      <c r="HXB244" s="84"/>
      <c r="HXC244" s="84"/>
      <c r="HXD244" s="82"/>
      <c r="HXE244" s="83"/>
      <c r="HXF244" s="82"/>
      <c r="HXG244" s="84"/>
      <c r="HXH244" s="84"/>
      <c r="HXI244" s="82"/>
      <c r="HXJ244" s="83"/>
      <c r="HXK244" s="82"/>
      <c r="HXL244" s="84"/>
      <c r="HXM244" s="84"/>
      <c r="HXN244" s="82"/>
      <c r="HXO244" s="83"/>
      <c r="HXP244" s="82"/>
      <c r="HXQ244" s="84"/>
      <c r="HXR244" s="84"/>
      <c r="HXS244" s="82"/>
      <c r="HXT244" s="83"/>
      <c r="HXU244" s="82"/>
      <c r="HXV244" s="84"/>
      <c r="HXW244" s="84"/>
      <c r="HXX244" s="82"/>
      <c r="HXY244" s="83"/>
      <c r="HXZ244" s="82"/>
      <c r="HYA244" s="84"/>
      <c r="HYB244" s="84"/>
      <c r="HYC244" s="82"/>
      <c r="HYD244" s="83"/>
      <c r="HYE244" s="82"/>
      <c r="HYF244" s="84"/>
      <c r="HYG244" s="84"/>
      <c r="HYH244" s="82"/>
      <c r="HYI244" s="83"/>
      <c r="HYJ244" s="82"/>
      <c r="HYK244" s="84"/>
      <c r="HYL244" s="84"/>
      <c r="HYM244" s="82"/>
      <c r="HYN244" s="83"/>
      <c r="HYO244" s="82"/>
      <c r="HYP244" s="84"/>
      <c r="HYQ244" s="84"/>
      <c r="HYR244" s="82"/>
      <c r="HYS244" s="83"/>
      <c r="HYT244" s="82"/>
      <c r="HYU244" s="84"/>
      <c r="HYV244" s="84"/>
      <c r="HYW244" s="82"/>
      <c r="HYX244" s="83"/>
      <c r="HYY244" s="82"/>
      <c r="HYZ244" s="84"/>
      <c r="HZA244" s="84"/>
      <c r="HZB244" s="82"/>
      <c r="HZC244" s="83"/>
      <c r="HZD244" s="82"/>
      <c r="HZE244" s="84"/>
      <c r="HZF244" s="84"/>
      <c r="HZG244" s="82"/>
      <c r="HZH244" s="83"/>
      <c r="HZI244" s="82"/>
      <c r="HZJ244" s="84"/>
      <c r="HZK244" s="84"/>
      <c r="HZL244" s="82"/>
      <c r="HZM244" s="83"/>
      <c r="HZN244" s="82"/>
      <c r="HZO244" s="84"/>
      <c r="HZP244" s="84"/>
      <c r="HZQ244" s="82"/>
      <c r="HZR244" s="83"/>
      <c r="HZS244" s="82"/>
      <c r="HZT244" s="84"/>
      <c r="HZU244" s="84"/>
      <c r="HZV244" s="82"/>
      <c r="HZW244" s="83"/>
      <c r="HZX244" s="82"/>
      <c r="HZY244" s="84"/>
      <c r="HZZ244" s="84"/>
      <c r="IAA244" s="82"/>
      <c r="IAB244" s="83"/>
      <c r="IAC244" s="82"/>
      <c r="IAD244" s="84"/>
      <c r="IAE244" s="84"/>
      <c r="IAF244" s="82"/>
      <c r="IAG244" s="83"/>
      <c r="IAH244" s="82"/>
      <c r="IAI244" s="84"/>
      <c r="IAJ244" s="84"/>
      <c r="IAK244" s="82"/>
      <c r="IAL244" s="83"/>
      <c r="IAM244" s="82"/>
      <c r="IAN244" s="84"/>
      <c r="IAO244" s="84"/>
      <c r="IAP244" s="82"/>
      <c r="IAQ244" s="83"/>
      <c r="IAR244" s="82"/>
      <c r="IAS244" s="84"/>
      <c r="IAT244" s="84"/>
      <c r="IAU244" s="82"/>
      <c r="IAV244" s="83"/>
      <c r="IAW244" s="82"/>
      <c r="IAX244" s="84"/>
      <c r="IAY244" s="84"/>
      <c r="IAZ244" s="82"/>
      <c r="IBA244" s="83"/>
      <c r="IBB244" s="82"/>
      <c r="IBC244" s="84"/>
      <c r="IBD244" s="84"/>
      <c r="IBE244" s="82"/>
      <c r="IBF244" s="83"/>
      <c r="IBG244" s="82"/>
      <c r="IBH244" s="84"/>
      <c r="IBI244" s="84"/>
      <c r="IBJ244" s="82"/>
      <c r="IBK244" s="83"/>
      <c r="IBL244" s="82"/>
      <c r="IBM244" s="84"/>
      <c r="IBN244" s="84"/>
      <c r="IBO244" s="82"/>
      <c r="IBP244" s="83"/>
      <c r="IBQ244" s="82"/>
      <c r="IBR244" s="84"/>
      <c r="IBS244" s="84"/>
      <c r="IBT244" s="82"/>
      <c r="IBU244" s="83"/>
      <c r="IBV244" s="82"/>
      <c r="IBW244" s="84"/>
      <c r="IBX244" s="84"/>
      <c r="IBY244" s="82"/>
      <c r="IBZ244" s="83"/>
      <c r="ICA244" s="82"/>
      <c r="ICB244" s="84"/>
      <c r="ICC244" s="84"/>
      <c r="ICD244" s="82"/>
      <c r="ICE244" s="83"/>
      <c r="ICF244" s="82"/>
      <c r="ICG244" s="84"/>
      <c r="ICH244" s="84"/>
      <c r="ICI244" s="82"/>
      <c r="ICJ244" s="83"/>
      <c r="ICK244" s="82"/>
      <c r="ICL244" s="84"/>
      <c r="ICM244" s="84"/>
      <c r="ICN244" s="82"/>
      <c r="ICO244" s="83"/>
      <c r="ICP244" s="82"/>
      <c r="ICQ244" s="84"/>
      <c r="ICR244" s="84"/>
      <c r="ICS244" s="82"/>
      <c r="ICT244" s="83"/>
      <c r="ICU244" s="82"/>
      <c r="ICV244" s="84"/>
      <c r="ICW244" s="84"/>
      <c r="ICX244" s="82"/>
      <c r="ICY244" s="83"/>
      <c r="ICZ244" s="82"/>
      <c r="IDA244" s="84"/>
      <c r="IDB244" s="84"/>
      <c r="IDC244" s="82"/>
      <c r="IDD244" s="83"/>
      <c r="IDE244" s="82"/>
      <c r="IDF244" s="84"/>
      <c r="IDG244" s="84"/>
      <c r="IDH244" s="82"/>
      <c r="IDI244" s="83"/>
      <c r="IDJ244" s="82"/>
      <c r="IDK244" s="84"/>
      <c r="IDL244" s="84"/>
      <c r="IDM244" s="82"/>
      <c r="IDN244" s="83"/>
      <c r="IDO244" s="82"/>
      <c r="IDP244" s="84"/>
      <c r="IDQ244" s="84"/>
      <c r="IDR244" s="82"/>
      <c r="IDS244" s="83"/>
      <c r="IDT244" s="82"/>
      <c r="IDU244" s="84"/>
      <c r="IDV244" s="84"/>
      <c r="IDW244" s="82"/>
      <c r="IDX244" s="83"/>
      <c r="IDY244" s="82"/>
      <c r="IDZ244" s="84"/>
      <c r="IEA244" s="84"/>
      <c r="IEB244" s="82"/>
      <c r="IEC244" s="83"/>
      <c r="IED244" s="82"/>
      <c r="IEE244" s="84"/>
      <c r="IEF244" s="84"/>
      <c r="IEG244" s="82"/>
      <c r="IEH244" s="83"/>
      <c r="IEI244" s="82"/>
      <c r="IEJ244" s="84"/>
      <c r="IEK244" s="84"/>
      <c r="IEL244" s="82"/>
      <c r="IEM244" s="83"/>
      <c r="IEN244" s="82"/>
      <c r="IEO244" s="84"/>
      <c r="IEP244" s="84"/>
      <c r="IEQ244" s="82"/>
      <c r="IER244" s="83"/>
      <c r="IES244" s="82"/>
      <c r="IET244" s="84"/>
      <c r="IEU244" s="84"/>
      <c r="IEV244" s="82"/>
      <c r="IEW244" s="83"/>
      <c r="IEX244" s="82"/>
      <c r="IEY244" s="84"/>
      <c r="IEZ244" s="84"/>
      <c r="IFA244" s="82"/>
      <c r="IFB244" s="83"/>
      <c r="IFC244" s="82"/>
      <c r="IFD244" s="84"/>
      <c r="IFE244" s="84"/>
      <c r="IFF244" s="82"/>
      <c r="IFG244" s="83"/>
      <c r="IFH244" s="82"/>
      <c r="IFI244" s="84"/>
      <c r="IFJ244" s="84"/>
      <c r="IFK244" s="82"/>
      <c r="IFL244" s="83"/>
      <c r="IFM244" s="82"/>
      <c r="IFN244" s="84"/>
      <c r="IFO244" s="84"/>
      <c r="IFP244" s="82"/>
      <c r="IFQ244" s="83"/>
      <c r="IFR244" s="82"/>
      <c r="IFS244" s="84"/>
      <c r="IFT244" s="84"/>
      <c r="IFU244" s="82"/>
      <c r="IFV244" s="83"/>
      <c r="IFW244" s="82"/>
      <c r="IFX244" s="84"/>
      <c r="IFY244" s="84"/>
      <c r="IFZ244" s="82"/>
      <c r="IGA244" s="83"/>
      <c r="IGB244" s="82"/>
      <c r="IGC244" s="84"/>
      <c r="IGD244" s="84"/>
      <c r="IGE244" s="82"/>
      <c r="IGF244" s="83"/>
      <c r="IGG244" s="82"/>
      <c r="IGH244" s="84"/>
      <c r="IGI244" s="84"/>
      <c r="IGJ244" s="82"/>
      <c r="IGK244" s="83"/>
      <c r="IGL244" s="82"/>
      <c r="IGM244" s="84"/>
      <c r="IGN244" s="84"/>
      <c r="IGO244" s="82"/>
      <c r="IGP244" s="83"/>
      <c r="IGQ244" s="82"/>
      <c r="IGR244" s="84"/>
      <c r="IGS244" s="84"/>
      <c r="IGT244" s="82"/>
      <c r="IGU244" s="83"/>
      <c r="IGV244" s="82"/>
      <c r="IGW244" s="84"/>
      <c r="IGX244" s="84"/>
      <c r="IGY244" s="82"/>
      <c r="IGZ244" s="83"/>
      <c r="IHA244" s="82"/>
      <c r="IHB244" s="84"/>
      <c r="IHC244" s="84"/>
      <c r="IHD244" s="82"/>
      <c r="IHE244" s="83"/>
      <c r="IHF244" s="82"/>
      <c r="IHG244" s="84"/>
      <c r="IHH244" s="84"/>
      <c r="IHI244" s="82"/>
      <c r="IHJ244" s="83"/>
      <c r="IHK244" s="82"/>
      <c r="IHL244" s="84"/>
      <c r="IHM244" s="84"/>
      <c r="IHN244" s="82"/>
      <c r="IHO244" s="83"/>
      <c r="IHP244" s="82"/>
      <c r="IHQ244" s="84"/>
      <c r="IHR244" s="84"/>
      <c r="IHS244" s="82"/>
      <c r="IHT244" s="83"/>
      <c r="IHU244" s="82"/>
      <c r="IHV244" s="84"/>
      <c r="IHW244" s="84"/>
      <c r="IHX244" s="82"/>
      <c r="IHY244" s="83"/>
      <c r="IHZ244" s="82"/>
      <c r="IIA244" s="84"/>
      <c r="IIB244" s="84"/>
      <c r="IIC244" s="82"/>
      <c r="IID244" s="83"/>
      <c r="IIE244" s="82"/>
      <c r="IIF244" s="84"/>
      <c r="IIG244" s="84"/>
      <c r="IIH244" s="82"/>
      <c r="III244" s="83"/>
      <c r="IIJ244" s="82"/>
      <c r="IIK244" s="84"/>
      <c r="IIL244" s="84"/>
      <c r="IIM244" s="82"/>
      <c r="IIN244" s="83"/>
      <c r="IIO244" s="82"/>
      <c r="IIP244" s="84"/>
      <c r="IIQ244" s="84"/>
      <c r="IIR244" s="82"/>
      <c r="IIS244" s="83"/>
      <c r="IIT244" s="82"/>
      <c r="IIU244" s="84"/>
      <c r="IIV244" s="84"/>
      <c r="IIW244" s="82"/>
      <c r="IIX244" s="83"/>
      <c r="IIY244" s="82"/>
      <c r="IIZ244" s="84"/>
      <c r="IJA244" s="84"/>
      <c r="IJB244" s="82"/>
      <c r="IJC244" s="83"/>
      <c r="IJD244" s="82"/>
      <c r="IJE244" s="84"/>
      <c r="IJF244" s="84"/>
      <c r="IJG244" s="82"/>
      <c r="IJH244" s="83"/>
      <c r="IJI244" s="82"/>
      <c r="IJJ244" s="84"/>
      <c r="IJK244" s="84"/>
      <c r="IJL244" s="82"/>
      <c r="IJM244" s="83"/>
      <c r="IJN244" s="82"/>
      <c r="IJO244" s="84"/>
      <c r="IJP244" s="84"/>
      <c r="IJQ244" s="82"/>
      <c r="IJR244" s="83"/>
      <c r="IJS244" s="82"/>
      <c r="IJT244" s="84"/>
      <c r="IJU244" s="84"/>
      <c r="IJV244" s="82"/>
      <c r="IJW244" s="83"/>
      <c r="IJX244" s="82"/>
      <c r="IJY244" s="84"/>
      <c r="IJZ244" s="84"/>
      <c r="IKA244" s="82"/>
      <c r="IKB244" s="83"/>
      <c r="IKC244" s="82"/>
      <c r="IKD244" s="84"/>
      <c r="IKE244" s="84"/>
      <c r="IKF244" s="82"/>
      <c r="IKG244" s="83"/>
      <c r="IKH244" s="82"/>
      <c r="IKI244" s="84"/>
      <c r="IKJ244" s="84"/>
      <c r="IKK244" s="82"/>
      <c r="IKL244" s="83"/>
      <c r="IKM244" s="82"/>
      <c r="IKN244" s="84"/>
      <c r="IKO244" s="84"/>
      <c r="IKP244" s="82"/>
      <c r="IKQ244" s="83"/>
      <c r="IKR244" s="82"/>
      <c r="IKS244" s="84"/>
      <c r="IKT244" s="84"/>
      <c r="IKU244" s="82"/>
      <c r="IKV244" s="83"/>
      <c r="IKW244" s="82"/>
      <c r="IKX244" s="84"/>
      <c r="IKY244" s="84"/>
      <c r="IKZ244" s="82"/>
      <c r="ILA244" s="83"/>
      <c r="ILB244" s="82"/>
      <c r="ILC244" s="84"/>
      <c r="ILD244" s="84"/>
      <c r="ILE244" s="82"/>
      <c r="ILF244" s="83"/>
      <c r="ILG244" s="82"/>
      <c r="ILH244" s="84"/>
      <c r="ILI244" s="84"/>
      <c r="ILJ244" s="82"/>
      <c r="ILK244" s="83"/>
      <c r="ILL244" s="82"/>
      <c r="ILM244" s="84"/>
      <c r="ILN244" s="84"/>
      <c r="ILO244" s="82"/>
      <c r="ILP244" s="83"/>
      <c r="ILQ244" s="82"/>
      <c r="ILR244" s="84"/>
      <c r="ILS244" s="84"/>
      <c r="ILT244" s="82"/>
      <c r="ILU244" s="83"/>
      <c r="ILV244" s="82"/>
      <c r="ILW244" s="84"/>
      <c r="ILX244" s="84"/>
      <c r="ILY244" s="82"/>
      <c r="ILZ244" s="83"/>
      <c r="IMA244" s="82"/>
      <c r="IMB244" s="84"/>
      <c r="IMC244" s="84"/>
      <c r="IMD244" s="82"/>
      <c r="IME244" s="83"/>
      <c r="IMF244" s="82"/>
      <c r="IMG244" s="84"/>
      <c r="IMH244" s="84"/>
      <c r="IMI244" s="82"/>
      <c r="IMJ244" s="83"/>
      <c r="IMK244" s="82"/>
      <c r="IML244" s="84"/>
      <c r="IMM244" s="84"/>
      <c r="IMN244" s="82"/>
      <c r="IMO244" s="83"/>
      <c r="IMP244" s="82"/>
      <c r="IMQ244" s="84"/>
      <c r="IMR244" s="84"/>
      <c r="IMS244" s="82"/>
      <c r="IMT244" s="83"/>
      <c r="IMU244" s="82"/>
      <c r="IMV244" s="84"/>
      <c r="IMW244" s="84"/>
      <c r="IMX244" s="82"/>
      <c r="IMY244" s="83"/>
      <c r="IMZ244" s="82"/>
      <c r="INA244" s="84"/>
      <c r="INB244" s="84"/>
      <c r="INC244" s="82"/>
      <c r="IND244" s="83"/>
      <c r="INE244" s="82"/>
      <c r="INF244" s="84"/>
      <c r="ING244" s="84"/>
      <c r="INH244" s="82"/>
      <c r="INI244" s="83"/>
      <c r="INJ244" s="82"/>
      <c r="INK244" s="84"/>
      <c r="INL244" s="84"/>
      <c r="INM244" s="82"/>
      <c r="INN244" s="83"/>
      <c r="INO244" s="82"/>
      <c r="INP244" s="84"/>
      <c r="INQ244" s="84"/>
      <c r="INR244" s="82"/>
      <c r="INS244" s="83"/>
      <c r="INT244" s="82"/>
      <c r="INU244" s="84"/>
      <c r="INV244" s="84"/>
      <c r="INW244" s="82"/>
      <c r="INX244" s="83"/>
      <c r="INY244" s="82"/>
      <c r="INZ244" s="84"/>
      <c r="IOA244" s="84"/>
      <c r="IOB244" s="82"/>
      <c r="IOC244" s="83"/>
      <c r="IOD244" s="82"/>
      <c r="IOE244" s="84"/>
      <c r="IOF244" s="84"/>
      <c r="IOG244" s="82"/>
      <c r="IOH244" s="83"/>
      <c r="IOI244" s="82"/>
      <c r="IOJ244" s="84"/>
      <c r="IOK244" s="84"/>
      <c r="IOL244" s="82"/>
      <c r="IOM244" s="83"/>
      <c r="ION244" s="82"/>
      <c r="IOO244" s="84"/>
      <c r="IOP244" s="84"/>
      <c r="IOQ244" s="82"/>
      <c r="IOR244" s="83"/>
      <c r="IOS244" s="82"/>
      <c r="IOT244" s="84"/>
      <c r="IOU244" s="84"/>
      <c r="IOV244" s="82"/>
      <c r="IOW244" s="83"/>
      <c r="IOX244" s="82"/>
      <c r="IOY244" s="84"/>
      <c r="IOZ244" s="84"/>
      <c r="IPA244" s="82"/>
      <c r="IPB244" s="83"/>
      <c r="IPC244" s="82"/>
      <c r="IPD244" s="84"/>
      <c r="IPE244" s="84"/>
      <c r="IPF244" s="82"/>
      <c r="IPG244" s="83"/>
      <c r="IPH244" s="82"/>
      <c r="IPI244" s="84"/>
      <c r="IPJ244" s="84"/>
      <c r="IPK244" s="82"/>
      <c r="IPL244" s="83"/>
      <c r="IPM244" s="82"/>
      <c r="IPN244" s="84"/>
      <c r="IPO244" s="84"/>
      <c r="IPP244" s="82"/>
      <c r="IPQ244" s="83"/>
      <c r="IPR244" s="82"/>
      <c r="IPS244" s="84"/>
      <c r="IPT244" s="84"/>
      <c r="IPU244" s="82"/>
      <c r="IPV244" s="83"/>
      <c r="IPW244" s="82"/>
      <c r="IPX244" s="84"/>
      <c r="IPY244" s="84"/>
      <c r="IPZ244" s="82"/>
      <c r="IQA244" s="83"/>
      <c r="IQB244" s="82"/>
      <c r="IQC244" s="84"/>
      <c r="IQD244" s="84"/>
      <c r="IQE244" s="82"/>
      <c r="IQF244" s="83"/>
      <c r="IQG244" s="82"/>
      <c r="IQH244" s="84"/>
      <c r="IQI244" s="84"/>
      <c r="IQJ244" s="82"/>
      <c r="IQK244" s="83"/>
      <c r="IQL244" s="82"/>
      <c r="IQM244" s="84"/>
      <c r="IQN244" s="84"/>
      <c r="IQO244" s="82"/>
      <c r="IQP244" s="83"/>
      <c r="IQQ244" s="82"/>
      <c r="IQR244" s="84"/>
      <c r="IQS244" s="84"/>
      <c r="IQT244" s="82"/>
      <c r="IQU244" s="83"/>
      <c r="IQV244" s="82"/>
      <c r="IQW244" s="84"/>
      <c r="IQX244" s="84"/>
      <c r="IQY244" s="82"/>
      <c r="IQZ244" s="83"/>
      <c r="IRA244" s="82"/>
      <c r="IRB244" s="84"/>
      <c r="IRC244" s="84"/>
      <c r="IRD244" s="82"/>
      <c r="IRE244" s="83"/>
      <c r="IRF244" s="82"/>
      <c r="IRG244" s="84"/>
      <c r="IRH244" s="84"/>
      <c r="IRI244" s="82"/>
      <c r="IRJ244" s="83"/>
      <c r="IRK244" s="82"/>
      <c r="IRL244" s="84"/>
      <c r="IRM244" s="84"/>
      <c r="IRN244" s="82"/>
      <c r="IRO244" s="83"/>
      <c r="IRP244" s="82"/>
      <c r="IRQ244" s="84"/>
      <c r="IRR244" s="84"/>
      <c r="IRS244" s="82"/>
      <c r="IRT244" s="83"/>
      <c r="IRU244" s="82"/>
      <c r="IRV244" s="84"/>
      <c r="IRW244" s="84"/>
      <c r="IRX244" s="82"/>
      <c r="IRY244" s="83"/>
      <c r="IRZ244" s="82"/>
      <c r="ISA244" s="84"/>
      <c r="ISB244" s="84"/>
      <c r="ISC244" s="82"/>
      <c r="ISD244" s="83"/>
      <c r="ISE244" s="82"/>
      <c r="ISF244" s="84"/>
      <c r="ISG244" s="84"/>
      <c r="ISH244" s="82"/>
      <c r="ISI244" s="83"/>
      <c r="ISJ244" s="82"/>
      <c r="ISK244" s="84"/>
      <c r="ISL244" s="84"/>
      <c r="ISM244" s="82"/>
      <c r="ISN244" s="83"/>
      <c r="ISO244" s="82"/>
      <c r="ISP244" s="84"/>
      <c r="ISQ244" s="84"/>
      <c r="ISR244" s="82"/>
      <c r="ISS244" s="83"/>
      <c r="IST244" s="82"/>
      <c r="ISU244" s="84"/>
      <c r="ISV244" s="84"/>
      <c r="ISW244" s="82"/>
      <c r="ISX244" s="83"/>
      <c r="ISY244" s="82"/>
      <c r="ISZ244" s="84"/>
      <c r="ITA244" s="84"/>
      <c r="ITB244" s="82"/>
      <c r="ITC244" s="83"/>
      <c r="ITD244" s="82"/>
      <c r="ITE244" s="84"/>
      <c r="ITF244" s="84"/>
      <c r="ITG244" s="82"/>
      <c r="ITH244" s="83"/>
      <c r="ITI244" s="82"/>
      <c r="ITJ244" s="84"/>
      <c r="ITK244" s="84"/>
      <c r="ITL244" s="82"/>
      <c r="ITM244" s="83"/>
      <c r="ITN244" s="82"/>
      <c r="ITO244" s="84"/>
      <c r="ITP244" s="84"/>
      <c r="ITQ244" s="82"/>
      <c r="ITR244" s="83"/>
      <c r="ITS244" s="82"/>
      <c r="ITT244" s="84"/>
      <c r="ITU244" s="84"/>
      <c r="ITV244" s="82"/>
      <c r="ITW244" s="83"/>
      <c r="ITX244" s="82"/>
      <c r="ITY244" s="84"/>
      <c r="ITZ244" s="84"/>
      <c r="IUA244" s="82"/>
      <c r="IUB244" s="83"/>
      <c r="IUC244" s="82"/>
      <c r="IUD244" s="84"/>
      <c r="IUE244" s="84"/>
      <c r="IUF244" s="82"/>
      <c r="IUG244" s="83"/>
      <c r="IUH244" s="82"/>
      <c r="IUI244" s="84"/>
      <c r="IUJ244" s="84"/>
      <c r="IUK244" s="82"/>
      <c r="IUL244" s="83"/>
      <c r="IUM244" s="82"/>
      <c r="IUN244" s="84"/>
      <c r="IUO244" s="84"/>
      <c r="IUP244" s="82"/>
      <c r="IUQ244" s="83"/>
      <c r="IUR244" s="82"/>
      <c r="IUS244" s="84"/>
      <c r="IUT244" s="84"/>
      <c r="IUU244" s="82"/>
      <c r="IUV244" s="83"/>
      <c r="IUW244" s="82"/>
      <c r="IUX244" s="84"/>
      <c r="IUY244" s="84"/>
      <c r="IUZ244" s="82"/>
      <c r="IVA244" s="83"/>
      <c r="IVB244" s="82"/>
      <c r="IVC244" s="84"/>
      <c r="IVD244" s="84"/>
      <c r="IVE244" s="82"/>
      <c r="IVF244" s="83"/>
      <c r="IVG244" s="82"/>
      <c r="IVH244" s="84"/>
      <c r="IVI244" s="84"/>
      <c r="IVJ244" s="82"/>
      <c r="IVK244" s="83"/>
      <c r="IVL244" s="82"/>
      <c r="IVM244" s="84"/>
      <c r="IVN244" s="84"/>
      <c r="IVO244" s="82"/>
      <c r="IVP244" s="83"/>
      <c r="IVQ244" s="82"/>
      <c r="IVR244" s="84"/>
      <c r="IVS244" s="84"/>
      <c r="IVT244" s="82"/>
      <c r="IVU244" s="83"/>
      <c r="IVV244" s="82"/>
      <c r="IVW244" s="84"/>
      <c r="IVX244" s="84"/>
      <c r="IVY244" s="82"/>
      <c r="IVZ244" s="83"/>
      <c r="IWA244" s="82"/>
      <c r="IWB244" s="84"/>
      <c r="IWC244" s="84"/>
      <c r="IWD244" s="82"/>
      <c r="IWE244" s="83"/>
      <c r="IWF244" s="82"/>
      <c r="IWG244" s="84"/>
      <c r="IWH244" s="84"/>
      <c r="IWI244" s="82"/>
      <c r="IWJ244" s="83"/>
      <c r="IWK244" s="82"/>
      <c r="IWL244" s="84"/>
      <c r="IWM244" s="84"/>
      <c r="IWN244" s="82"/>
      <c r="IWO244" s="83"/>
      <c r="IWP244" s="82"/>
      <c r="IWQ244" s="84"/>
      <c r="IWR244" s="84"/>
      <c r="IWS244" s="82"/>
      <c r="IWT244" s="83"/>
      <c r="IWU244" s="82"/>
      <c r="IWV244" s="84"/>
      <c r="IWW244" s="84"/>
      <c r="IWX244" s="82"/>
      <c r="IWY244" s="83"/>
      <c r="IWZ244" s="82"/>
      <c r="IXA244" s="84"/>
      <c r="IXB244" s="84"/>
      <c r="IXC244" s="82"/>
      <c r="IXD244" s="83"/>
      <c r="IXE244" s="82"/>
      <c r="IXF244" s="84"/>
      <c r="IXG244" s="84"/>
      <c r="IXH244" s="82"/>
      <c r="IXI244" s="83"/>
      <c r="IXJ244" s="82"/>
      <c r="IXK244" s="84"/>
      <c r="IXL244" s="84"/>
      <c r="IXM244" s="82"/>
      <c r="IXN244" s="83"/>
      <c r="IXO244" s="82"/>
      <c r="IXP244" s="84"/>
      <c r="IXQ244" s="84"/>
      <c r="IXR244" s="82"/>
      <c r="IXS244" s="83"/>
      <c r="IXT244" s="82"/>
      <c r="IXU244" s="84"/>
      <c r="IXV244" s="84"/>
      <c r="IXW244" s="82"/>
      <c r="IXX244" s="83"/>
      <c r="IXY244" s="82"/>
      <c r="IXZ244" s="84"/>
      <c r="IYA244" s="84"/>
      <c r="IYB244" s="82"/>
      <c r="IYC244" s="83"/>
      <c r="IYD244" s="82"/>
      <c r="IYE244" s="84"/>
      <c r="IYF244" s="84"/>
      <c r="IYG244" s="82"/>
      <c r="IYH244" s="83"/>
      <c r="IYI244" s="82"/>
      <c r="IYJ244" s="84"/>
      <c r="IYK244" s="84"/>
      <c r="IYL244" s="82"/>
      <c r="IYM244" s="83"/>
      <c r="IYN244" s="82"/>
      <c r="IYO244" s="84"/>
      <c r="IYP244" s="84"/>
      <c r="IYQ244" s="82"/>
      <c r="IYR244" s="83"/>
      <c r="IYS244" s="82"/>
      <c r="IYT244" s="84"/>
      <c r="IYU244" s="84"/>
      <c r="IYV244" s="82"/>
      <c r="IYW244" s="83"/>
      <c r="IYX244" s="82"/>
      <c r="IYY244" s="84"/>
      <c r="IYZ244" s="84"/>
      <c r="IZA244" s="82"/>
      <c r="IZB244" s="83"/>
      <c r="IZC244" s="82"/>
      <c r="IZD244" s="84"/>
      <c r="IZE244" s="84"/>
      <c r="IZF244" s="82"/>
      <c r="IZG244" s="83"/>
      <c r="IZH244" s="82"/>
      <c r="IZI244" s="84"/>
      <c r="IZJ244" s="84"/>
      <c r="IZK244" s="82"/>
      <c r="IZL244" s="83"/>
      <c r="IZM244" s="82"/>
      <c r="IZN244" s="84"/>
      <c r="IZO244" s="84"/>
      <c r="IZP244" s="82"/>
      <c r="IZQ244" s="83"/>
      <c r="IZR244" s="82"/>
      <c r="IZS244" s="84"/>
      <c r="IZT244" s="84"/>
      <c r="IZU244" s="82"/>
      <c r="IZV244" s="83"/>
      <c r="IZW244" s="82"/>
      <c r="IZX244" s="84"/>
      <c r="IZY244" s="84"/>
      <c r="IZZ244" s="82"/>
      <c r="JAA244" s="83"/>
      <c r="JAB244" s="82"/>
      <c r="JAC244" s="84"/>
      <c r="JAD244" s="84"/>
      <c r="JAE244" s="82"/>
      <c r="JAF244" s="83"/>
      <c r="JAG244" s="82"/>
      <c r="JAH244" s="84"/>
      <c r="JAI244" s="84"/>
      <c r="JAJ244" s="82"/>
      <c r="JAK244" s="83"/>
      <c r="JAL244" s="82"/>
      <c r="JAM244" s="84"/>
      <c r="JAN244" s="84"/>
      <c r="JAO244" s="82"/>
      <c r="JAP244" s="83"/>
      <c r="JAQ244" s="82"/>
      <c r="JAR244" s="84"/>
      <c r="JAS244" s="84"/>
      <c r="JAT244" s="82"/>
      <c r="JAU244" s="83"/>
      <c r="JAV244" s="82"/>
      <c r="JAW244" s="84"/>
      <c r="JAX244" s="84"/>
      <c r="JAY244" s="82"/>
      <c r="JAZ244" s="83"/>
      <c r="JBA244" s="82"/>
      <c r="JBB244" s="84"/>
      <c r="JBC244" s="84"/>
      <c r="JBD244" s="82"/>
      <c r="JBE244" s="83"/>
      <c r="JBF244" s="82"/>
      <c r="JBG244" s="84"/>
      <c r="JBH244" s="84"/>
      <c r="JBI244" s="82"/>
      <c r="JBJ244" s="83"/>
      <c r="JBK244" s="82"/>
      <c r="JBL244" s="84"/>
      <c r="JBM244" s="84"/>
      <c r="JBN244" s="82"/>
      <c r="JBO244" s="83"/>
      <c r="JBP244" s="82"/>
      <c r="JBQ244" s="84"/>
      <c r="JBR244" s="84"/>
      <c r="JBS244" s="82"/>
      <c r="JBT244" s="83"/>
      <c r="JBU244" s="82"/>
      <c r="JBV244" s="84"/>
      <c r="JBW244" s="84"/>
      <c r="JBX244" s="82"/>
      <c r="JBY244" s="83"/>
      <c r="JBZ244" s="82"/>
      <c r="JCA244" s="84"/>
      <c r="JCB244" s="84"/>
      <c r="JCC244" s="82"/>
      <c r="JCD244" s="83"/>
      <c r="JCE244" s="82"/>
      <c r="JCF244" s="84"/>
      <c r="JCG244" s="84"/>
      <c r="JCH244" s="82"/>
      <c r="JCI244" s="83"/>
      <c r="JCJ244" s="82"/>
      <c r="JCK244" s="84"/>
      <c r="JCL244" s="84"/>
      <c r="JCM244" s="82"/>
      <c r="JCN244" s="83"/>
      <c r="JCO244" s="82"/>
      <c r="JCP244" s="84"/>
      <c r="JCQ244" s="84"/>
      <c r="JCR244" s="82"/>
      <c r="JCS244" s="83"/>
      <c r="JCT244" s="82"/>
      <c r="JCU244" s="84"/>
      <c r="JCV244" s="84"/>
      <c r="JCW244" s="82"/>
      <c r="JCX244" s="83"/>
      <c r="JCY244" s="82"/>
      <c r="JCZ244" s="84"/>
      <c r="JDA244" s="84"/>
      <c r="JDB244" s="82"/>
      <c r="JDC244" s="83"/>
      <c r="JDD244" s="82"/>
      <c r="JDE244" s="84"/>
      <c r="JDF244" s="84"/>
      <c r="JDG244" s="82"/>
      <c r="JDH244" s="83"/>
      <c r="JDI244" s="82"/>
      <c r="JDJ244" s="84"/>
      <c r="JDK244" s="84"/>
      <c r="JDL244" s="82"/>
      <c r="JDM244" s="83"/>
      <c r="JDN244" s="82"/>
      <c r="JDO244" s="84"/>
      <c r="JDP244" s="84"/>
      <c r="JDQ244" s="82"/>
      <c r="JDR244" s="83"/>
      <c r="JDS244" s="82"/>
      <c r="JDT244" s="84"/>
      <c r="JDU244" s="84"/>
      <c r="JDV244" s="82"/>
      <c r="JDW244" s="83"/>
      <c r="JDX244" s="82"/>
      <c r="JDY244" s="84"/>
      <c r="JDZ244" s="84"/>
      <c r="JEA244" s="82"/>
      <c r="JEB244" s="83"/>
      <c r="JEC244" s="82"/>
      <c r="JED244" s="84"/>
      <c r="JEE244" s="84"/>
      <c r="JEF244" s="82"/>
      <c r="JEG244" s="83"/>
      <c r="JEH244" s="82"/>
      <c r="JEI244" s="84"/>
      <c r="JEJ244" s="84"/>
      <c r="JEK244" s="82"/>
      <c r="JEL244" s="83"/>
      <c r="JEM244" s="82"/>
      <c r="JEN244" s="84"/>
      <c r="JEO244" s="84"/>
      <c r="JEP244" s="82"/>
      <c r="JEQ244" s="83"/>
      <c r="JER244" s="82"/>
      <c r="JES244" s="84"/>
      <c r="JET244" s="84"/>
      <c r="JEU244" s="82"/>
      <c r="JEV244" s="83"/>
      <c r="JEW244" s="82"/>
      <c r="JEX244" s="84"/>
      <c r="JEY244" s="84"/>
      <c r="JEZ244" s="82"/>
      <c r="JFA244" s="83"/>
      <c r="JFB244" s="82"/>
      <c r="JFC244" s="84"/>
      <c r="JFD244" s="84"/>
      <c r="JFE244" s="82"/>
      <c r="JFF244" s="83"/>
      <c r="JFG244" s="82"/>
      <c r="JFH244" s="84"/>
      <c r="JFI244" s="84"/>
      <c r="JFJ244" s="82"/>
      <c r="JFK244" s="83"/>
      <c r="JFL244" s="82"/>
      <c r="JFM244" s="84"/>
      <c r="JFN244" s="84"/>
      <c r="JFO244" s="82"/>
      <c r="JFP244" s="83"/>
      <c r="JFQ244" s="82"/>
      <c r="JFR244" s="84"/>
      <c r="JFS244" s="84"/>
      <c r="JFT244" s="82"/>
      <c r="JFU244" s="83"/>
      <c r="JFV244" s="82"/>
      <c r="JFW244" s="84"/>
      <c r="JFX244" s="84"/>
      <c r="JFY244" s="82"/>
      <c r="JFZ244" s="83"/>
      <c r="JGA244" s="82"/>
      <c r="JGB244" s="84"/>
      <c r="JGC244" s="84"/>
      <c r="JGD244" s="82"/>
      <c r="JGE244" s="83"/>
      <c r="JGF244" s="82"/>
      <c r="JGG244" s="84"/>
      <c r="JGH244" s="84"/>
      <c r="JGI244" s="82"/>
      <c r="JGJ244" s="83"/>
      <c r="JGK244" s="82"/>
      <c r="JGL244" s="84"/>
      <c r="JGM244" s="84"/>
      <c r="JGN244" s="82"/>
      <c r="JGO244" s="83"/>
      <c r="JGP244" s="82"/>
      <c r="JGQ244" s="84"/>
      <c r="JGR244" s="84"/>
      <c r="JGS244" s="82"/>
      <c r="JGT244" s="83"/>
      <c r="JGU244" s="82"/>
      <c r="JGV244" s="84"/>
      <c r="JGW244" s="84"/>
      <c r="JGX244" s="82"/>
      <c r="JGY244" s="83"/>
      <c r="JGZ244" s="82"/>
      <c r="JHA244" s="84"/>
      <c r="JHB244" s="84"/>
      <c r="JHC244" s="82"/>
      <c r="JHD244" s="83"/>
      <c r="JHE244" s="82"/>
      <c r="JHF244" s="84"/>
      <c r="JHG244" s="84"/>
      <c r="JHH244" s="82"/>
      <c r="JHI244" s="83"/>
      <c r="JHJ244" s="82"/>
      <c r="JHK244" s="84"/>
      <c r="JHL244" s="84"/>
      <c r="JHM244" s="82"/>
      <c r="JHN244" s="83"/>
      <c r="JHO244" s="82"/>
      <c r="JHP244" s="84"/>
      <c r="JHQ244" s="84"/>
      <c r="JHR244" s="82"/>
      <c r="JHS244" s="83"/>
      <c r="JHT244" s="82"/>
      <c r="JHU244" s="84"/>
      <c r="JHV244" s="84"/>
      <c r="JHW244" s="82"/>
      <c r="JHX244" s="83"/>
      <c r="JHY244" s="82"/>
      <c r="JHZ244" s="84"/>
      <c r="JIA244" s="84"/>
      <c r="JIB244" s="82"/>
      <c r="JIC244" s="83"/>
      <c r="JID244" s="82"/>
      <c r="JIE244" s="84"/>
      <c r="JIF244" s="84"/>
      <c r="JIG244" s="82"/>
      <c r="JIH244" s="83"/>
      <c r="JII244" s="82"/>
      <c r="JIJ244" s="84"/>
      <c r="JIK244" s="84"/>
      <c r="JIL244" s="82"/>
      <c r="JIM244" s="83"/>
      <c r="JIN244" s="82"/>
      <c r="JIO244" s="84"/>
      <c r="JIP244" s="84"/>
      <c r="JIQ244" s="82"/>
      <c r="JIR244" s="83"/>
      <c r="JIS244" s="82"/>
      <c r="JIT244" s="84"/>
      <c r="JIU244" s="84"/>
      <c r="JIV244" s="82"/>
      <c r="JIW244" s="83"/>
      <c r="JIX244" s="82"/>
      <c r="JIY244" s="84"/>
      <c r="JIZ244" s="84"/>
      <c r="JJA244" s="82"/>
      <c r="JJB244" s="83"/>
      <c r="JJC244" s="82"/>
      <c r="JJD244" s="84"/>
      <c r="JJE244" s="84"/>
      <c r="JJF244" s="82"/>
      <c r="JJG244" s="83"/>
      <c r="JJH244" s="82"/>
      <c r="JJI244" s="84"/>
      <c r="JJJ244" s="84"/>
      <c r="JJK244" s="82"/>
      <c r="JJL244" s="83"/>
      <c r="JJM244" s="82"/>
      <c r="JJN244" s="84"/>
      <c r="JJO244" s="84"/>
      <c r="JJP244" s="82"/>
      <c r="JJQ244" s="83"/>
      <c r="JJR244" s="82"/>
      <c r="JJS244" s="84"/>
      <c r="JJT244" s="84"/>
      <c r="JJU244" s="82"/>
      <c r="JJV244" s="83"/>
      <c r="JJW244" s="82"/>
      <c r="JJX244" s="84"/>
      <c r="JJY244" s="84"/>
      <c r="JJZ244" s="82"/>
      <c r="JKA244" s="83"/>
      <c r="JKB244" s="82"/>
      <c r="JKC244" s="84"/>
      <c r="JKD244" s="84"/>
      <c r="JKE244" s="82"/>
      <c r="JKF244" s="83"/>
      <c r="JKG244" s="82"/>
      <c r="JKH244" s="84"/>
      <c r="JKI244" s="84"/>
      <c r="JKJ244" s="82"/>
      <c r="JKK244" s="83"/>
      <c r="JKL244" s="82"/>
      <c r="JKM244" s="84"/>
      <c r="JKN244" s="84"/>
      <c r="JKO244" s="82"/>
      <c r="JKP244" s="83"/>
      <c r="JKQ244" s="82"/>
      <c r="JKR244" s="84"/>
      <c r="JKS244" s="84"/>
      <c r="JKT244" s="82"/>
      <c r="JKU244" s="83"/>
      <c r="JKV244" s="82"/>
      <c r="JKW244" s="84"/>
      <c r="JKX244" s="84"/>
      <c r="JKY244" s="82"/>
      <c r="JKZ244" s="83"/>
      <c r="JLA244" s="82"/>
      <c r="JLB244" s="84"/>
      <c r="JLC244" s="84"/>
      <c r="JLD244" s="82"/>
      <c r="JLE244" s="83"/>
      <c r="JLF244" s="82"/>
      <c r="JLG244" s="84"/>
      <c r="JLH244" s="84"/>
      <c r="JLI244" s="82"/>
      <c r="JLJ244" s="83"/>
      <c r="JLK244" s="82"/>
      <c r="JLL244" s="84"/>
      <c r="JLM244" s="84"/>
      <c r="JLN244" s="82"/>
      <c r="JLO244" s="83"/>
      <c r="JLP244" s="82"/>
      <c r="JLQ244" s="84"/>
      <c r="JLR244" s="84"/>
      <c r="JLS244" s="82"/>
      <c r="JLT244" s="83"/>
      <c r="JLU244" s="82"/>
      <c r="JLV244" s="84"/>
      <c r="JLW244" s="84"/>
      <c r="JLX244" s="82"/>
      <c r="JLY244" s="83"/>
      <c r="JLZ244" s="82"/>
      <c r="JMA244" s="84"/>
      <c r="JMB244" s="84"/>
      <c r="JMC244" s="82"/>
      <c r="JMD244" s="83"/>
      <c r="JME244" s="82"/>
      <c r="JMF244" s="84"/>
      <c r="JMG244" s="84"/>
      <c r="JMH244" s="82"/>
      <c r="JMI244" s="83"/>
      <c r="JMJ244" s="82"/>
      <c r="JMK244" s="84"/>
      <c r="JML244" s="84"/>
      <c r="JMM244" s="82"/>
      <c r="JMN244" s="83"/>
      <c r="JMO244" s="82"/>
      <c r="JMP244" s="84"/>
      <c r="JMQ244" s="84"/>
      <c r="JMR244" s="82"/>
      <c r="JMS244" s="83"/>
      <c r="JMT244" s="82"/>
      <c r="JMU244" s="84"/>
      <c r="JMV244" s="84"/>
      <c r="JMW244" s="82"/>
      <c r="JMX244" s="83"/>
      <c r="JMY244" s="82"/>
      <c r="JMZ244" s="84"/>
      <c r="JNA244" s="84"/>
      <c r="JNB244" s="82"/>
      <c r="JNC244" s="83"/>
      <c r="JND244" s="82"/>
      <c r="JNE244" s="84"/>
      <c r="JNF244" s="84"/>
      <c r="JNG244" s="82"/>
      <c r="JNH244" s="83"/>
      <c r="JNI244" s="82"/>
      <c r="JNJ244" s="84"/>
      <c r="JNK244" s="84"/>
      <c r="JNL244" s="82"/>
      <c r="JNM244" s="83"/>
      <c r="JNN244" s="82"/>
      <c r="JNO244" s="84"/>
      <c r="JNP244" s="84"/>
      <c r="JNQ244" s="82"/>
      <c r="JNR244" s="83"/>
      <c r="JNS244" s="82"/>
      <c r="JNT244" s="84"/>
      <c r="JNU244" s="84"/>
      <c r="JNV244" s="82"/>
      <c r="JNW244" s="83"/>
      <c r="JNX244" s="82"/>
      <c r="JNY244" s="84"/>
      <c r="JNZ244" s="84"/>
      <c r="JOA244" s="82"/>
      <c r="JOB244" s="83"/>
      <c r="JOC244" s="82"/>
      <c r="JOD244" s="84"/>
      <c r="JOE244" s="84"/>
      <c r="JOF244" s="82"/>
      <c r="JOG244" s="83"/>
      <c r="JOH244" s="82"/>
      <c r="JOI244" s="84"/>
      <c r="JOJ244" s="84"/>
      <c r="JOK244" s="82"/>
      <c r="JOL244" s="83"/>
      <c r="JOM244" s="82"/>
      <c r="JON244" s="84"/>
      <c r="JOO244" s="84"/>
      <c r="JOP244" s="82"/>
      <c r="JOQ244" s="83"/>
      <c r="JOR244" s="82"/>
      <c r="JOS244" s="84"/>
      <c r="JOT244" s="84"/>
      <c r="JOU244" s="82"/>
      <c r="JOV244" s="83"/>
      <c r="JOW244" s="82"/>
      <c r="JOX244" s="84"/>
      <c r="JOY244" s="84"/>
      <c r="JOZ244" s="82"/>
      <c r="JPA244" s="83"/>
      <c r="JPB244" s="82"/>
      <c r="JPC244" s="84"/>
      <c r="JPD244" s="84"/>
      <c r="JPE244" s="82"/>
      <c r="JPF244" s="83"/>
      <c r="JPG244" s="82"/>
      <c r="JPH244" s="84"/>
      <c r="JPI244" s="84"/>
      <c r="JPJ244" s="82"/>
      <c r="JPK244" s="83"/>
      <c r="JPL244" s="82"/>
      <c r="JPM244" s="84"/>
      <c r="JPN244" s="84"/>
      <c r="JPO244" s="82"/>
      <c r="JPP244" s="83"/>
      <c r="JPQ244" s="82"/>
      <c r="JPR244" s="84"/>
      <c r="JPS244" s="84"/>
      <c r="JPT244" s="82"/>
      <c r="JPU244" s="83"/>
      <c r="JPV244" s="82"/>
      <c r="JPW244" s="84"/>
      <c r="JPX244" s="84"/>
      <c r="JPY244" s="82"/>
      <c r="JPZ244" s="83"/>
      <c r="JQA244" s="82"/>
      <c r="JQB244" s="84"/>
      <c r="JQC244" s="84"/>
      <c r="JQD244" s="82"/>
      <c r="JQE244" s="83"/>
      <c r="JQF244" s="82"/>
      <c r="JQG244" s="84"/>
      <c r="JQH244" s="84"/>
      <c r="JQI244" s="82"/>
      <c r="JQJ244" s="83"/>
      <c r="JQK244" s="82"/>
      <c r="JQL244" s="84"/>
      <c r="JQM244" s="84"/>
      <c r="JQN244" s="82"/>
      <c r="JQO244" s="83"/>
      <c r="JQP244" s="82"/>
      <c r="JQQ244" s="84"/>
      <c r="JQR244" s="84"/>
      <c r="JQS244" s="82"/>
      <c r="JQT244" s="83"/>
      <c r="JQU244" s="82"/>
      <c r="JQV244" s="84"/>
      <c r="JQW244" s="84"/>
      <c r="JQX244" s="82"/>
      <c r="JQY244" s="83"/>
      <c r="JQZ244" s="82"/>
      <c r="JRA244" s="84"/>
      <c r="JRB244" s="84"/>
      <c r="JRC244" s="82"/>
      <c r="JRD244" s="83"/>
      <c r="JRE244" s="82"/>
      <c r="JRF244" s="84"/>
      <c r="JRG244" s="84"/>
      <c r="JRH244" s="82"/>
      <c r="JRI244" s="83"/>
      <c r="JRJ244" s="82"/>
      <c r="JRK244" s="84"/>
      <c r="JRL244" s="84"/>
      <c r="JRM244" s="82"/>
      <c r="JRN244" s="83"/>
      <c r="JRO244" s="82"/>
      <c r="JRP244" s="84"/>
      <c r="JRQ244" s="84"/>
      <c r="JRR244" s="82"/>
      <c r="JRS244" s="83"/>
      <c r="JRT244" s="82"/>
      <c r="JRU244" s="84"/>
      <c r="JRV244" s="84"/>
      <c r="JRW244" s="82"/>
      <c r="JRX244" s="83"/>
      <c r="JRY244" s="82"/>
      <c r="JRZ244" s="84"/>
      <c r="JSA244" s="84"/>
      <c r="JSB244" s="82"/>
      <c r="JSC244" s="83"/>
      <c r="JSD244" s="82"/>
      <c r="JSE244" s="84"/>
      <c r="JSF244" s="84"/>
      <c r="JSG244" s="82"/>
      <c r="JSH244" s="83"/>
      <c r="JSI244" s="82"/>
      <c r="JSJ244" s="84"/>
      <c r="JSK244" s="84"/>
      <c r="JSL244" s="82"/>
      <c r="JSM244" s="83"/>
      <c r="JSN244" s="82"/>
      <c r="JSO244" s="84"/>
      <c r="JSP244" s="84"/>
      <c r="JSQ244" s="82"/>
      <c r="JSR244" s="83"/>
      <c r="JSS244" s="82"/>
      <c r="JST244" s="84"/>
      <c r="JSU244" s="84"/>
      <c r="JSV244" s="82"/>
      <c r="JSW244" s="83"/>
      <c r="JSX244" s="82"/>
      <c r="JSY244" s="84"/>
      <c r="JSZ244" s="84"/>
      <c r="JTA244" s="82"/>
      <c r="JTB244" s="83"/>
      <c r="JTC244" s="82"/>
      <c r="JTD244" s="84"/>
      <c r="JTE244" s="84"/>
      <c r="JTF244" s="82"/>
      <c r="JTG244" s="83"/>
      <c r="JTH244" s="82"/>
      <c r="JTI244" s="84"/>
      <c r="JTJ244" s="84"/>
      <c r="JTK244" s="82"/>
      <c r="JTL244" s="83"/>
      <c r="JTM244" s="82"/>
      <c r="JTN244" s="84"/>
      <c r="JTO244" s="84"/>
      <c r="JTP244" s="82"/>
      <c r="JTQ244" s="83"/>
      <c r="JTR244" s="82"/>
      <c r="JTS244" s="84"/>
      <c r="JTT244" s="84"/>
      <c r="JTU244" s="82"/>
      <c r="JTV244" s="83"/>
      <c r="JTW244" s="82"/>
      <c r="JTX244" s="84"/>
      <c r="JTY244" s="84"/>
      <c r="JTZ244" s="82"/>
      <c r="JUA244" s="83"/>
      <c r="JUB244" s="82"/>
      <c r="JUC244" s="84"/>
      <c r="JUD244" s="84"/>
      <c r="JUE244" s="82"/>
      <c r="JUF244" s="83"/>
      <c r="JUG244" s="82"/>
      <c r="JUH244" s="84"/>
      <c r="JUI244" s="84"/>
      <c r="JUJ244" s="82"/>
      <c r="JUK244" s="83"/>
      <c r="JUL244" s="82"/>
      <c r="JUM244" s="84"/>
      <c r="JUN244" s="84"/>
      <c r="JUO244" s="82"/>
      <c r="JUP244" s="83"/>
      <c r="JUQ244" s="82"/>
      <c r="JUR244" s="84"/>
      <c r="JUS244" s="84"/>
      <c r="JUT244" s="82"/>
      <c r="JUU244" s="83"/>
      <c r="JUV244" s="82"/>
      <c r="JUW244" s="84"/>
      <c r="JUX244" s="84"/>
      <c r="JUY244" s="82"/>
      <c r="JUZ244" s="83"/>
      <c r="JVA244" s="82"/>
      <c r="JVB244" s="84"/>
      <c r="JVC244" s="84"/>
      <c r="JVD244" s="82"/>
      <c r="JVE244" s="83"/>
      <c r="JVF244" s="82"/>
      <c r="JVG244" s="84"/>
      <c r="JVH244" s="84"/>
      <c r="JVI244" s="82"/>
      <c r="JVJ244" s="83"/>
      <c r="JVK244" s="82"/>
      <c r="JVL244" s="84"/>
      <c r="JVM244" s="84"/>
      <c r="JVN244" s="82"/>
      <c r="JVO244" s="83"/>
      <c r="JVP244" s="82"/>
      <c r="JVQ244" s="84"/>
      <c r="JVR244" s="84"/>
      <c r="JVS244" s="82"/>
      <c r="JVT244" s="83"/>
      <c r="JVU244" s="82"/>
      <c r="JVV244" s="84"/>
      <c r="JVW244" s="84"/>
      <c r="JVX244" s="82"/>
      <c r="JVY244" s="83"/>
      <c r="JVZ244" s="82"/>
      <c r="JWA244" s="84"/>
      <c r="JWB244" s="84"/>
      <c r="JWC244" s="82"/>
      <c r="JWD244" s="83"/>
      <c r="JWE244" s="82"/>
      <c r="JWF244" s="84"/>
      <c r="JWG244" s="84"/>
      <c r="JWH244" s="82"/>
      <c r="JWI244" s="83"/>
      <c r="JWJ244" s="82"/>
      <c r="JWK244" s="84"/>
      <c r="JWL244" s="84"/>
      <c r="JWM244" s="82"/>
      <c r="JWN244" s="83"/>
      <c r="JWO244" s="82"/>
      <c r="JWP244" s="84"/>
      <c r="JWQ244" s="84"/>
      <c r="JWR244" s="82"/>
      <c r="JWS244" s="83"/>
      <c r="JWT244" s="82"/>
      <c r="JWU244" s="84"/>
      <c r="JWV244" s="84"/>
      <c r="JWW244" s="82"/>
      <c r="JWX244" s="83"/>
      <c r="JWY244" s="82"/>
      <c r="JWZ244" s="84"/>
      <c r="JXA244" s="84"/>
      <c r="JXB244" s="82"/>
      <c r="JXC244" s="83"/>
      <c r="JXD244" s="82"/>
      <c r="JXE244" s="84"/>
      <c r="JXF244" s="84"/>
      <c r="JXG244" s="82"/>
      <c r="JXH244" s="83"/>
      <c r="JXI244" s="82"/>
      <c r="JXJ244" s="84"/>
      <c r="JXK244" s="84"/>
      <c r="JXL244" s="82"/>
      <c r="JXM244" s="83"/>
      <c r="JXN244" s="82"/>
      <c r="JXO244" s="84"/>
      <c r="JXP244" s="84"/>
      <c r="JXQ244" s="82"/>
      <c r="JXR244" s="83"/>
      <c r="JXS244" s="82"/>
      <c r="JXT244" s="84"/>
      <c r="JXU244" s="84"/>
      <c r="JXV244" s="82"/>
      <c r="JXW244" s="83"/>
      <c r="JXX244" s="82"/>
      <c r="JXY244" s="84"/>
      <c r="JXZ244" s="84"/>
      <c r="JYA244" s="82"/>
      <c r="JYB244" s="83"/>
      <c r="JYC244" s="82"/>
      <c r="JYD244" s="84"/>
      <c r="JYE244" s="84"/>
      <c r="JYF244" s="82"/>
      <c r="JYG244" s="83"/>
      <c r="JYH244" s="82"/>
      <c r="JYI244" s="84"/>
      <c r="JYJ244" s="84"/>
      <c r="JYK244" s="82"/>
      <c r="JYL244" s="83"/>
      <c r="JYM244" s="82"/>
      <c r="JYN244" s="84"/>
      <c r="JYO244" s="84"/>
      <c r="JYP244" s="82"/>
      <c r="JYQ244" s="83"/>
      <c r="JYR244" s="82"/>
      <c r="JYS244" s="84"/>
      <c r="JYT244" s="84"/>
      <c r="JYU244" s="82"/>
      <c r="JYV244" s="83"/>
      <c r="JYW244" s="82"/>
      <c r="JYX244" s="84"/>
      <c r="JYY244" s="84"/>
      <c r="JYZ244" s="82"/>
      <c r="JZA244" s="83"/>
      <c r="JZB244" s="82"/>
      <c r="JZC244" s="84"/>
      <c r="JZD244" s="84"/>
      <c r="JZE244" s="82"/>
      <c r="JZF244" s="83"/>
      <c r="JZG244" s="82"/>
      <c r="JZH244" s="84"/>
      <c r="JZI244" s="84"/>
      <c r="JZJ244" s="82"/>
      <c r="JZK244" s="83"/>
      <c r="JZL244" s="82"/>
      <c r="JZM244" s="84"/>
      <c r="JZN244" s="84"/>
      <c r="JZO244" s="82"/>
      <c r="JZP244" s="83"/>
      <c r="JZQ244" s="82"/>
      <c r="JZR244" s="84"/>
      <c r="JZS244" s="84"/>
      <c r="JZT244" s="82"/>
      <c r="JZU244" s="83"/>
      <c r="JZV244" s="82"/>
      <c r="JZW244" s="84"/>
      <c r="JZX244" s="84"/>
      <c r="JZY244" s="82"/>
      <c r="JZZ244" s="83"/>
      <c r="KAA244" s="82"/>
      <c r="KAB244" s="84"/>
      <c r="KAC244" s="84"/>
      <c r="KAD244" s="82"/>
      <c r="KAE244" s="83"/>
      <c r="KAF244" s="82"/>
      <c r="KAG244" s="84"/>
      <c r="KAH244" s="84"/>
      <c r="KAI244" s="82"/>
      <c r="KAJ244" s="83"/>
      <c r="KAK244" s="82"/>
      <c r="KAL244" s="84"/>
      <c r="KAM244" s="84"/>
      <c r="KAN244" s="82"/>
      <c r="KAO244" s="83"/>
      <c r="KAP244" s="82"/>
      <c r="KAQ244" s="84"/>
      <c r="KAR244" s="84"/>
      <c r="KAS244" s="82"/>
      <c r="KAT244" s="83"/>
      <c r="KAU244" s="82"/>
      <c r="KAV244" s="84"/>
      <c r="KAW244" s="84"/>
      <c r="KAX244" s="82"/>
      <c r="KAY244" s="83"/>
      <c r="KAZ244" s="82"/>
      <c r="KBA244" s="84"/>
      <c r="KBB244" s="84"/>
      <c r="KBC244" s="82"/>
      <c r="KBD244" s="83"/>
      <c r="KBE244" s="82"/>
      <c r="KBF244" s="84"/>
      <c r="KBG244" s="84"/>
      <c r="KBH244" s="82"/>
      <c r="KBI244" s="83"/>
      <c r="KBJ244" s="82"/>
      <c r="KBK244" s="84"/>
      <c r="KBL244" s="84"/>
      <c r="KBM244" s="82"/>
      <c r="KBN244" s="83"/>
      <c r="KBO244" s="82"/>
      <c r="KBP244" s="84"/>
      <c r="KBQ244" s="84"/>
      <c r="KBR244" s="82"/>
      <c r="KBS244" s="83"/>
      <c r="KBT244" s="82"/>
      <c r="KBU244" s="84"/>
      <c r="KBV244" s="84"/>
      <c r="KBW244" s="82"/>
      <c r="KBX244" s="83"/>
      <c r="KBY244" s="82"/>
      <c r="KBZ244" s="84"/>
      <c r="KCA244" s="84"/>
      <c r="KCB244" s="82"/>
      <c r="KCC244" s="83"/>
      <c r="KCD244" s="82"/>
      <c r="KCE244" s="84"/>
      <c r="KCF244" s="84"/>
      <c r="KCG244" s="82"/>
      <c r="KCH244" s="83"/>
      <c r="KCI244" s="82"/>
      <c r="KCJ244" s="84"/>
      <c r="KCK244" s="84"/>
      <c r="KCL244" s="82"/>
      <c r="KCM244" s="83"/>
      <c r="KCN244" s="82"/>
      <c r="KCO244" s="84"/>
      <c r="KCP244" s="84"/>
      <c r="KCQ244" s="82"/>
      <c r="KCR244" s="83"/>
      <c r="KCS244" s="82"/>
      <c r="KCT244" s="84"/>
      <c r="KCU244" s="84"/>
      <c r="KCV244" s="82"/>
      <c r="KCW244" s="83"/>
      <c r="KCX244" s="82"/>
      <c r="KCY244" s="84"/>
      <c r="KCZ244" s="84"/>
      <c r="KDA244" s="82"/>
      <c r="KDB244" s="83"/>
      <c r="KDC244" s="82"/>
      <c r="KDD244" s="84"/>
      <c r="KDE244" s="84"/>
      <c r="KDF244" s="82"/>
      <c r="KDG244" s="83"/>
      <c r="KDH244" s="82"/>
      <c r="KDI244" s="84"/>
      <c r="KDJ244" s="84"/>
      <c r="KDK244" s="82"/>
      <c r="KDL244" s="83"/>
      <c r="KDM244" s="82"/>
      <c r="KDN244" s="84"/>
      <c r="KDO244" s="84"/>
      <c r="KDP244" s="82"/>
      <c r="KDQ244" s="83"/>
      <c r="KDR244" s="82"/>
      <c r="KDS244" s="84"/>
      <c r="KDT244" s="84"/>
      <c r="KDU244" s="82"/>
      <c r="KDV244" s="83"/>
      <c r="KDW244" s="82"/>
      <c r="KDX244" s="84"/>
      <c r="KDY244" s="84"/>
      <c r="KDZ244" s="82"/>
      <c r="KEA244" s="83"/>
      <c r="KEB244" s="82"/>
      <c r="KEC244" s="84"/>
      <c r="KED244" s="84"/>
      <c r="KEE244" s="82"/>
      <c r="KEF244" s="83"/>
      <c r="KEG244" s="82"/>
      <c r="KEH244" s="84"/>
      <c r="KEI244" s="84"/>
      <c r="KEJ244" s="82"/>
      <c r="KEK244" s="83"/>
      <c r="KEL244" s="82"/>
      <c r="KEM244" s="84"/>
      <c r="KEN244" s="84"/>
      <c r="KEO244" s="82"/>
      <c r="KEP244" s="83"/>
      <c r="KEQ244" s="82"/>
      <c r="KER244" s="84"/>
      <c r="KES244" s="84"/>
      <c r="KET244" s="82"/>
      <c r="KEU244" s="83"/>
      <c r="KEV244" s="82"/>
      <c r="KEW244" s="84"/>
      <c r="KEX244" s="84"/>
      <c r="KEY244" s="82"/>
      <c r="KEZ244" s="83"/>
      <c r="KFA244" s="82"/>
      <c r="KFB244" s="84"/>
      <c r="KFC244" s="84"/>
      <c r="KFD244" s="82"/>
      <c r="KFE244" s="83"/>
      <c r="KFF244" s="82"/>
      <c r="KFG244" s="84"/>
      <c r="KFH244" s="84"/>
      <c r="KFI244" s="82"/>
      <c r="KFJ244" s="83"/>
      <c r="KFK244" s="82"/>
      <c r="KFL244" s="84"/>
      <c r="KFM244" s="84"/>
      <c r="KFN244" s="82"/>
      <c r="KFO244" s="83"/>
      <c r="KFP244" s="82"/>
      <c r="KFQ244" s="84"/>
      <c r="KFR244" s="84"/>
      <c r="KFS244" s="82"/>
      <c r="KFT244" s="83"/>
      <c r="KFU244" s="82"/>
      <c r="KFV244" s="84"/>
      <c r="KFW244" s="84"/>
      <c r="KFX244" s="82"/>
      <c r="KFY244" s="83"/>
      <c r="KFZ244" s="82"/>
      <c r="KGA244" s="84"/>
      <c r="KGB244" s="84"/>
      <c r="KGC244" s="82"/>
      <c r="KGD244" s="83"/>
      <c r="KGE244" s="82"/>
      <c r="KGF244" s="84"/>
      <c r="KGG244" s="84"/>
      <c r="KGH244" s="82"/>
      <c r="KGI244" s="83"/>
      <c r="KGJ244" s="82"/>
      <c r="KGK244" s="84"/>
      <c r="KGL244" s="84"/>
      <c r="KGM244" s="82"/>
      <c r="KGN244" s="83"/>
      <c r="KGO244" s="82"/>
      <c r="KGP244" s="84"/>
      <c r="KGQ244" s="84"/>
      <c r="KGR244" s="82"/>
      <c r="KGS244" s="83"/>
      <c r="KGT244" s="82"/>
      <c r="KGU244" s="84"/>
      <c r="KGV244" s="84"/>
      <c r="KGW244" s="82"/>
      <c r="KGX244" s="83"/>
      <c r="KGY244" s="82"/>
      <c r="KGZ244" s="84"/>
      <c r="KHA244" s="84"/>
      <c r="KHB244" s="82"/>
      <c r="KHC244" s="83"/>
      <c r="KHD244" s="82"/>
      <c r="KHE244" s="84"/>
      <c r="KHF244" s="84"/>
      <c r="KHG244" s="82"/>
      <c r="KHH244" s="83"/>
      <c r="KHI244" s="82"/>
      <c r="KHJ244" s="84"/>
      <c r="KHK244" s="84"/>
      <c r="KHL244" s="82"/>
      <c r="KHM244" s="83"/>
      <c r="KHN244" s="82"/>
      <c r="KHO244" s="84"/>
      <c r="KHP244" s="84"/>
      <c r="KHQ244" s="82"/>
      <c r="KHR244" s="83"/>
      <c r="KHS244" s="82"/>
      <c r="KHT244" s="84"/>
      <c r="KHU244" s="84"/>
      <c r="KHV244" s="82"/>
      <c r="KHW244" s="83"/>
      <c r="KHX244" s="82"/>
      <c r="KHY244" s="84"/>
      <c r="KHZ244" s="84"/>
      <c r="KIA244" s="82"/>
      <c r="KIB244" s="83"/>
      <c r="KIC244" s="82"/>
      <c r="KID244" s="84"/>
      <c r="KIE244" s="84"/>
      <c r="KIF244" s="82"/>
      <c r="KIG244" s="83"/>
      <c r="KIH244" s="82"/>
      <c r="KII244" s="84"/>
      <c r="KIJ244" s="84"/>
      <c r="KIK244" s="82"/>
      <c r="KIL244" s="83"/>
      <c r="KIM244" s="82"/>
      <c r="KIN244" s="84"/>
      <c r="KIO244" s="84"/>
      <c r="KIP244" s="82"/>
      <c r="KIQ244" s="83"/>
      <c r="KIR244" s="82"/>
      <c r="KIS244" s="84"/>
      <c r="KIT244" s="84"/>
      <c r="KIU244" s="82"/>
      <c r="KIV244" s="83"/>
      <c r="KIW244" s="82"/>
      <c r="KIX244" s="84"/>
      <c r="KIY244" s="84"/>
      <c r="KIZ244" s="82"/>
      <c r="KJA244" s="83"/>
      <c r="KJB244" s="82"/>
      <c r="KJC244" s="84"/>
      <c r="KJD244" s="84"/>
      <c r="KJE244" s="82"/>
      <c r="KJF244" s="83"/>
      <c r="KJG244" s="82"/>
      <c r="KJH244" s="84"/>
      <c r="KJI244" s="84"/>
      <c r="KJJ244" s="82"/>
      <c r="KJK244" s="83"/>
      <c r="KJL244" s="82"/>
      <c r="KJM244" s="84"/>
      <c r="KJN244" s="84"/>
      <c r="KJO244" s="82"/>
      <c r="KJP244" s="83"/>
      <c r="KJQ244" s="82"/>
      <c r="KJR244" s="84"/>
      <c r="KJS244" s="84"/>
      <c r="KJT244" s="82"/>
      <c r="KJU244" s="83"/>
      <c r="KJV244" s="82"/>
      <c r="KJW244" s="84"/>
      <c r="KJX244" s="84"/>
      <c r="KJY244" s="82"/>
      <c r="KJZ244" s="83"/>
      <c r="KKA244" s="82"/>
      <c r="KKB244" s="84"/>
      <c r="KKC244" s="84"/>
      <c r="KKD244" s="82"/>
      <c r="KKE244" s="83"/>
      <c r="KKF244" s="82"/>
      <c r="KKG244" s="84"/>
      <c r="KKH244" s="84"/>
      <c r="KKI244" s="82"/>
      <c r="KKJ244" s="83"/>
      <c r="KKK244" s="82"/>
      <c r="KKL244" s="84"/>
      <c r="KKM244" s="84"/>
      <c r="KKN244" s="82"/>
      <c r="KKO244" s="83"/>
      <c r="KKP244" s="82"/>
      <c r="KKQ244" s="84"/>
      <c r="KKR244" s="84"/>
      <c r="KKS244" s="82"/>
      <c r="KKT244" s="83"/>
      <c r="KKU244" s="82"/>
      <c r="KKV244" s="84"/>
      <c r="KKW244" s="84"/>
      <c r="KKX244" s="82"/>
      <c r="KKY244" s="83"/>
      <c r="KKZ244" s="82"/>
      <c r="KLA244" s="84"/>
      <c r="KLB244" s="84"/>
      <c r="KLC244" s="82"/>
      <c r="KLD244" s="83"/>
      <c r="KLE244" s="82"/>
      <c r="KLF244" s="84"/>
      <c r="KLG244" s="84"/>
      <c r="KLH244" s="82"/>
      <c r="KLI244" s="83"/>
      <c r="KLJ244" s="82"/>
      <c r="KLK244" s="84"/>
      <c r="KLL244" s="84"/>
      <c r="KLM244" s="82"/>
      <c r="KLN244" s="83"/>
      <c r="KLO244" s="82"/>
      <c r="KLP244" s="84"/>
      <c r="KLQ244" s="84"/>
      <c r="KLR244" s="82"/>
      <c r="KLS244" s="83"/>
      <c r="KLT244" s="82"/>
      <c r="KLU244" s="84"/>
      <c r="KLV244" s="84"/>
      <c r="KLW244" s="82"/>
      <c r="KLX244" s="83"/>
      <c r="KLY244" s="82"/>
      <c r="KLZ244" s="84"/>
      <c r="KMA244" s="84"/>
      <c r="KMB244" s="82"/>
      <c r="KMC244" s="83"/>
      <c r="KMD244" s="82"/>
      <c r="KME244" s="84"/>
      <c r="KMF244" s="84"/>
      <c r="KMG244" s="82"/>
      <c r="KMH244" s="83"/>
      <c r="KMI244" s="82"/>
      <c r="KMJ244" s="84"/>
      <c r="KMK244" s="84"/>
      <c r="KML244" s="82"/>
      <c r="KMM244" s="83"/>
      <c r="KMN244" s="82"/>
      <c r="KMO244" s="84"/>
      <c r="KMP244" s="84"/>
      <c r="KMQ244" s="82"/>
      <c r="KMR244" s="83"/>
      <c r="KMS244" s="82"/>
      <c r="KMT244" s="84"/>
      <c r="KMU244" s="84"/>
      <c r="KMV244" s="82"/>
      <c r="KMW244" s="83"/>
      <c r="KMX244" s="82"/>
      <c r="KMY244" s="84"/>
      <c r="KMZ244" s="84"/>
      <c r="KNA244" s="82"/>
      <c r="KNB244" s="83"/>
      <c r="KNC244" s="82"/>
      <c r="KND244" s="84"/>
      <c r="KNE244" s="84"/>
      <c r="KNF244" s="82"/>
      <c r="KNG244" s="83"/>
      <c r="KNH244" s="82"/>
      <c r="KNI244" s="84"/>
      <c r="KNJ244" s="84"/>
      <c r="KNK244" s="82"/>
      <c r="KNL244" s="83"/>
      <c r="KNM244" s="82"/>
      <c r="KNN244" s="84"/>
      <c r="KNO244" s="84"/>
      <c r="KNP244" s="82"/>
      <c r="KNQ244" s="83"/>
      <c r="KNR244" s="82"/>
      <c r="KNS244" s="84"/>
      <c r="KNT244" s="84"/>
      <c r="KNU244" s="82"/>
      <c r="KNV244" s="83"/>
      <c r="KNW244" s="82"/>
      <c r="KNX244" s="84"/>
      <c r="KNY244" s="84"/>
      <c r="KNZ244" s="82"/>
      <c r="KOA244" s="83"/>
      <c r="KOB244" s="82"/>
      <c r="KOC244" s="84"/>
      <c r="KOD244" s="84"/>
      <c r="KOE244" s="82"/>
      <c r="KOF244" s="83"/>
      <c r="KOG244" s="82"/>
      <c r="KOH244" s="84"/>
      <c r="KOI244" s="84"/>
      <c r="KOJ244" s="82"/>
      <c r="KOK244" s="83"/>
      <c r="KOL244" s="82"/>
      <c r="KOM244" s="84"/>
      <c r="KON244" s="84"/>
      <c r="KOO244" s="82"/>
      <c r="KOP244" s="83"/>
      <c r="KOQ244" s="82"/>
      <c r="KOR244" s="84"/>
      <c r="KOS244" s="84"/>
      <c r="KOT244" s="82"/>
      <c r="KOU244" s="83"/>
      <c r="KOV244" s="82"/>
      <c r="KOW244" s="84"/>
      <c r="KOX244" s="84"/>
      <c r="KOY244" s="82"/>
      <c r="KOZ244" s="83"/>
      <c r="KPA244" s="82"/>
      <c r="KPB244" s="84"/>
      <c r="KPC244" s="84"/>
      <c r="KPD244" s="82"/>
      <c r="KPE244" s="83"/>
      <c r="KPF244" s="82"/>
      <c r="KPG244" s="84"/>
      <c r="KPH244" s="84"/>
      <c r="KPI244" s="82"/>
      <c r="KPJ244" s="83"/>
      <c r="KPK244" s="82"/>
      <c r="KPL244" s="84"/>
      <c r="KPM244" s="84"/>
      <c r="KPN244" s="82"/>
      <c r="KPO244" s="83"/>
      <c r="KPP244" s="82"/>
      <c r="KPQ244" s="84"/>
      <c r="KPR244" s="84"/>
      <c r="KPS244" s="82"/>
      <c r="KPT244" s="83"/>
      <c r="KPU244" s="82"/>
      <c r="KPV244" s="84"/>
      <c r="KPW244" s="84"/>
      <c r="KPX244" s="82"/>
      <c r="KPY244" s="83"/>
      <c r="KPZ244" s="82"/>
      <c r="KQA244" s="84"/>
      <c r="KQB244" s="84"/>
      <c r="KQC244" s="82"/>
      <c r="KQD244" s="83"/>
      <c r="KQE244" s="82"/>
      <c r="KQF244" s="84"/>
      <c r="KQG244" s="84"/>
      <c r="KQH244" s="82"/>
      <c r="KQI244" s="83"/>
      <c r="KQJ244" s="82"/>
      <c r="KQK244" s="84"/>
      <c r="KQL244" s="84"/>
      <c r="KQM244" s="82"/>
      <c r="KQN244" s="83"/>
      <c r="KQO244" s="82"/>
      <c r="KQP244" s="84"/>
      <c r="KQQ244" s="84"/>
      <c r="KQR244" s="82"/>
      <c r="KQS244" s="83"/>
      <c r="KQT244" s="82"/>
      <c r="KQU244" s="84"/>
      <c r="KQV244" s="84"/>
      <c r="KQW244" s="82"/>
      <c r="KQX244" s="83"/>
      <c r="KQY244" s="82"/>
      <c r="KQZ244" s="84"/>
      <c r="KRA244" s="84"/>
      <c r="KRB244" s="82"/>
      <c r="KRC244" s="83"/>
      <c r="KRD244" s="82"/>
      <c r="KRE244" s="84"/>
      <c r="KRF244" s="84"/>
      <c r="KRG244" s="82"/>
      <c r="KRH244" s="83"/>
      <c r="KRI244" s="82"/>
      <c r="KRJ244" s="84"/>
      <c r="KRK244" s="84"/>
      <c r="KRL244" s="82"/>
      <c r="KRM244" s="83"/>
      <c r="KRN244" s="82"/>
      <c r="KRO244" s="84"/>
      <c r="KRP244" s="84"/>
      <c r="KRQ244" s="82"/>
      <c r="KRR244" s="83"/>
      <c r="KRS244" s="82"/>
      <c r="KRT244" s="84"/>
      <c r="KRU244" s="84"/>
      <c r="KRV244" s="82"/>
      <c r="KRW244" s="83"/>
      <c r="KRX244" s="82"/>
      <c r="KRY244" s="84"/>
      <c r="KRZ244" s="84"/>
      <c r="KSA244" s="82"/>
      <c r="KSB244" s="83"/>
      <c r="KSC244" s="82"/>
      <c r="KSD244" s="84"/>
      <c r="KSE244" s="84"/>
      <c r="KSF244" s="82"/>
      <c r="KSG244" s="83"/>
      <c r="KSH244" s="82"/>
      <c r="KSI244" s="84"/>
      <c r="KSJ244" s="84"/>
      <c r="KSK244" s="82"/>
      <c r="KSL244" s="83"/>
      <c r="KSM244" s="82"/>
      <c r="KSN244" s="84"/>
      <c r="KSO244" s="84"/>
      <c r="KSP244" s="82"/>
      <c r="KSQ244" s="83"/>
      <c r="KSR244" s="82"/>
      <c r="KSS244" s="84"/>
      <c r="KST244" s="84"/>
      <c r="KSU244" s="82"/>
      <c r="KSV244" s="83"/>
      <c r="KSW244" s="82"/>
      <c r="KSX244" s="84"/>
      <c r="KSY244" s="84"/>
      <c r="KSZ244" s="82"/>
      <c r="KTA244" s="83"/>
      <c r="KTB244" s="82"/>
      <c r="KTC244" s="84"/>
      <c r="KTD244" s="84"/>
      <c r="KTE244" s="82"/>
      <c r="KTF244" s="83"/>
      <c r="KTG244" s="82"/>
      <c r="KTH244" s="84"/>
      <c r="KTI244" s="84"/>
      <c r="KTJ244" s="82"/>
      <c r="KTK244" s="83"/>
      <c r="KTL244" s="82"/>
      <c r="KTM244" s="84"/>
      <c r="KTN244" s="84"/>
      <c r="KTO244" s="82"/>
      <c r="KTP244" s="83"/>
      <c r="KTQ244" s="82"/>
      <c r="KTR244" s="84"/>
      <c r="KTS244" s="84"/>
      <c r="KTT244" s="82"/>
      <c r="KTU244" s="83"/>
      <c r="KTV244" s="82"/>
      <c r="KTW244" s="84"/>
      <c r="KTX244" s="84"/>
      <c r="KTY244" s="82"/>
      <c r="KTZ244" s="83"/>
      <c r="KUA244" s="82"/>
      <c r="KUB244" s="84"/>
      <c r="KUC244" s="84"/>
      <c r="KUD244" s="82"/>
      <c r="KUE244" s="83"/>
      <c r="KUF244" s="82"/>
      <c r="KUG244" s="84"/>
      <c r="KUH244" s="84"/>
      <c r="KUI244" s="82"/>
      <c r="KUJ244" s="83"/>
      <c r="KUK244" s="82"/>
      <c r="KUL244" s="84"/>
      <c r="KUM244" s="84"/>
      <c r="KUN244" s="82"/>
      <c r="KUO244" s="83"/>
      <c r="KUP244" s="82"/>
      <c r="KUQ244" s="84"/>
      <c r="KUR244" s="84"/>
      <c r="KUS244" s="82"/>
      <c r="KUT244" s="83"/>
      <c r="KUU244" s="82"/>
      <c r="KUV244" s="84"/>
      <c r="KUW244" s="84"/>
      <c r="KUX244" s="82"/>
      <c r="KUY244" s="83"/>
      <c r="KUZ244" s="82"/>
      <c r="KVA244" s="84"/>
      <c r="KVB244" s="84"/>
      <c r="KVC244" s="82"/>
      <c r="KVD244" s="83"/>
      <c r="KVE244" s="82"/>
      <c r="KVF244" s="84"/>
      <c r="KVG244" s="84"/>
      <c r="KVH244" s="82"/>
      <c r="KVI244" s="83"/>
      <c r="KVJ244" s="82"/>
      <c r="KVK244" s="84"/>
      <c r="KVL244" s="84"/>
      <c r="KVM244" s="82"/>
      <c r="KVN244" s="83"/>
      <c r="KVO244" s="82"/>
      <c r="KVP244" s="84"/>
      <c r="KVQ244" s="84"/>
      <c r="KVR244" s="82"/>
      <c r="KVS244" s="83"/>
      <c r="KVT244" s="82"/>
      <c r="KVU244" s="84"/>
      <c r="KVV244" s="84"/>
      <c r="KVW244" s="82"/>
      <c r="KVX244" s="83"/>
      <c r="KVY244" s="82"/>
      <c r="KVZ244" s="84"/>
      <c r="KWA244" s="84"/>
      <c r="KWB244" s="82"/>
      <c r="KWC244" s="83"/>
      <c r="KWD244" s="82"/>
      <c r="KWE244" s="84"/>
      <c r="KWF244" s="84"/>
      <c r="KWG244" s="82"/>
      <c r="KWH244" s="83"/>
      <c r="KWI244" s="82"/>
      <c r="KWJ244" s="84"/>
      <c r="KWK244" s="84"/>
      <c r="KWL244" s="82"/>
      <c r="KWM244" s="83"/>
      <c r="KWN244" s="82"/>
      <c r="KWO244" s="84"/>
      <c r="KWP244" s="84"/>
      <c r="KWQ244" s="82"/>
      <c r="KWR244" s="83"/>
      <c r="KWS244" s="82"/>
      <c r="KWT244" s="84"/>
      <c r="KWU244" s="84"/>
      <c r="KWV244" s="82"/>
      <c r="KWW244" s="83"/>
      <c r="KWX244" s="82"/>
      <c r="KWY244" s="84"/>
      <c r="KWZ244" s="84"/>
      <c r="KXA244" s="82"/>
      <c r="KXB244" s="83"/>
      <c r="KXC244" s="82"/>
      <c r="KXD244" s="84"/>
      <c r="KXE244" s="84"/>
      <c r="KXF244" s="82"/>
      <c r="KXG244" s="83"/>
      <c r="KXH244" s="82"/>
      <c r="KXI244" s="84"/>
      <c r="KXJ244" s="84"/>
      <c r="KXK244" s="82"/>
      <c r="KXL244" s="83"/>
      <c r="KXM244" s="82"/>
      <c r="KXN244" s="84"/>
      <c r="KXO244" s="84"/>
      <c r="KXP244" s="82"/>
      <c r="KXQ244" s="83"/>
      <c r="KXR244" s="82"/>
      <c r="KXS244" s="84"/>
      <c r="KXT244" s="84"/>
      <c r="KXU244" s="82"/>
      <c r="KXV244" s="83"/>
      <c r="KXW244" s="82"/>
      <c r="KXX244" s="84"/>
      <c r="KXY244" s="84"/>
      <c r="KXZ244" s="82"/>
      <c r="KYA244" s="83"/>
      <c r="KYB244" s="82"/>
      <c r="KYC244" s="84"/>
      <c r="KYD244" s="84"/>
      <c r="KYE244" s="82"/>
      <c r="KYF244" s="83"/>
      <c r="KYG244" s="82"/>
      <c r="KYH244" s="84"/>
      <c r="KYI244" s="84"/>
      <c r="KYJ244" s="82"/>
      <c r="KYK244" s="83"/>
      <c r="KYL244" s="82"/>
      <c r="KYM244" s="84"/>
      <c r="KYN244" s="84"/>
      <c r="KYO244" s="82"/>
      <c r="KYP244" s="83"/>
      <c r="KYQ244" s="82"/>
      <c r="KYR244" s="84"/>
      <c r="KYS244" s="84"/>
      <c r="KYT244" s="82"/>
      <c r="KYU244" s="83"/>
      <c r="KYV244" s="82"/>
      <c r="KYW244" s="84"/>
      <c r="KYX244" s="84"/>
      <c r="KYY244" s="82"/>
      <c r="KYZ244" s="83"/>
      <c r="KZA244" s="82"/>
      <c r="KZB244" s="84"/>
      <c r="KZC244" s="84"/>
      <c r="KZD244" s="82"/>
      <c r="KZE244" s="83"/>
      <c r="KZF244" s="82"/>
      <c r="KZG244" s="84"/>
      <c r="KZH244" s="84"/>
      <c r="KZI244" s="82"/>
      <c r="KZJ244" s="83"/>
      <c r="KZK244" s="82"/>
      <c r="KZL244" s="84"/>
      <c r="KZM244" s="84"/>
      <c r="KZN244" s="82"/>
      <c r="KZO244" s="83"/>
      <c r="KZP244" s="82"/>
      <c r="KZQ244" s="84"/>
      <c r="KZR244" s="84"/>
      <c r="KZS244" s="82"/>
      <c r="KZT244" s="83"/>
      <c r="KZU244" s="82"/>
      <c r="KZV244" s="84"/>
      <c r="KZW244" s="84"/>
      <c r="KZX244" s="82"/>
      <c r="KZY244" s="83"/>
      <c r="KZZ244" s="82"/>
      <c r="LAA244" s="84"/>
      <c r="LAB244" s="84"/>
      <c r="LAC244" s="82"/>
      <c r="LAD244" s="83"/>
      <c r="LAE244" s="82"/>
      <c r="LAF244" s="84"/>
      <c r="LAG244" s="84"/>
      <c r="LAH244" s="82"/>
      <c r="LAI244" s="83"/>
      <c r="LAJ244" s="82"/>
      <c r="LAK244" s="84"/>
      <c r="LAL244" s="84"/>
      <c r="LAM244" s="82"/>
      <c r="LAN244" s="83"/>
      <c r="LAO244" s="82"/>
      <c r="LAP244" s="84"/>
      <c r="LAQ244" s="84"/>
      <c r="LAR244" s="82"/>
      <c r="LAS244" s="83"/>
      <c r="LAT244" s="82"/>
      <c r="LAU244" s="84"/>
      <c r="LAV244" s="84"/>
      <c r="LAW244" s="82"/>
      <c r="LAX244" s="83"/>
      <c r="LAY244" s="82"/>
      <c r="LAZ244" s="84"/>
      <c r="LBA244" s="84"/>
      <c r="LBB244" s="82"/>
      <c r="LBC244" s="83"/>
      <c r="LBD244" s="82"/>
      <c r="LBE244" s="84"/>
      <c r="LBF244" s="84"/>
      <c r="LBG244" s="82"/>
      <c r="LBH244" s="83"/>
      <c r="LBI244" s="82"/>
      <c r="LBJ244" s="84"/>
      <c r="LBK244" s="84"/>
      <c r="LBL244" s="82"/>
      <c r="LBM244" s="83"/>
      <c r="LBN244" s="82"/>
      <c r="LBO244" s="84"/>
      <c r="LBP244" s="84"/>
      <c r="LBQ244" s="82"/>
      <c r="LBR244" s="83"/>
      <c r="LBS244" s="82"/>
      <c r="LBT244" s="84"/>
      <c r="LBU244" s="84"/>
      <c r="LBV244" s="82"/>
      <c r="LBW244" s="83"/>
      <c r="LBX244" s="82"/>
      <c r="LBY244" s="84"/>
      <c r="LBZ244" s="84"/>
      <c r="LCA244" s="82"/>
      <c r="LCB244" s="83"/>
      <c r="LCC244" s="82"/>
      <c r="LCD244" s="84"/>
      <c r="LCE244" s="84"/>
      <c r="LCF244" s="82"/>
      <c r="LCG244" s="83"/>
      <c r="LCH244" s="82"/>
      <c r="LCI244" s="84"/>
      <c r="LCJ244" s="84"/>
      <c r="LCK244" s="82"/>
      <c r="LCL244" s="83"/>
      <c r="LCM244" s="82"/>
      <c r="LCN244" s="84"/>
      <c r="LCO244" s="84"/>
      <c r="LCP244" s="82"/>
      <c r="LCQ244" s="83"/>
      <c r="LCR244" s="82"/>
      <c r="LCS244" s="84"/>
      <c r="LCT244" s="84"/>
      <c r="LCU244" s="82"/>
      <c r="LCV244" s="83"/>
      <c r="LCW244" s="82"/>
      <c r="LCX244" s="84"/>
      <c r="LCY244" s="84"/>
      <c r="LCZ244" s="82"/>
      <c r="LDA244" s="83"/>
      <c r="LDB244" s="82"/>
      <c r="LDC244" s="84"/>
      <c r="LDD244" s="84"/>
      <c r="LDE244" s="82"/>
      <c r="LDF244" s="83"/>
      <c r="LDG244" s="82"/>
      <c r="LDH244" s="84"/>
      <c r="LDI244" s="84"/>
      <c r="LDJ244" s="82"/>
      <c r="LDK244" s="83"/>
      <c r="LDL244" s="82"/>
      <c r="LDM244" s="84"/>
      <c r="LDN244" s="84"/>
      <c r="LDO244" s="82"/>
      <c r="LDP244" s="83"/>
      <c r="LDQ244" s="82"/>
      <c r="LDR244" s="84"/>
      <c r="LDS244" s="84"/>
      <c r="LDT244" s="82"/>
      <c r="LDU244" s="83"/>
      <c r="LDV244" s="82"/>
      <c r="LDW244" s="84"/>
      <c r="LDX244" s="84"/>
      <c r="LDY244" s="82"/>
      <c r="LDZ244" s="83"/>
      <c r="LEA244" s="82"/>
      <c r="LEB244" s="84"/>
      <c r="LEC244" s="84"/>
      <c r="LED244" s="82"/>
      <c r="LEE244" s="83"/>
      <c r="LEF244" s="82"/>
      <c r="LEG244" s="84"/>
      <c r="LEH244" s="84"/>
      <c r="LEI244" s="82"/>
      <c r="LEJ244" s="83"/>
      <c r="LEK244" s="82"/>
      <c r="LEL244" s="84"/>
      <c r="LEM244" s="84"/>
      <c r="LEN244" s="82"/>
      <c r="LEO244" s="83"/>
      <c r="LEP244" s="82"/>
      <c r="LEQ244" s="84"/>
      <c r="LER244" s="84"/>
      <c r="LES244" s="82"/>
      <c r="LET244" s="83"/>
      <c r="LEU244" s="82"/>
      <c r="LEV244" s="84"/>
      <c r="LEW244" s="84"/>
      <c r="LEX244" s="82"/>
      <c r="LEY244" s="83"/>
      <c r="LEZ244" s="82"/>
      <c r="LFA244" s="84"/>
      <c r="LFB244" s="84"/>
      <c r="LFC244" s="82"/>
      <c r="LFD244" s="83"/>
      <c r="LFE244" s="82"/>
      <c r="LFF244" s="84"/>
      <c r="LFG244" s="84"/>
      <c r="LFH244" s="82"/>
      <c r="LFI244" s="83"/>
      <c r="LFJ244" s="82"/>
      <c r="LFK244" s="84"/>
      <c r="LFL244" s="84"/>
      <c r="LFM244" s="82"/>
      <c r="LFN244" s="83"/>
      <c r="LFO244" s="82"/>
      <c r="LFP244" s="84"/>
      <c r="LFQ244" s="84"/>
      <c r="LFR244" s="82"/>
      <c r="LFS244" s="83"/>
      <c r="LFT244" s="82"/>
      <c r="LFU244" s="84"/>
      <c r="LFV244" s="84"/>
      <c r="LFW244" s="82"/>
      <c r="LFX244" s="83"/>
      <c r="LFY244" s="82"/>
      <c r="LFZ244" s="84"/>
      <c r="LGA244" s="84"/>
      <c r="LGB244" s="82"/>
      <c r="LGC244" s="83"/>
      <c r="LGD244" s="82"/>
      <c r="LGE244" s="84"/>
      <c r="LGF244" s="84"/>
      <c r="LGG244" s="82"/>
      <c r="LGH244" s="83"/>
      <c r="LGI244" s="82"/>
      <c r="LGJ244" s="84"/>
      <c r="LGK244" s="84"/>
      <c r="LGL244" s="82"/>
      <c r="LGM244" s="83"/>
      <c r="LGN244" s="82"/>
      <c r="LGO244" s="84"/>
      <c r="LGP244" s="84"/>
      <c r="LGQ244" s="82"/>
      <c r="LGR244" s="83"/>
      <c r="LGS244" s="82"/>
      <c r="LGT244" s="84"/>
      <c r="LGU244" s="84"/>
      <c r="LGV244" s="82"/>
      <c r="LGW244" s="83"/>
      <c r="LGX244" s="82"/>
      <c r="LGY244" s="84"/>
      <c r="LGZ244" s="84"/>
      <c r="LHA244" s="82"/>
      <c r="LHB244" s="83"/>
      <c r="LHC244" s="82"/>
      <c r="LHD244" s="84"/>
      <c r="LHE244" s="84"/>
      <c r="LHF244" s="82"/>
      <c r="LHG244" s="83"/>
      <c r="LHH244" s="82"/>
      <c r="LHI244" s="84"/>
      <c r="LHJ244" s="84"/>
      <c r="LHK244" s="82"/>
      <c r="LHL244" s="83"/>
      <c r="LHM244" s="82"/>
      <c r="LHN244" s="84"/>
      <c r="LHO244" s="84"/>
      <c r="LHP244" s="82"/>
      <c r="LHQ244" s="83"/>
      <c r="LHR244" s="82"/>
      <c r="LHS244" s="84"/>
      <c r="LHT244" s="84"/>
      <c r="LHU244" s="82"/>
      <c r="LHV244" s="83"/>
      <c r="LHW244" s="82"/>
      <c r="LHX244" s="84"/>
      <c r="LHY244" s="84"/>
      <c r="LHZ244" s="82"/>
      <c r="LIA244" s="83"/>
      <c r="LIB244" s="82"/>
      <c r="LIC244" s="84"/>
      <c r="LID244" s="84"/>
      <c r="LIE244" s="82"/>
      <c r="LIF244" s="83"/>
      <c r="LIG244" s="82"/>
      <c r="LIH244" s="84"/>
      <c r="LII244" s="84"/>
      <c r="LIJ244" s="82"/>
      <c r="LIK244" s="83"/>
      <c r="LIL244" s="82"/>
      <c r="LIM244" s="84"/>
      <c r="LIN244" s="84"/>
      <c r="LIO244" s="82"/>
      <c r="LIP244" s="83"/>
      <c r="LIQ244" s="82"/>
      <c r="LIR244" s="84"/>
      <c r="LIS244" s="84"/>
      <c r="LIT244" s="82"/>
      <c r="LIU244" s="83"/>
      <c r="LIV244" s="82"/>
      <c r="LIW244" s="84"/>
      <c r="LIX244" s="84"/>
      <c r="LIY244" s="82"/>
      <c r="LIZ244" s="83"/>
      <c r="LJA244" s="82"/>
      <c r="LJB244" s="84"/>
      <c r="LJC244" s="84"/>
      <c r="LJD244" s="82"/>
      <c r="LJE244" s="83"/>
      <c r="LJF244" s="82"/>
      <c r="LJG244" s="84"/>
      <c r="LJH244" s="84"/>
      <c r="LJI244" s="82"/>
      <c r="LJJ244" s="83"/>
      <c r="LJK244" s="82"/>
      <c r="LJL244" s="84"/>
      <c r="LJM244" s="84"/>
      <c r="LJN244" s="82"/>
      <c r="LJO244" s="83"/>
      <c r="LJP244" s="82"/>
      <c r="LJQ244" s="84"/>
      <c r="LJR244" s="84"/>
      <c r="LJS244" s="82"/>
      <c r="LJT244" s="83"/>
      <c r="LJU244" s="82"/>
      <c r="LJV244" s="84"/>
      <c r="LJW244" s="84"/>
      <c r="LJX244" s="82"/>
      <c r="LJY244" s="83"/>
      <c r="LJZ244" s="82"/>
      <c r="LKA244" s="84"/>
      <c r="LKB244" s="84"/>
      <c r="LKC244" s="82"/>
      <c r="LKD244" s="83"/>
      <c r="LKE244" s="82"/>
      <c r="LKF244" s="84"/>
      <c r="LKG244" s="84"/>
      <c r="LKH244" s="82"/>
      <c r="LKI244" s="83"/>
      <c r="LKJ244" s="82"/>
      <c r="LKK244" s="84"/>
      <c r="LKL244" s="84"/>
      <c r="LKM244" s="82"/>
      <c r="LKN244" s="83"/>
      <c r="LKO244" s="82"/>
      <c r="LKP244" s="84"/>
      <c r="LKQ244" s="84"/>
      <c r="LKR244" s="82"/>
      <c r="LKS244" s="83"/>
      <c r="LKT244" s="82"/>
      <c r="LKU244" s="84"/>
      <c r="LKV244" s="84"/>
      <c r="LKW244" s="82"/>
      <c r="LKX244" s="83"/>
      <c r="LKY244" s="82"/>
      <c r="LKZ244" s="84"/>
      <c r="LLA244" s="84"/>
      <c r="LLB244" s="82"/>
      <c r="LLC244" s="83"/>
      <c r="LLD244" s="82"/>
      <c r="LLE244" s="84"/>
      <c r="LLF244" s="84"/>
      <c r="LLG244" s="82"/>
      <c r="LLH244" s="83"/>
      <c r="LLI244" s="82"/>
      <c r="LLJ244" s="84"/>
      <c r="LLK244" s="84"/>
      <c r="LLL244" s="82"/>
      <c r="LLM244" s="83"/>
      <c r="LLN244" s="82"/>
      <c r="LLO244" s="84"/>
      <c r="LLP244" s="84"/>
      <c r="LLQ244" s="82"/>
      <c r="LLR244" s="83"/>
      <c r="LLS244" s="82"/>
      <c r="LLT244" s="84"/>
      <c r="LLU244" s="84"/>
      <c r="LLV244" s="82"/>
      <c r="LLW244" s="83"/>
      <c r="LLX244" s="82"/>
      <c r="LLY244" s="84"/>
      <c r="LLZ244" s="84"/>
      <c r="LMA244" s="82"/>
      <c r="LMB244" s="83"/>
      <c r="LMC244" s="82"/>
      <c r="LMD244" s="84"/>
      <c r="LME244" s="84"/>
      <c r="LMF244" s="82"/>
      <c r="LMG244" s="83"/>
      <c r="LMH244" s="82"/>
      <c r="LMI244" s="84"/>
      <c r="LMJ244" s="84"/>
      <c r="LMK244" s="82"/>
      <c r="LML244" s="83"/>
      <c r="LMM244" s="82"/>
      <c r="LMN244" s="84"/>
      <c r="LMO244" s="84"/>
      <c r="LMP244" s="82"/>
      <c r="LMQ244" s="83"/>
      <c r="LMR244" s="82"/>
      <c r="LMS244" s="84"/>
      <c r="LMT244" s="84"/>
      <c r="LMU244" s="82"/>
      <c r="LMV244" s="83"/>
      <c r="LMW244" s="82"/>
      <c r="LMX244" s="84"/>
      <c r="LMY244" s="84"/>
      <c r="LMZ244" s="82"/>
      <c r="LNA244" s="83"/>
      <c r="LNB244" s="82"/>
      <c r="LNC244" s="84"/>
      <c r="LND244" s="84"/>
      <c r="LNE244" s="82"/>
      <c r="LNF244" s="83"/>
      <c r="LNG244" s="82"/>
      <c r="LNH244" s="84"/>
      <c r="LNI244" s="84"/>
      <c r="LNJ244" s="82"/>
      <c r="LNK244" s="83"/>
      <c r="LNL244" s="82"/>
      <c r="LNM244" s="84"/>
      <c r="LNN244" s="84"/>
      <c r="LNO244" s="82"/>
      <c r="LNP244" s="83"/>
      <c r="LNQ244" s="82"/>
      <c r="LNR244" s="84"/>
      <c r="LNS244" s="84"/>
      <c r="LNT244" s="82"/>
      <c r="LNU244" s="83"/>
      <c r="LNV244" s="82"/>
      <c r="LNW244" s="84"/>
      <c r="LNX244" s="84"/>
      <c r="LNY244" s="82"/>
      <c r="LNZ244" s="83"/>
      <c r="LOA244" s="82"/>
      <c r="LOB244" s="84"/>
      <c r="LOC244" s="84"/>
      <c r="LOD244" s="82"/>
      <c r="LOE244" s="83"/>
      <c r="LOF244" s="82"/>
      <c r="LOG244" s="84"/>
      <c r="LOH244" s="84"/>
      <c r="LOI244" s="82"/>
      <c r="LOJ244" s="83"/>
      <c r="LOK244" s="82"/>
      <c r="LOL244" s="84"/>
      <c r="LOM244" s="84"/>
      <c r="LON244" s="82"/>
      <c r="LOO244" s="83"/>
      <c r="LOP244" s="82"/>
      <c r="LOQ244" s="84"/>
      <c r="LOR244" s="84"/>
      <c r="LOS244" s="82"/>
      <c r="LOT244" s="83"/>
      <c r="LOU244" s="82"/>
      <c r="LOV244" s="84"/>
      <c r="LOW244" s="84"/>
      <c r="LOX244" s="82"/>
      <c r="LOY244" s="83"/>
      <c r="LOZ244" s="82"/>
      <c r="LPA244" s="84"/>
      <c r="LPB244" s="84"/>
      <c r="LPC244" s="82"/>
      <c r="LPD244" s="83"/>
      <c r="LPE244" s="82"/>
      <c r="LPF244" s="84"/>
      <c r="LPG244" s="84"/>
      <c r="LPH244" s="82"/>
      <c r="LPI244" s="83"/>
      <c r="LPJ244" s="82"/>
      <c r="LPK244" s="84"/>
      <c r="LPL244" s="84"/>
      <c r="LPM244" s="82"/>
      <c r="LPN244" s="83"/>
      <c r="LPO244" s="82"/>
      <c r="LPP244" s="84"/>
      <c r="LPQ244" s="84"/>
      <c r="LPR244" s="82"/>
      <c r="LPS244" s="83"/>
      <c r="LPT244" s="82"/>
      <c r="LPU244" s="84"/>
      <c r="LPV244" s="84"/>
      <c r="LPW244" s="82"/>
      <c r="LPX244" s="83"/>
      <c r="LPY244" s="82"/>
      <c r="LPZ244" s="84"/>
      <c r="LQA244" s="84"/>
      <c r="LQB244" s="82"/>
      <c r="LQC244" s="83"/>
      <c r="LQD244" s="82"/>
      <c r="LQE244" s="84"/>
      <c r="LQF244" s="84"/>
      <c r="LQG244" s="82"/>
      <c r="LQH244" s="83"/>
      <c r="LQI244" s="82"/>
      <c r="LQJ244" s="84"/>
      <c r="LQK244" s="84"/>
      <c r="LQL244" s="82"/>
      <c r="LQM244" s="83"/>
      <c r="LQN244" s="82"/>
      <c r="LQO244" s="84"/>
      <c r="LQP244" s="84"/>
      <c r="LQQ244" s="82"/>
      <c r="LQR244" s="83"/>
      <c r="LQS244" s="82"/>
      <c r="LQT244" s="84"/>
      <c r="LQU244" s="84"/>
      <c r="LQV244" s="82"/>
      <c r="LQW244" s="83"/>
      <c r="LQX244" s="82"/>
      <c r="LQY244" s="84"/>
      <c r="LQZ244" s="84"/>
      <c r="LRA244" s="82"/>
      <c r="LRB244" s="83"/>
      <c r="LRC244" s="82"/>
      <c r="LRD244" s="84"/>
      <c r="LRE244" s="84"/>
      <c r="LRF244" s="82"/>
      <c r="LRG244" s="83"/>
      <c r="LRH244" s="82"/>
      <c r="LRI244" s="84"/>
      <c r="LRJ244" s="84"/>
      <c r="LRK244" s="82"/>
      <c r="LRL244" s="83"/>
      <c r="LRM244" s="82"/>
      <c r="LRN244" s="84"/>
      <c r="LRO244" s="84"/>
      <c r="LRP244" s="82"/>
      <c r="LRQ244" s="83"/>
      <c r="LRR244" s="82"/>
      <c r="LRS244" s="84"/>
      <c r="LRT244" s="84"/>
      <c r="LRU244" s="82"/>
      <c r="LRV244" s="83"/>
      <c r="LRW244" s="82"/>
      <c r="LRX244" s="84"/>
      <c r="LRY244" s="84"/>
      <c r="LRZ244" s="82"/>
      <c r="LSA244" s="83"/>
      <c r="LSB244" s="82"/>
      <c r="LSC244" s="84"/>
      <c r="LSD244" s="84"/>
      <c r="LSE244" s="82"/>
      <c r="LSF244" s="83"/>
      <c r="LSG244" s="82"/>
      <c r="LSH244" s="84"/>
      <c r="LSI244" s="84"/>
      <c r="LSJ244" s="82"/>
      <c r="LSK244" s="83"/>
      <c r="LSL244" s="82"/>
      <c r="LSM244" s="84"/>
      <c r="LSN244" s="84"/>
      <c r="LSO244" s="82"/>
      <c r="LSP244" s="83"/>
      <c r="LSQ244" s="82"/>
      <c r="LSR244" s="84"/>
      <c r="LSS244" s="84"/>
      <c r="LST244" s="82"/>
      <c r="LSU244" s="83"/>
      <c r="LSV244" s="82"/>
      <c r="LSW244" s="84"/>
      <c r="LSX244" s="84"/>
      <c r="LSY244" s="82"/>
      <c r="LSZ244" s="83"/>
      <c r="LTA244" s="82"/>
      <c r="LTB244" s="84"/>
      <c r="LTC244" s="84"/>
      <c r="LTD244" s="82"/>
      <c r="LTE244" s="83"/>
      <c r="LTF244" s="82"/>
      <c r="LTG244" s="84"/>
      <c r="LTH244" s="84"/>
      <c r="LTI244" s="82"/>
      <c r="LTJ244" s="83"/>
      <c r="LTK244" s="82"/>
      <c r="LTL244" s="84"/>
      <c r="LTM244" s="84"/>
      <c r="LTN244" s="82"/>
      <c r="LTO244" s="83"/>
      <c r="LTP244" s="82"/>
      <c r="LTQ244" s="84"/>
      <c r="LTR244" s="84"/>
      <c r="LTS244" s="82"/>
      <c r="LTT244" s="83"/>
      <c r="LTU244" s="82"/>
      <c r="LTV244" s="84"/>
      <c r="LTW244" s="84"/>
      <c r="LTX244" s="82"/>
      <c r="LTY244" s="83"/>
      <c r="LTZ244" s="82"/>
      <c r="LUA244" s="84"/>
      <c r="LUB244" s="84"/>
      <c r="LUC244" s="82"/>
      <c r="LUD244" s="83"/>
      <c r="LUE244" s="82"/>
      <c r="LUF244" s="84"/>
      <c r="LUG244" s="84"/>
      <c r="LUH244" s="82"/>
      <c r="LUI244" s="83"/>
      <c r="LUJ244" s="82"/>
      <c r="LUK244" s="84"/>
      <c r="LUL244" s="84"/>
      <c r="LUM244" s="82"/>
      <c r="LUN244" s="83"/>
      <c r="LUO244" s="82"/>
      <c r="LUP244" s="84"/>
      <c r="LUQ244" s="84"/>
      <c r="LUR244" s="82"/>
      <c r="LUS244" s="83"/>
      <c r="LUT244" s="82"/>
      <c r="LUU244" s="84"/>
      <c r="LUV244" s="84"/>
      <c r="LUW244" s="82"/>
      <c r="LUX244" s="83"/>
      <c r="LUY244" s="82"/>
      <c r="LUZ244" s="84"/>
      <c r="LVA244" s="84"/>
      <c r="LVB244" s="82"/>
      <c r="LVC244" s="83"/>
      <c r="LVD244" s="82"/>
      <c r="LVE244" s="84"/>
      <c r="LVF244" s="84"/>
      <c r="LVG244" s="82"/>
      <c r="LVH244" s="83"/>
      <c r="LVI244" s="82"/>
      <c r="LVJ244" s="84"/>
      <c r="LVK244" s="84"/>
      <c r="LVL244" s="82"/>
      <c r="LVM244" s="83"/>
      <c r="LVN244" s="82"/>
      <c r="LVO244" s="84"/>
      <c r="LVP244" s="84"/>
      <c r="LVQ244" s="82"/>
      <c r="LVR244" s="83"/>
      <c r="LVS244" s="82"/>
      <c r="LVT244" s="84"/>
      <c r="LVU244" s="84"/>
      <c r="LVV244" s="82"/>
      <c r="LVW244" s="83"/>
      <c r="LVX244" s="82"/>
      <c r="LVY244" s="84"/>
      <c r="LVZ244" s="84"/>
      <c r="LWA244" s="82"/>
      <c r="LWB244" s="83"/>
      <c r="LWC244" s="82"/>
      <c r="LWD244" s="84"/>
      <c r="LWE244" s="84"/>
      <c r="LWF244" s="82"/>
      <c r="LWG244" s="83"/>
      <c r="LWH244" s="82"/>
      <c r="LWI244" s="84"/>
      <c r="LWJ244" s="84"/>
      <c r="LWK244" s="82"/>
      <c r="LWL244" s="83"/>
      <c r="LWM244" s="82"/>
      <c r="LWN244" s="84"/>
      <c r="LWO244" s="84"/>
      <c r="LWP244" s="82"/>
      <c r="LWQ244" s="83"/>
      <c r="LWR244" s="82"/>
      <c r="LWS244" s="84"/>
      <c r="LWT244" s="84"/>
      <c r="LWU244" s="82"/>
      <c r="LWV244" s="83"/>
      <c r="LWW244" s="82"/>
      <c r="LWX244" s="84"/>
      <c r="LWY244" s="84"/>
      <c r="LWZ244" s="82"/>
      <c r="LXA244" s="83"/>
      <c r="LXB244" s="82"/>
      <c r="LXC244" s="84"/>
      <c r="LXD244" s="84"/>
      <c r="LXE244" s="82"/>
      <c r="LXF244" s="83"/>
      <c r="LXG244" s="82"/>
      <c r="LXH244" s="84"/>
      <c r="LXI244" s="84"/>
      <c r="LXJ244" s="82"/>
      <c r="LXK244" s="83"/>
      <c r="LXL244" s="82"/>
      <c r="LXM244" s="84"/>
      <c r="LXN244" s="84"/>
      <c r="LXO244" s="82"/>
      <c r="LXP244" s="83"/>
      <c r="LXQ244" s="82"/>
      <c r="LXR244" s="84"/>
      <c r="LXS244" s="84"/>
      <c r="LXT244" s="82"/>
      <c r="LXU244" s="83"/>
      <c r="LXV244" s="82"/>
      <c r="LXW244" s="84"/>
      <c r="LXX244" s="84"/>
      <c r="LXY244" s="82"/>
      <c r="LXZ244" s="83"/>
      <c r="LYA244" s="82"/>
      <c r="LYB244" s="84"/>
      <c r="LYC244" s="84"/>
      <c r="LYD244" s="82"/>
      <c r="LYE244" s="83"/>
      <c r="LYF244" s="82"/>
      <c r="LYG244" s="84"/>
      <c r="LYH244" s="84"/>
      <c r="LYI244" s="82"/>
      <c r="LYJ244" s="83"/>
      <c r="LYK244" s="82"/>
      <c r="LYL244" s="84"/>
      <c r="LYM244" s="84"/>
      <c r="LYN244" s="82"/>
      <c r="LYO244" s="83"/>
      <c r="LYP244" s="82"/>
      <c r="LYQ244" s="84"/>
      <c r="LYR244" s="84"/>
      <c r="LYS244" s="82"/>
      <c r="LYT244" s="83"/>
      <c r="LYU244" s="82"/>
      <c r="LYV244" s="84"/>
      <c r="LYW244" s="84"/>
      <c r="LYX244" s="82"/>
      <c r="LYY244" s="83"/>
      <c r="LYZ244" s="82"/>
      <c r="LZA244" s="84"/>
      <c r="LZB244" s="84"/>
      <c r="LZC244" s="82"/>
      <c r="LZD244" s="83"/>
      <c r="LZE244" s="82"/>
      <c r="LZF244" s="84"/>
      <c r="LZG244" s="84"/>
      <c r="LZH244" s="82"/>
      <c r="LZI244" s="83"/>
      <c r="LZJ244" s="82"/>
      <c r="LZK244" s="84"/>
      <c r="LZL244" s="84"/>
      <c r="LZM244" s="82"/>
      <c r="LZN244" s="83"/>
      <c r="LZO244" s="82"/>
      <c r="LZP244" s="84"/>
      <c r="LZQ244" s="84"/>
      <c r="LZR244" s="82"/>
      <c r="LZS244" s="83"/>
      <c r="LZT244" s="82"/>
      <c r="LZU244" s="84"/>
      <c r="LZV244" s="84"/>
      <c r="LZW244" s="82"/>
      <c r="LZX244" s="83"/>
      <c r="LZY244" s="82"/>
      <c r="LZZ244" s="84"/>
      <c r="MAA244" s="84"/>
      <c r="MAB244" s="82"/>
      <c r="MAC244" s="83"/>
      <c r="MAD244" s="82"/>
      <c r="MAE244" s="84"/>
      <c r="MAF244" s="84"/>
      <c r="MAG244" s="82"/>
      <c r="MAH244" s="83"/>
      <c r="MAI244" s="82"/>
      <c r="MAJ244" s="84"/>
      <c r="MAK244" s="84"/>
      <c r="MAL244" s="82"/>
      <c r="MAM244" s="83"/>
      <c r="MAN244" s="82"/>
      <c r="MAO244" s="84"/>
      <c r="MAP244" s="84"/>
      <c r="MAQ244" s="82"/>
      <c r="MAR244" s="83"/>
      <c r="MAS244" s="82"/>
      <c r="MAT244" s="84"/>
      <c r="MAU244" s="84"/>
      <c r="MAV244" s="82"/>
      <c r="MAW244" s="83"/>
      <c r="MAX244" s="82"/>
      <c r="MAY244" s="84"/>
      <c r="MAZ244" s="84"/>
      <c r="MBA244" s="82"/>
      <c r="MBB244" s="83"/>
      <c r="MBC244" s="82"/>
      <c r="MBD244" s="84"/>
      <c r="MBE244" s="84"/>
      <c r="MBF244" s="82"/>
      <c r="MBG244" s="83"/>
      <c r="MBH244" s="82"/>
      <c r="MBI244" s="84"/>
      <c r="MBJ244" s="84"/>
      <c r="MBK244" s="82"/>
      <c r="MBL244" s="83"/>
      <c r="MBM244" s="82"/>
      <c r="MBN244" s="84"/>
      <c r="MBO244" s="84"/>
      <c r="MBP244" s="82"/>
      <c r="MBQ244" s="83"/>
      <c r="MBR244" s="82"/>
      <c r="MBS244" s="84"/>
      <c r="MBT244" s="84"/>
      <c r="MBU244" s="82"/>
      <c r="MBV244" s="83"/>
      <c r="MBW244" s="82"/>
      <c r="MBX244" s="84"/>
      <c r="MBY244" s="84"/>
      <c r="MBZ244" s="82"/>
      <c r="MCA244" s="83"/>
      <c r="MCB244" s="82"/>
      <c r="MCC244" s="84"/>
      <c r="MCD244" s="84"/>
      <c r="MCE244" s="82"/>
      <c r="MCF244" s="83"/>
      <c r="MCG244" s="82"/>
      <c r="MCH244" s="84"/>
      <c r="MCI244" s="84"/>
      <c r="MCJ244" s="82"/>
      <c r="MCK244" s="83"/>
      <c r="MCL244" s="82"/>
      <c r="MCM244" s="84"/>
      <c r="MCN244" s="84"/>
      <c r="MCO244" s="82"/>
      <c r="MCP244" s="83"/>
      <c r="MCQ244" s="82"/>
      <c r="MCR244" s="84"/>
      <c r="MCS244" s="84"/>
      <c r="MCT244" s="82"/>
      <c r="MCU244" s="83"/>
      <c r="MCV244" s="82"/>
      <c r="MCW244" s="84"/>
      <c r="MCX244" s="84"/>
      <c r="MCY244" s="82"/>
      <c r="MCZ244" s="83"/>
      <c r="MDA244" s="82"/>
      <c r="MDB244" s="84"/>
      <c r="MDC244" s="84"/>
      <c r="MDD244" s="82"/>
      <c r="MDE244" s="83"/>
      <c r="MDF244" s="82"/>
      <c r="MDG244" s="84"/>
      <c r="MDH244" s="84"/>
      <c r="MDI244" s="82"/>
      <c r="MDJ244" s="83"/>
      <c r="MDK244" s="82"/>
      <c r="MDL244" s="84"/>
      <c r="MDM244" s="84"/>
      <c r="MDN244" s="82"/>
      <c r="MDO244" s="83"/>
      <c r="MDP244" s="82"/>
      <c r="MDQ244" s="84"/>
      <c r="MDR244" s="84"/>
      <c r="MDS244" s="82"/>
      <c r="MDT244" s="83"/>
      <c r="MDU244" s="82"/>
      <c r="MDV244" s="84"/>
      <c r="MDW244" s="84"/>
      <c r="MDX244" s="82"/>
      <c r="MDY244" s="83"/>
      <c r="MDZ244" s="82"/>
      <c r="MEA244" s="84"/>
      <c r="MEB244" s="84"/>
      <c r="MEC244" s="82"/>
      <c r="MED244" s="83"/>
      <c r="MEE244" s="82"/>
      <c r="MEF244" s="84"/>
      <c r="MEG244" s="84"/>
      <c r="MEH244" s="82"/>
      <c r="MEI244" s="83"/>
      <c r="MEJ244" s="82"/>
      <c r="MEK244" s="84"/>
      <c r="MEL244" s="84"/>
      <c r="MEM244" s="82"/>
      <c r="MEN244" s="83"/>
      <c r="MEO244" s="82"/>
      <c r="MEP244" s="84"/>
      <c r="MEQ244" s="84"/>
      <c r="MER244" s="82"/>
      <c r="MES244" s="83"/>
      <c r="MET244" s="82"/>
      <c r="MEU244" s="84"/>
      <c r="MEV244" s="84"/>
      <c r="MEW244" s="82"/>
      <c r="MEX244" s="83"/>
      <c r="MEY244" s="82"/>
      <c r="MEZ244" s="84"/>
      <c r="MFA244" s="84"/>
      <c r="MFB244" s="82"/>
      <c r="MFC244" s="83"/>
      <c r="MFD244" s="82"/>
      <c r="MFE244" s="84"/>
      <c r="MFF244" s="84"/>
      <c r="MFG244" s="82"/>
      <c r="MFH244" s="83"/>
      <c r="MFI244" s="82"/>
      <c r="MFJ244" s="84"/>
      <c r="MFK244" s="84"/>
      <c r="MFL244" s="82"/>
      <c r="MFM244" s="83"/>
      <c r="MFN244" s="82"/>
      <c r="MFO244" s="84"/>
      <c r="MFP244" s="84"/>
      <c r="MFQ244" s="82"/>
      <c r="MFR244" s="83"/>
      <c r="MFS244" s="82"/>
      <c r="MFT244" s="84"/>
      <c r="MFU244" s="84"/>
      <c r="MFV244" s="82"/>
      <c r="MFW244" s="83"/>
      <c r="MFX244" s="82"/>
      <c r="MFY244" s="84"/>
      <c r="MFZ244" s="84"/>
      <c r="MGA244" s="82"/>
      <c r="MGB244" s="83"/>
      <c r="MGC244" s="82"/>
      <c r="MGD244" s="84"/>
      <c r="MGE244" s="84"/>
      <c r="MGF244" s="82"/>
      <c r="MGG244" s="83"/>
      <c r="MGH244" s="82"/>
      <c r="MGI244" s="84"/>
      <c r="MGJ244" s="84"/>
      <c r="MGK244" s="82"/>
      <c r="MGL244" s="83"/>
      <c r="MGM244" s="82"/>
      <c r="MGN244" s="84"/>
      <c r="MGO244" s="84"/>
      <c r="MGP244" s="82"/>
      <c r="MGQ244" s="83"/>
      <c r="MGR244" s="82"/>
      <c r="MGS244" s="84"/>
      <c r="MGT244" s="84"/>
      <c r="MGU244" s="82"/>
      <c r="MGV244" s="83"/>
      <c r="MGW244" s="82"/>
      <c r="MGX244" s="84"/>
      <c r="MGY244" s="84"/>
      <c r="MGZ244" s="82"/>
      <c r="MHA244" s="83"/>
      <c r="MHB244" s="82"/>
      <c r="MHC244" s="84"/>
      <c r="MHD244" s="84"/>
      <c r="MHE244" s="82"/>
      <c r="MHF244" s="83"/>
      <c r="MHG244" s="82"/>
      <c r="MHH244" s="84"/>
      <c r="MHI244" s="84"/>
      <c r="MHJ244" s="82"/>
      <c r="MHK244" s="83"/>
      <c r="MHL244" s="82"/>
      <c r="MHM244" s="84"/>
      <c r="MHN244" s="84"/>
      <c r="MHO244" s="82"/>
      <c r="MHP244" s="83"/>
      <c r="MHQ244" s="82"/>
      <c r="MHR244" s="84"/>
      <c r="MHS244" s="84"/>
      <c r="MHT244" s="82"/>
      <c r="MHU244" s="83"/>
      <c r="MHV244" s="82"/>
      <c r="MHW244" s="84"/>
      <c r="MHX244" s="84"/>
      <c r="MHY244" s="82"/>
      <c r="MHZ244" s="83"/>
      <c r="MIA244" s="82"/>
      <c r="MIB244" s="84"/>
      <c r="MIC244" s="84"/>
      <c r="MID244" s="82"/>
      <c r="MIE244" s="83"/>
      <c r="MIF244" s="82"/>
      <c r="MIG244" s="84"/>
      <c r="MIH244" s="84"/>
      <c r="MII244" s="82"/>
      <c r="MIJ244" s="83"/>
      <c r="MIK244" s="82"/>
      <c r="MIL244" s="84"/>
      <c r="MIM244" s="84"/>
      <c r="MIN244" s="82"/>
      <c r="MIO244" s="83"/>
      <c r="MIP244" s="82"/>
      <c r="MIQ244" s="84"/>
      <c r="MIR244" s="84"/>
      <c r="MIS244" s="82"/>
      <c r="MIT244" s="83"/>
      <c r="MIU244" s="82"/>
      <c r="MIV244" s="84"/>
      <c r="MIW244" s="84"/>
      <c r="MIX244" s="82"/>
      <c r="MIY244" s="83"/>
      <c r="MIZ244" s="82"/>
      <c r="MJA244" s="84"/>
      <c r="MJB244" s="84"/>
      <c r="MJC244" s="82"/>
      <c r="MJD244" s="83"/>
      <c r="MJE244" s="82"/>
      <c r="MJF244" s="84"/>
      <c r="MJG244" s="84"/>
      <c r="MJH244" s="82"/>
      <c r="MJI244" s="83"/>
      <c r="MJJ244" s="82"/>
      <c r="MJK244" s="84"/>
      <c r="MJL244" s="84"/>
      <c r="MJM244" s="82"/>
      <c r="MJN244" s="83"/>
      <c r="MJO244" s="82"/>
      <c r="MJP244" s="84"/>
      <c r="MJQ244" s="84"/>
      <c r="MJR244" s="82"/>
      <c r="MJS244" s="83"/>
      <c r="MJT244" s="82"/>
      <c r="MJU244" s="84"/>
      <c r="MJV244" s="84"/>
      <c r="MJW244" s="82"/>
      <c r="MJX244" s="83"/>
      <c r="MJY244" s="82"/>
      <c r="MJZ244" s="84"/>
      <c r="MKA244" s="84"/>
      <c r="MKB244" s="82"/>
      <c r="MKC244" s="83"/>
      <c r="MKD244" s="82"/>
      <c r="MKE244" s="84"/>
      <c r="MKF244" s="84"/>
      <c r="MKG244" s="82"/>
      <c r="MKH244" s="83"/>
      <c r="MKI244" s="82"/>
      <c r="MKJ244" s="84"/>
      <c r="MKK244" s="84"/>
      <c r="MKL244" s="82"/>
      <c r="MKM244" s="83"/>
      <c r="MKN244" s="82"/>
      <c r="MKO244" s="84"/>
      <c r="MKP244" s="84"/>
      <c r="MKQ244" s="82"/>
      <c r="MKR244" s="83"/>
      <c r="MKS244" s="82"/>
      <c r="MKT244" s="84"/>
      <c r="MKU244" s="84"/>
      <c r="MKV244" s="82"/>
      <c r="MKW244" s="83"/>
      <c r="MKX244" s="82"/>
      <c r="MKY244" s="84"/>
      <c r="MKZ244" s="84"/>
      <c r="MLA244" s="82"/>
      <c r="MLB244" s="83"/>
      <c r="MLC244" s="82"/>
      <c r="MLD244" s="84"/>
      <c r="MLE244" s="84"/>
      <c r="MLF244" s="82"/>
      <c r="MLG244" s="83"/>
      <c r="MLH244" s="82"/>
      <c r="MLI244" s="84"/>
      <c r="MLJ244" s="84"/>
      <c r="MLK244" s="82"/>
      <c r="MLL244" s="83"/>
      <c r="MLM244" s="82"/>
      <c r="MLN244" s="84"/>
      <c r="MLO244" s="84"/>
      <c r="MLP244" s="82"/>
      <c r="MLQ244" s="83"/>
      <c r="MLR244" s="82"/>
      <c r="MLS244" s="84"/>
      <c r="MLT244" s="84"/>
      <c r="MLU244" s="82"/>
      <c r="MLV244" s="83"/>
      <c r="MLW244" s="82"/>
      <c r="MLX244" s="84"/>
      <c r="MLY244" s="84"/>
      <c r="MLZ244" s="82"/>
      <c r="MMA244" s="83"/>
      <c r="MMB244" s="82"/>
      <c r="MMC244" s="84"/>
      <c r="MMD244" s="84"/>
      <c r="MME244" s="82"/>
      <c r="MMF244" s="83"/>
      <c r="MMG244" s="82"/>
      <c r="MMH244" s="84"/>
      <c r="MMI244" s="84"/>
      <c r="MMJ244" s="82"/>
      <c r="MMK244" s="83"/>
      <c r="MML244" s="82"/>
      <c r="MMM244" s="84"/>
      <c r="MMN244" s="84"/>
      <c r="MMO244" s="82"/>
      <c r="MMP244" s="83"/>
      <c r="MMQ244" s="82"/>
      <c r="MMR244" s="84"/>
      <c r="MMS244" s="84"/>
      <c r="MMT244" s="82"/>
      <c r="MMU244" s="83"/>
      <c r="MMV244" s="82"/>
      <c r="MMW244" s="84"/>
      <c r="MMX244" s="84"/>
      <c r="MMY244" s="82"/>
      <c r="MMZ244" s="83"/>
      <c r="MNA244" s="82"/>
      <c r="MNB244" s="84"/>
      <c r="MNC244" s="84"/>
      <c r="MND244" s="82"/>
      <c r="MNE244" s="83"/>
      <c r="MNF244" s="82"/>
      <c r="MNG244" s="84"/>
      <c r="MNH244" s="84"/>
      <c r="MNI244" s="82"/>
      <c r="MNJ244" s="83"/>
      <c r="MNK244" s="82"/>
      <c r="MNL244" s="84"/>
      <c r="MNM244" s="84"/>
      <c r="MNN244" s="82"/>
      <c r="MNO244" s="83"/>
      <c r="MNP244" s="82"/>
      <c r="MNQ244" s="84"/>
      <c r="MNR244" s="84"/>
      <c r="MNS244" s="82"/>
      <c r="MNT244" s="83"/>
      <c r="MNU244" s="82"/>
      <c r="MNV244" s="84"/>
      <c r="MNW244" s="84"/>
      <c r="MNX244" s="82"/>
      <c r="MNY244" s="83"/>
      <c r="MNZ244" s="82"/>
      <c r="MOA244" s="84"/>
      <c r="MOB244" s="84"/>
      <c r="MOC244" s="82"/>
      <c r="MOD244" s="83"/>
      <c r="MOE244" s="82"/>
      <c r="MOF244" s="84"/>
      <c r="MOG244" s="84"/>
      <c r="MOH244" s="82"/>
      <c r="MOI244" s="83"/>
      <c r="MOJ244" s="82"/>
      <c r="MOK244" s="84"/>
      <c r="MOL244" s="84"/>
      <c r="MOM244" s="82"/>
      <c r="MON244" s="83"/>
      <c r="MOO244" s="82"/>
      <c r="MOP244" s="84"/>
      <c r="MOQ244" s="84"/>
      <c r="MOR244" s="82"/>
      <c r="MOS244" s="83"/>
      <c r="MOT244" s="82"/>
      <c r="MOU244" s="84"/>
      <c r="MOV244" s="84"/>
      <c r="MOW244" s="82"/>
      <c r="MOX244" s="83"/>
      <c r="MOY244" s="82"/>
      <c r="MOZ244" s="84"/>
      <c r="MPA244" s="84"/>
      <c r="MPB244" s="82"/>
      <c r="MPC244" s="83"/>
      <c r="MPD244" s="82"/>
      <c r="MPE244" s="84"/>
      <c r="MPF244" s="84"/>
      <c r="MPG244" s="82"/>
      <c r="MPH244" s="83"/>
      <c r="MPI244" s="82"/>
      <c r="MPJ244" s="84"/>
      <c r="MPK244" s="84"/>
      <c r="MPL244" s="82"/>
      <c r="MPM244" s="83"/>
      <c r="MPN244" s="82"/>
      <c r="MPO244" s="84"/>
      <c r="MPP244" s="84"/>
      <c r="MPQ244" s="82"/>
      <c r="MPR244" s="83"/>
      <c r="MPS244" s="82"/>
      <c r="MPT244" s="84"/>
      <c r="MPU244" s="84"/>
      <c r="MPV244" s="82"/>
      <c r="MPW244" s="83"/>
      <c r="MPX244" s="82"/>
      <c r="MPY244" s="84"/>
      <c r="MPZ244" s="84"/>
      <c r="MQA244" s="82"/>
      <c r="MQB244" s="83"/>
      <c r="MQC244" s="82"/>
      <c r="MQD244" s="84"/>
      <c r="MQE244" s="84"/>
      <c r="MQF244" s="82"/>
      <c r="MQG244" s="83"/>
      <c r="MQH244" s="82"/>
      <c r="MQI244" s="84"/>
      <c r="MQJ244" s="84"/>
      <c r="MQK244" s="82"/>
      <c r="MQL244" s="83"/>
      <c r="MQM244" s="82"/>
      <c r="MQN244" s="84"/>
      <c r="MQO244" s="84"/>
      <c r="MQP244" s="82"/>
      <c r="MQQ244" s="83"/>
      <c r="MQR244" s="82"/>
      <c r="MQS244" s="84"/>
      <c r="MQT244" s="84"/>
      <c r="MQU244" s="82"/>
      <c r="MQV244" s="83"/>
      <c r="MQW244" s="82"/>
      <c r="MQX244" s="84"/>
      <c r="MQY244" s="84"/>
      <c r="MQZ244" s="82"/>
      <c r="MRA244" s="83"/>
      <c r="MRB244" s="82"/>
      <c r="MRC244" s="84"/>
      <c r="MRD244" s="84"/>
      <c r="MRE244" s="82"/>
      <c r="MRF244" s="83"/>
      <c r="MRG244" s="82"/>
      <c r="MRH244" s="84"/>
      <c r="MRI244" s="84"/>
      <c r="MRJ244" s="82"/>
      <c r="MRK244" s="83"/>
      <c r="MRL244" s="82"/>
      <c r="MRM244" s="84"/>
      <c r="MRN244" s="84"/>
      <c r="MRO244" s="82"/>
      <c r="MRP244" s="83"/>
      <c r="MRQ244" s="82"/>
      <c r="MRR244" s="84"/>
      <c r="MRS244" s="84"/>
      <c r="MRT244" s="82"/>
      <c r="MRU244" s="83"/>
      <c r="MRV244" s="82"/>
      <c r="MRW244" s="84"/>
      <c r="MRX244" s="84"/>
      <c r="MRY244" s="82"/>
      <c r="MRZ244" s="83"/>
      <c r="MSA244" s="82"/>
      <c r="MSB244" s="84"/>
      <c r="MSC244" s="84"/>
      <c r="MSD244" s="82"/>
      <c r="MSE244" s="83"/>
      <c r="MSF244" s="82"/>
      <c r="MSG244" s="84"/>
      <c r="MSH244" s="84"/>
      <c r="MSI244" s="82"/>
      <c r="MSJ244" s="83"/>
      <c r="MSK244" s="82"/>
      <c r="MSL244" s="84"/>
      <c r="MSM244" s="84"/>
      <c r="MSN244" s="82"/>
      <c r="MSO244" s="83"/>
      <c r="MSP244" s="82"/>
      <c r="MSQ244" s="84"/>
      <c r="MSR244" s="84"/>
      <c r="MSS244" s="82"/>
      <c r="MST244" s="83"/>
      <c r="MSU244" s="82"/>
      <c r="MSV244" s="84"/>
      <c r="MSW244" s="84"/>
      <c r="MSX244" s="82"/>
      <c r="MSY244" s="83"/>
      <c r="MSZ244" s="82"/>
      <c r="MTA244" s="84"/>
      <c r="MTB244" s="84"/>
      <c r="MTC244" s="82"/>
      <c r="MTD244" s="83"/>
      <c r="MTE244" s="82"/>
      <c r="MTF244" s="84"/>
      <c r="MTG244" s="84"/>
      <c r="MTH244" s="82"/>
      <c r="MTI244" s="83"/>
      <c r="MTJ244" s="82"/>
      <c r="MTK244" s="84"/>
      <c r="MTL244" s="84"/>
      <c r="MTM244" s="82"/>
      <c r="MTN244" s="83"/>
      <c r="MTO244" s="82"/>
      <c r="MTP244" s="84"/>
      <c r="MTQ244" s="84"/>
      <c r="MTR244" s="82"/>
      <c r="MTS244" s="83"/>
      <c r="MTT244" s="82"/>
      <c r="MTU244" s="84"/>
      <c r="MTV244" s="84"/>
      <c r="MTW244" s="82"/>
      <c r="MTX244" s="83"/>
      <c r="MTY244" s="82"/>
      <c r="MTZ244" s="84"/>
      <c r="MUA244" s="84"/>
      <c r="MUB244" s="82"/>
      <c r="MUC244" s="83"/>
      <c r="MUD244" s="82"/>
      <c r="MUE244" s="84"/>
      <c r="MUF244" s="84"/>
      <c r="MUG244" s="82"/>
      <c r="MUH244" s="83"/>
      <c r="MUI244" s="82"/>
      <c r="MUJ244" s="84"/>
      <c r="MUK244" s="84"/>
      <c r="MUL244" s="82"/>
      <c r="MUM244" s="83"/>
      <c r="MUN244" s="82"/>
      <c r="MUO244" s="84"/>
      <c r="MUP244" s="84"/>
      <c r="MUQ244" s="82"/>
      <c r="MUR244" s="83"/>
      <c r="MUS244" s="82"/>
      <c r="MUT244" s="84"/>
      <c r="MUU244" s="84"/>
      <c r="MUV244" s="82"/>
      <c r="MUW244" s="83"/>
      <c r="MUX244" s="82"/>
      <c r="MUY244" s="84"/>
      <c r="MUZ244" s="84"/>
      <c r="MVA244" s="82"/>
      <c r="MVB244" s="83"/>
      <c r="MVC244" s="82"/>
      <c r="MVD244" s="84"/>
      <c r="MVE244" s="84"/>
      <c r="MVF244" s="82"/>
      <c r="MVG244" s="83"/>
      <c r="MVH244" s="82"/>
      <c r="MVI244" s="84"/>
      <c r="MVJ244" s="84"/>
      <c r="MVK244" s="82"/>
      <c r="MVL244" s="83"/>
      <c r="MVM244" s="82"/>
      <c r="MVN244" s="84"/>
      <c r="MVO244" s="84"/>
      <c r="MVP244" s="82"/>
      <c r="MVQ244" s="83"/>
      <c r="MVR244" s="82"/>
      <c r="MVS244" s="84"/>
      <c r="MVT244" s="84"/>
      <c r="MVU244" s="82"/>
      <c r="MVV244" s="83"/>
      <c r="MVW244" s="82"/>
      <c r="MVX244" s="84"/>
      <c r="MVY244" s="84"/>
      <c r="MVZ244" s="82"/>
      <c r="MWA244" s="83"/>
      <c r="MWB244" s="82"/>
      <c r="MWC244" s="84"/>
      <c r="MWD244" s="84"/>
      <c r="MWE244" s="82"/>
      <c r="MWF244" s="83"/>
      <c r="MWG244" s="82"/>
      <c r="MWH244" s="84"/>
      <c r="MWI244" s="84"/>
      <c r="MWJ244" s="82"/>
      <c r="MWK244" s="83"/>
      <c r="MWL244" s="82"/>
      <c r="MWM244" s="84"/>
      <c r="MWN244" s="84"/>
      <c r="MWO244" s="82"/>
      <c r="MWP244" s="83"/>
      <c r="MWQ244" s="82"/>
      <c r="MWR244" s="84"/>
      <c r="MWS244" s="84"/>
      <c r="MWT244" s="82"/>
      <c r="MWU244" s="83"/>
      <c r="MWV244" s="82"/>
      <c r="MWW244" s="84"/>
      <c r="MWX244" s="84"/>
      <c r="MWY244" s="82"/>
      <c r="MWZ244" s="83"/>
      <c r="MXA244" s="82"/>
      <c r="MXB244" s="84"/>
      <c r="MXC244" s="84"/>
      <c r="MXD244" s="82"/>
      <c r="MXE244" s="83"/>
      <c r="MXF244" s="82"/>
      <c r="MXG244" s="84"/>
      <c r="MXH244" s="84"/>
      <c r="MXI244" s="82"/>
      <c r="MXJ244" s="83"/>
      <c r="MXK244" s="82"/>
      <c r="MXL244" s="84"/>
      <c r="MXM244" s="84"/>
      <c r="MXN244" s="82"/>
      <c r="MXO244" s="83"/>
      <c r="MXP244" s="82"/>
      <c r="MXQ244" s="84"/>
      <c r="MXR244" s="84"/>
      <c r="MXS244" s="82"/>
      <c r="MXT244" s="83"/>
      <c r="MXU244" s="82"/>
      <c r="MXV244" s="84"/>
      <c r="MXW244" s="84"/>
      <c r="MXX244" s="82"/>
      <c r="MXY244" s="83"/>
      <c r="MXZ244" s="82"/>
      <c r="MYA244" s="84"/>
      <c r="MYB244" s="84"/>
      <c r="MYC244" s="82"/>
      <c r="MYD244" s="83"/>
      <c r="MYE244" s="82"/>
      <c r="MYF244" s="84"/>
      <c r="MYG244" s="84"/>
      <c r="MYH244" s="82"/>
      <c r="MYI244" s="83"/>
      <c r="MYJ244" s="82"/>
      <c r="MYK244" s="84"/>
      <c r="MYL244" s="84"/>
      <c r="MYM244" s="82"/>
      <c r="MYN244" s="83"/>
      <c r="MYO244" s="82"/>
      <c r="MYP244" s="84"/>
      <c r="MYQ244" s="84"/>
      <c r="MYR244" s="82"/>
      <c r="MYS244" s="83"/>
      <c r="MYT244" s="82"/>
      <c r="MYU244" s="84"/>
      <c r="MYV244" s="84"/>
      <c r="MYW244" s="82"/>
      <c r="MYX244" s="83"/>
      <c r="MYY244" s="82"/>
      <c r="MYZ244" s="84"/>
      <c r="MZA244" s="84"/>
      <c r="MZB244" s="82"/>
      <c r="MZC244" s="83"/>
      <c r="MZD244" s="82"/>
      <c r="MZE244" s="84"/>
      <c r="MZF244" s="84"/>
      <c r="MZG244" s="82"/>
      <c r="MZH244" s="83"/>
      <c r="MZI244" s="82"/>
      <c r="MZJ244" s="84"/>
      <c r="MZK244" s="84"/>
      <c r="MZL244" s="82"/>
      <c r="MZM244" s="83"/>
      <c r="MZN244" s="82"/>
      <c r="MZO244" s="84"/>
      <c r="MZP244" s="84"/>
      <c r="MZQ244" s="82"/>
      <c r="MZR244" s="83"/>
      <c r="MZS244" s="82"/>
      <c r="MZT244" s="84"/>
      <c r="MZU244" s="84"/>
      <c r="MZV244" s="82"/>
      <c r="MZW244" s="83"/>
      <c r="MZX244" s="82"/>
      <c r="MZY244" s="84"/>
      <c r="MZZ244" s="84"/>
      <c r="NAA244" s="82"/>
      <c r="NAB244" s="83"/>
      <c r="NAC244" s="82"/>
      <c r="NAD244" s="84"/>
      <c r="NAE244" s="84"/>
      <c r="NAF244" s="82"/>
      <c r="NAG244" s="83"/>
      <c r="NAH244" s="82"/>
      <c r="NAI244" s="84"/>
      <c r="NAJ244" s="84"/>
      <c r="NAK244" s="82"/>
      <c r="NAL244" s="83"/>
      <c r="NAM244" s="82"/>
      <c r="NAN244" s="84"/>
      <c r="NAO244" s="84"/>
      <c r="NAP244" s="82"/>
      <c r="NAQ244" s="83"/>
      <c r="NAR244" s="82"/>
      <c r="NAS244" s="84"/>
      <c r="NAT244" s="84"/>
      <c r="NAU244" s="82"/>
      <c r="NAV244" s="83"/>
      <c r="NAW244" s="82"/>
      <c r="NAX244" s="84"/>
      <c r="NAY244" s="84"/>
      <c r="NAZ244" s="82"/>
      <c r="NBA244" s="83"/>
      <c r="NBB244" s="82"/>
      <c r="NBC244" s="84"/>
      <c r="NBD244" s="84"/>
      <c r="NBE244" s="82"/>
      <c r="NBF244" s="83"/>
      <c r="NBG244" s="82"/>
      <c r="NBH244" s="84"/>
      <c r="NBI244" s="84"/>
      <c r="NBJ244" s="82"/>
      <c r="NBK244" s="83"/>
      <c r="NBL244" s="82"/>
      <c r="NBM244" s="84"/>
      <c r="NBN244" s="84"/>
      <c r="NBO244" s="82"/>
      <c r="NBP244" s="83"/>
      <c r="NBQ244" s="82"/>
      <c r="NBR244" s="84"/>
      <c r="NBS244" s="84"/>
      <c r="NBT244" s="82"/>
      <c r="NBU244" s="83"/>
      <c r="NBV244" s="82"/>
      <c r="NBW244" s="84"/>
      <c r="NBX244" s="84"/>
      <c r="NBY244" s="82"/>
      <c r="NBZ244" s="83"/>
      <c r="NCA244" s="82"/>
      <c r="NCB244" s="84"/>
      <c r="NCC244" s="84"/>
      <c r="NCD244" s="82"/>
      <c r="NCE244" s="83"/>
      <c r="NCF244" s="82"/>
      <c r="NCG244" s="84"/>
      <c r="NCH244" s="84"/>
      <c r="NCI244" s="82"/>
      <c r="NCJ244" s="83"/>
      <c r="NCK244" s="82"/>
      <c r="NCL244" s="84"/>
      <c r="NCM244" s="84"/>
      <c r="NCN244" s="82"/>
      <c r="NCO244" s="83"/>
      <c r="NCP244" s="82"/>
      <c r="NCQ244" s="84"/>
      <c r="NCR244" s="84"/>
      <c r="NCS244" s="82"/>
      <c r="NCT244" s="83"/>
      <c r="NCU244" s="82"/>
      <c r="NCV244" s="84"/>
      <c r="NCW244" s="84"/>
      <c r="NCX244" s="82"/>
      <c r="NCY244" s="83"/>
      <c r="NCZ244" s="82"/>
      <c r="NDA244" s="84"/>
      <c r="NDB244" s="84"/>
      <c r="NDC244" s="82"/>
      <c r="NDD244" s="83"/>
      <c r="NDE244" s="82"/>
      <c r="NDF244" s="84"/>
      <c r="NDG244" s="84"/>
      <c r="NDH244" s="82"/>
      <c r="NDI244" s="83"/>
      <c r="NDJ244" s="82"/>
      <c r="NDK244" s="84"/>
      <c r="NDL244" s="84"/>
      <c r="NDM244" s="82"/>
      <c r="NDN244" s="83"/>
      <c r="NDO244" s="82"/>
      <c r="NDP244" s="84"/>
      <c r="NDQ244" s="84"/>
      <c r="NDR244" s="82"/>
      <c r="NDS244" s="83"/>
      <c r="NDT244" s="82"/>
      <c r="NDU244" s="84"/>
      <c r="NDV244" s="84"/>
      <c r="NDW244" s="82"/>
      <c r="NDX244" s="83"/>
      <c r="NDY244" s="82"/>
      <c r="NDZ244" s="84"/>
      <c r="NEA244" s="84"/>
      <c r="NEB244" s="82"/>
      <c r="NEC244" s="83"/>
      <c r="NED244" s="82"/>
      <c r="NEE244" s="84"/>
      <c r="NEF244" s="84"/>
      <c r="NEG244" s="82"/>
      <c r="NEH244" s="83"/>
      <c r="NEI244" s="82"/>
      <c r="NEJ244" s="84"/>
      <c r="NEK244" s="84"/>
      <c r="NEL244" s="82"/>
      <c r="NEM244" s="83"/>
      <c r="NEN244" s="82"/>
      <c r="NEO244" s="84"/>
      <c r="NEP244" s="84"/>
      <c r="NEQ244" s="82"/>
      <c r="NER244" s="83"/>
      <c r="NES244" s="82"/>
      <c r="NET244" s="84"/>
      <c r="NEU244" s="84"/>
      <c r="NEV244" s="82"/>
      <c r="NEW244" s="83"/>
      <c r="NEX244" s="82"/>
      <c r="NEY244" s="84"/>
      <c r="NEZ244" s="84"/>
      <c r="NFA244" s="82"/>
      <c r="NFB244" s="83"/>
      <c r="NFC244" s="82"/>
      <c r="NFD244" s="84"/>
      <c r="NFE244" s="84"/>
      <c r="NFF244" s="82"/>
      <c r="NFG244" s="83"/>
      <c r="NFH244" s="82"/>
      <c r="NFI244" s="84"/>
      <c r="NFJ244" s="84"/>
      <c r="NFK244" s="82"/>
      <c r="NFL244" s="83"/>
      <c r="NFM244" s="82"/>
      <c r="NFN244" s="84"/>
      <c r="NFO244" s="84"/>
      <c r="NFP244" s="82"/>
      <c r="NFQ244" s="83"/>
      <c r="NFR244" s="82"/>
      <c r="NFS244" s="84"/>
      <c r="NFT244" s="84"/>
      <c r="NFU244" s="82"/>
      <c r="NFV244" s="83"/>
      <c r="NFW244" s="82"/>
      <c r="NFX244" s="84"/>
      <c r="NFY244" s="84"/>
      <c r="NFZ244" s="82"/>
      <c r="NGA244" s="83"/>
      <c r="NGB244" s="82"/>
      <c r="NGC244" s="84"/>
      <c r="NGD244" s="84"/>
      <c r="NGE244" s="82"/>
      <c r="NGF244" s="83"/>
      <c r="NGG244" s="82"/>
      <c r="NGH244" s="84"/>
      <c r="NGI244" s="84"/>
      <c r="NGJ244" s="82"/>
      <c r="NGK244" s="83"/>
      <c r="NGL244" s="82"/>
      <c r="NGM244" s="84"/>
      <c r="NGN244" s="84"/>
      <c r="NGO244" s="82"/>
      <c r="NGP244" s="83"/>
      <c r="NGQ244" s="82"/>
      <c r="NGR244" s="84"/>
      <c r="NGS244" s="84"/>
      <c r="NGT244" s="82"/>
      <c r="NGU244" s="83"/>
      <c r="NGV244" s="82"/>
      <c r="NGW244" s="84"/>
      <c r="NGX244" s="84"/>
      <c r="NGY244" s="82"/>
      <c r="NGZ244" s="83"/>
      <c r="NHA244" s="82"/>
      <c r="NHB244" s="84"/>
      <c r="NHC244" s="84"/>
      <c r="NHD244" s="82"/>
      <c r="NHE244" s="83"/>
      <c r="NHF244" s="82"/>
      <c r="NHG244" s="84"/>
      <c r="NHH244" s="84"/>
      <c r="NHI244" s="82"/>
      <c r="NHJ244" s="83"/>
      <c r="NHK244" s="82"/>
      <c r="NHL244" s="84"/>
      <c r="NHM244" s="84"/>
      <c r="NHN244" s="82"/>
      <c r="NHO244" s="83"/>
      <c r="NHP244" s="82"/>
      <c r="NHQ244" s="84"/>
      <c r="NHR244" s="84"/>
      <c r="NHS244" s="82"/>
      <c r="NHT244" s="83"/>
      <c r="NHU244" s="82"/>
      <c r="NHV244" s="84"/>
      <c r="NHW244" s="84"/>
      <c r="NHX244" s="82"/>
      <c r="NHY244" s="83"/>
      <c r="NHZ244" s="82"/>
      <c r="NIA244" s="84"/>
      <c r="NIB244" s="84"/>
      <c r="NIC244" s="82"/>
      <c r="NID244" s="83"/>
      <c r="NIE244" s="82"/>
      <c r="NIF244" s="84"/>
      <c r="NIG244" s="84"/>
      <c r="NIH244" s="82"/>
      <c r="NII244" s="83"/>
      <c r="NIJ244" s="82"/>
      <c r="NIK244" s="84"/>
      <c r="NIL244" s="84"/>
      <c r="NIM244" s="82"/>
      <c r="NIN244" s="83"/>
      <c r="NIO244" s="82"/>
      <c r="NIP244" s="84"/>
      <c r="NIQ244" s="84"/>
      <c r="NIR244" s="82"/>
      <c r="NIS244" s="83"/>
      <c r="NIT244" s="82"/>
      <c r="NIU244" s="84"/>
      <c r="NIV244" s="84"/>
      <c r="NIW244" s="82"/>
      <c r="NIX244" s="83"/>
      <c r="NIY244" s="82"/>
      <c r="NIZ244" s="84"/>
      <c r="NJA244" s="84"/>
      <c r="NJB244" s="82"/>
      <c r="NJC244" s="83"/>
      <c r="NJD244" s="82"/>
      <c r="NJE244" s="84"/>
      <c r="NJF244" s="84"/>
      <c r="NJG244" s="82"/>
      <c r="NJH244" s="83"/>
      <c r="NJI244" s="82"/>
      <c r="NJJ244" s="84"/>
      <c r="NJK244" s="84"/>
      <c r="NJL244" s="82"/>
      <c r="NJM244" s="83"/>
      <c r="NJN244" s="82"/>
      <c r="NJO244" s="84"/>
      <c r="NJP244" s="84"/>
      <c r="NJQ244" s="82"/>
      <c r="NJR244" s="83"/>
      <c r="NJS244" s="82"/>
      <c r="NJT244" s="84"/>
      <c r="NJU244" s="84"/>
      <c r="NJV244" s="82"/>
      <c r="NJW244" s="83"/>
      <c r="NJX244" s="82"/>
      <c r="NJY244" s="84"/>
      <c r="NJZ244" s="84"/>
      <c r="NKA244" s="82"/>
      <c r="NKB244" s="83"/>
      <c r="NKC244" s="82"/>
      <c r="NKD244" s="84"/>
      <c r="NKE244" s="84"/>
      <c r="NKF244" s="82"/>
      <c r="NKG244" s="83"/>
      <c r="NKH244" s="82"/>
      <c r="NKI244" s="84"/>
      <c r="NKJ244" s="84"/>
      <c r="NKK244" s="82"/>
      <c r="NKL244" s="83"/>
      <c r="NKM244" s="82"/>
      <c r="NKN244" s="84"/>
      <c r="NKO244" s="84"/>
      <c r="NKP244" s="82"/>
      <c r="NKQ244" s="83"/>
      <c r="NKR244" s="82"/>
      <c r="NKS244" s="84"/>
      <c r="NKT244" s="84"/>
      <c r="NKU244" s="82"/>
      <c r="NKV244" s="83"/>
      <c r="NKW244" s="82"/>
      <c r="NKX244" s="84"/>
      <c r="NKY244" s="84"/>
      <c r="NKZ244" s="82"/>
      <c r="NLA244" s="83"/>
      <c r="NLB244" s="82"/>
      <c r="NLC244" s="84"/>
      <c r="NLD244" s="84"/>
      <c r="NLE244" s="82"/>
      <c r="NLF244" s="83"/>
      <c r="NLG244" s="82"/>
      <c r="NLH244" s="84"/>
      <c r="NLI244" s="84"/>
      <c r="NLJ244" s="82"/>
      <c r="NLK244" s="83"/>
      <c r="NLL244" s="82"/>
      <c r="NLM244" s="84"/>
      <c r="NLN244" s="84"/>
      <c r="NLO244" s="82"/>
      <c r="NLP244" s="83"/>
      <c r="NLQ244" s="82"/>
      <c r="NLR244" s="84"/>
      <c r="NLS244" s="84"/>
      <c r="NLT244" s="82"/>
      <c r="NLU244" s="83"/>
      <c r="NLV244" s="82"/>
      <c r="NLW244" s="84"/>
      <c r="NLX244" s="84"/>
      <c r="NLY244" s="82"/>
      <c r="NLZ244" s="83"/>
      <c r="NMA244" s="82"/>
      <c r="NMB244" s="84"/>
      <c r="NMC244" s="84"/>
      <c r="NMD244" s="82"/>
      <c r="NME244" s="83"/>
      <c r="NMF244" s="82"/>
      <c r="NMG244" s="84"/>
      <c r="NMH244" s="84"/>
      <c r="NMI244" s="82"/>
      <c r="NMJ244" s="83"/>
      <c r="NMK244" s="82"/>
      <c r="NML244" s="84"/>
      <c r="NMM244" s="84"/>
      <c r="NMN244" s="82"/>
      <c r="NMO244" s="83"/>
      <c r="NMP244" s="82"/>
      <c r="NMQ244" s="84"/>
      <c r="NMR244" s="84"/>
      <c r="NMS244" s="82"/>
      <c r="NMT244" s="83"/>
      <c r="NMU244" s="82"/>
      <c r="NMV244" s="84"/>
      <c r="NMW244" s="84"/>
      <c r="NMX244" s="82"/>
      <c r="NMY244" s="83"/>
      <c r="NMZ244" s="82"/>
      <c r="NNA244" s="84"/>
      <c r="NNB244" s="84"/>
      <c r="NNC244" s="82"/>
      <c r="NND244" s="83"/>
      <c r="NNE244" s="82"/>
      <c r="NNF244" s="84"/>
      <c r="NNG244" s="84"/>
      <c r="NNH244" s="82"/>
      <c r="NNI244" s="83"/>
      <c r="NNJ244" s="82"/>
      <c r="NNK244" s="84"/>
      <c r="NNL244" s="84"/>
      <c r="NNM244" s="82"/>
      <c r="NNN244" s="83"/>
      <c r="NNO244" s="82"/>
      <c r="NNP244" s="84"/>
      <c r="NNQ244" s="84"/>
      <c r="NNR244" s="82"/>
      <c r="NNS244" s="83"/>
      <c r="NNT244" s="82"/>
      <c r="NNU244" s="84"/>
      <c r="NNV244" s="84"/>
      <c r="NNW244" s="82"/>
      <c r="NNX244" s="83"/>
      <c r="NNY244" s="82"/>
      <c r="NNZ244" s="84"/>
      <c r="NOA244" s="84"/>
      <c r="NOB244" s="82"/>
      <c r="NOC244" s="83"/>
      <c r="NOD244" s="82"/>
      <c r="NOE244" s="84"/>
      <c r="NOF244" s="84"/>
      <c r="NOG244" s="82"/>
      <c r="NOH244" s="83"/>
      <c r="NOI244" s="82"/>
      <c r="NOJ244" s="84"/>
      <c r="NOK244" s="84"/>
      <c r="NOL244" s="82"/>
      <c r="NOM244" s="83"/>
      <c r="NON244" s="82"/>
      <c r="NOO244" s="84"/>
      <c r="NOP244" s="84"/>
      <c r="NOQ244" s="82"/>
      <c r="NOR244" s="83"/>
      <c r="NOS244" s="82"/>
      <c r="NOT244" s="84"/>
      <c r="NOU244" s="84"/>
      <c r="NOV244" s="82"/>
      <c r="NOW244" s="83"/>
      <c r="NOX244" s="82"/>
      <c r="NOY244" s="84"/>
      <c r="NOZ244" s="84"/>
      <c r="NPA244" s="82"/>
      <c r="NPB244" s="83"/>
      <c r="NPC244" s="82"/>
      <c r="NPD244" s="84"/>
      <c r="NPE244" s="84"/>
      <c r="NPF244" s="82"/>
      <c r="NPG244" s="83"/>
      <c r="NPH244" s="82"/>
      <c r="NPI244" s="84"/>
      <c r="NPJ244" s="84"/>
      <c r="NPK244" s="82"/>
      <c r="NPL244" s="83"/>
      <c r="NPM244" s="82"/>
      <c r="NPN244" s="84"/>
      <c r="NPO244" s="84"/>
      <c r="NPP244" s="82"/>
      <c r="NPQ244" s="83"/>
      <c r="NPR244" s="82"/>
      <c r="NPS244" s="84"/>
      <c r="NPT244" s="84"/>
      <c r="NPU244" s="82"/>
      <c r="NPV244" s="83"/>
      <c r="NPW244" s="82"/>
      <c r="NPX244" s="84"/>
      <c r="NPY244" s="84"/>
      <c r="NPZ244" s="82"/>
      <c r="NQA244" s="83"/>
      <c r="NQB244" s="82"/>
      <c r="NQC244" s="84"/>
      <c r="NQD244" s="84"/>
      <c r="NQE244" s="82"/>
      <c r="NQF244" s="83"/>
      <c r="NQG244" s="82"/>
      <c r="NQH244" s="84"/>
      <c r="NQI244" s="84"/>
      <c r="NQJ244" s="82"/>
      <c r="NQK244" s="83"/>
      <c r="NQL244" s="82"/>
      <c r="NQM244" s="84"/>
      <c r="NQN244" s="84"/>
      <c r="NQO244" s="82"/>
      <c r="NQP244" s="83"/>
      <c r="NQQ244" s="82"/>
      <c r="NQR244" s="84"/>
      <c r="NQS244" s="84"/>
      <c r="NQT244" s="82"/>
      <c r="NQU244" s="83"/>
      <c r="NQV244" s="82"/>
      <c r="NQW244" s="84"/>
      <c r="NQX244" s="84"/>
      <c r="NQY244" s="82"/>
      <c r="NQZ244" s="83"/>
      <c r="NRA244" s="82"/>
      <c r="NRB244" s="84"/>
      <c r="NRC244" s="84"/>
      <c r="NRD244" s="82"/>
      <c r="NRE244" s="83"/>
      <c r="NRF244" s="82"/>
      <c r="NRG244" s="84"/>
      <c r="NRH244" s="84"/>
      <c r="NRI244" s="82"/>
      <c r="NRJ244" s="83"/>
      <c r="NRK244" s="82"/>
      <c r="NRL244" s="84"/>
      <c r="NRM244" s="84"/>
      <c r="NRN244" s="82"/>
      <c r="NRO244" s="83"/>
      <c r="NRP244" s="82"/>
      <c r="NRQ244" s="84"/>
      <c r="NRR244" s="84"/>
      <c r="NRS244" s="82"/>
      <c r="NRT244" s="83"/>
      <c r="NRU244" s="82"/>
      <c r="NRV244" s="84"/>
      <c r="NRW244" s="84"/>
      <c r="NRX244" s="82"/>
      <c r="NRY244" s="83"/>
      <c r="NRZ244" s="82"/>
      <c r="NSA244" s="84"/>
      <c r="NSB244" s="84"/>
      <c r="NSC244" s="82"/>
      <c r="NSD244" s="83"/>
      <c r="NSE244" s="82"/>
      <c r="NSF244" s="84"/>
      <c r="NSG244" s="84"/>
      <c r="NSH244" s="82"/>
      <c r="NSI244" s="83"/>
      <c r="NSJ244" s="82"/>
      <c r="NSK244" s="84"/>
      <c r="NSL244" s="84"/>
      <c r="NSM244" s="82"/>
      <c r="NSN244" s="83"/>
      <c r="NSO244" s="82"/>
      <c r="NSP244" s="84"/>
      <c r="NSQ244" s="84"/>
      <c r="NSR244" s="82"/>
      <c r="NSS244" s="83"/>
      <c r="NST244" s="82"/>
      <c r="NSU244" s="84"/>
      <c r="NSV244" s="84"/>
      <c r="NSW244" s="82"/>
      <c r="NSX244" s="83"/>
      <c r="NSY244" s="82"/>
      <c r="NSZ244" s="84"/>
      <c r="NTA244" s="84"/>
      <c r="NTB244" s="82"/>
      <c r="NTC244" s="83"/>
      <c r="NTD244" s="82"/>
      <c r="NTE244" s="84"/>
      <c r="NTF244" s="84"/>
      <c r="NTG244" s="82"/>
      <c r="NTH244" s="83"/>
      <c r="NTI244" s="82"/>
      <c r="NTJ244" s="84"/>
      <c r="NTK244" s="84"/>
      <c r="NTL244" s="82"/>
      <c r="NTM244" s="83"/>
      <c r="NTN244" s="82"/>
      <c r="NTO244" s="84"/>
      <c r="NTP244" s="84"/>
      <c r="NTQ244" s="82"/>
      <c r="NTR244" s="83"/>
      <c r="NTS244" s="82"/>
      <c r="NTT244" s="84"/>
      <c r="NTU244" s="84"/>
      <c r="NTV244" s="82"/>
      <c r="NTW244" s="83"/>
      <c r="NTX244" s="82"/>
      <c r="NTY244" s="84"/>
      <c r="NTZ244" s="84"/>
      <c r="NUA244" s="82"/>
      <c r="NUB244" s="83"/>
      <c r="NUC244" s="82"/>
      <c r="NUD244" s="84"/>
      <c r="NUE244" s="84"/>
      <c r="NUF244" s="82"/>
      <c r="NUG244" s="83"/>
      <c r="NUH244" s="82"/>
      <c r="NUI244" s="84"/>
      <c r="NUJ244" s="84"/>
      <c r="NUK244" s="82"/>
      <c r="NUL244" s="83"/>
      <c r="NUM244" s="82"/>
      <c r="NUN244" s="84"/>
      <c r="NUO244" s="84"/>
      <c r="NUP244" s="82"/>
      <c r="NUQ244" s="83"/>
      <c r="NUR244" s="82"/>
      <c r="NUS244" s="84"/>
      <c r="NUT244" s="84"/>
      <c r="NUU244" s="82"/>
      <c r="NUV244" s="83"/>
      <c r="NUW244" s="82"/>
      <c r="NUX244" s="84"/>
      <c r="NUY244" s="84"/>
      <c r="NUZ244" s="82"/>
      <c r="NVA244" s="83"/>
      <c r="NVB244" s="82"/>
      <c r="NVC244" s="84"/>
      <c r="NVD244" s="84"/>
      <c r="NVE244" s="82"/>
      <c r="NVF244" s="83"/>
      <c r="NVG244" s="82"/>
      <c r="NVH244" s="84"/>
      <c r="NVI244" s="84"/>
      <c r="NVJ244" s="82"/>
      <c r="NVK244" s="83"/>
      <c r="NVL244" s="82"/>
      <c r="NVM244" s="84"/>
      <c r="NVN244" s="84"/>
      <c r="NVO244" s="82"/>
      <c r="NVP244" s="83"/>
      <c r="NVQ244" s="82"/>
      <c r="NVR244" s="84"/>
      <c r="NVS244" s="84"/>
      <c r="NVT244" s="82"/>
      <c r="NVU244" s="83"/>
      <c r="NVV244" s="82"/>
      <c r="NVW244" s="84"/>
      <c r="NVX244" s="84"/>
      <c r="NVY244" s="82"/>
      <c r="NVZ244" s="83"/>
      <c r="NWA244" s="82"/>
      <c r="NWB244" s="84"/>
      <c r="NWC244" s="84"/>
      <c r="NWD244" s="82"/>
      <c r="NWE244" s="83"/>
      <c r="NWF244" s="82"/>
      <c r="NWG244" s="84"/>
      <c r="NWH244" s="84"/>
      <c r="NWI244" s="82"/>
      <c r="NWJ244" s="83"/>
      <c r="NWK244" s="82"/>
      <c r="NWL244" s="84"/>
      <c r="NWM244" s="84"/>
      <c r="NWN244" s="82"/>
      <c r="NWO244" s="83"/>
      <c r="NWP244" s="82"/>
      <c r="NWQ244" s="84"/>
      <c r="NWR244" s="84"/>
      <c r="NWS244" s="82"/>
      <c r="NWT244" s="83"/>
      <c r="NWU244" s="82"/>
      <c r="NWV244" s="84"/>
      <c r="NWW244" s="84"/>
      <c r="NWX244" s="82"/>
      <c r="NWY244" s="83"/>
      <c r="NWZ244" s="82"/>
      <c r="NXA244" s="84"/>
      <c r="NXB244" s="84"/>
      <c r="NXC244" s="82"/>
      <c r="NXD244" s="83"/>
      <c r="NXE244" s="82"/>
      <c r="NXF244" s="84"/>
      <c r="NXG244" s="84"/>
      <c r="NXH244" s="82"/>
      <c r="NXI244" s="83"/>
      <c r="NXJ244" s="82"/>
      <c r="NXK244" s="84"/>
      <c r="NXL244" s="84"/>
      <c r="NXM244" s="82"/>
      <c r="NXN244" s="83"/>
      <c r="NXO244" s="82"/>
      <c r="NXP244" s="84"/>
      <c r="NXQ244" s="84"/>
      <c r="NXR244" s="82"/>
      <c r="NXS244" s="83"/>
      <c r="NXT244" s="82"/>
      <c r="NXU244" s="84"/>
      <c r="NXV244" s="84"/>
      <c r="NXW244" s="82"/>
      <c r="NXX244" s="83"/>
      <c r="NXY244" s="82"/>
      <c r="NXZ244" s="84"/>
      <c r="NYA244" s="84"/>
      <c r="NYB244" s="82"/>
      <c r="NYC244" s="83"/>
      <c r="NYD244" s="82"/>
      <c r="NYE244" s="84"/>
      <c r="NYF244" s="84"/>
      <c r="NYG244" s="82"/>
      <c r="NYH244" s="83"/>
      <c r="NYI244" s="82"/>
      <c r="NYJ244" s="84"/>
      <c r="NYK244" s="84"/>
      <c r="NYL244" s="82"/>
      <c r="NYM244" s="83"/>
      <c r="NYN244" s="82"/>
      <c r="NYO244" s="84"/>
      <c r="NYP244" s="84"/>
      <c r="NYQ244" s="82"/>
      <c r="NYR244" s="83"/>
      <c r="NYS244" s="82"/>
      <c r="NYT244" s="84"/>
      <c r="NYU244" s="84"/>
      <c r="NYV244" s="82"/>
      <c r="NYW244" s="83"/>
      <c r="NYX244" s="82"/>
      <c r="NYY244" s="84"/>
      <c r="NYZ244" s="84"/>
      <c r="NZA244" s="82"/>
      <c r="NZB244" s="83"/>
      <c r="NZC244" s="82"/>
      <c r="NZD244" s="84"/>
      <c r="NZE244" s="84"/>
      <c r="NZF244" s="82"/>
      <c r="NZG244" s="83"/>
      <c r="NZH244" s="82"/>
      <c r="NZI244" s="84"/>
      <c r="NZJ244" s="84"/>
      <c r="NZK244" s="82"/>
      <c r="NZL244" s="83"/>
      <c r="NZM244" s="82"/>
      <c r="NZN244" s="84"/>
      <c r="NZO244" s="84"/>
      <c r="NZP244" s="82"/>
      <c r="NZQ244" s="83"/>
      <c r="NZR244" s="82"/>
      <c r="NZS244" s="84"/>
      <c r="NZT244" s="84"/>
      <c r="NZU244" s="82"/>
      <c r="NZV244" s="83"/>
      <c r="NZW244" s="82"/>
      <c r="NZX244" s="84"/>
      <c r="NZY244" s="84"/>
      <c r="NZZ244" s="82"/>
      <c r="OAA244" s="83"/>
      <c r="OAB244" s="82"/>
      <c r="OAC244" s="84"/>
      <c r="OAD244" s="84"/>
      <c r="OAE244" s="82"/>
      <c r="OAF244" s="83"/>
      <c r="OAG244" s="82"/>
      <c r="OAH244" s="84"/>
      <c r="OAI244" s="84"/>
      <c r="OAJ244" s="82"/>
      <c r="OAK244" s="83"/>
      <c r="OAL244" s="82"/>
      <c r="OAM244" s="84"/>
      <c r="OAN244" s="84"/>
      <c r="OAO244" s="82"/>
      <c r="OAP244" s="83"/>
      <c r="OAQ244" s="82"/>
      <c r="OAR244" s="84"/>
      <c r="OAS244" s="84"/>
      <c r="OAT244" s="82"/>
      <c r="OAU244" s="83"/>
      <c r="OAV244" s="82"/>
      <c r="OAW244" s="84"/>
      <c r="OAX244" s="84"/>
      <c r="OAY244" s="82"/>
      <c r="OAZ244" s="83"/>
      <c r="OBA244" s="82"/>
      <c r="OBB244" s="84"/>
      <c r="OBC244" s="84"/>
      <c r="OBD244" s="82"/>
      <c r="OBE244" s="83"/>
      <c r="OBF244" s="82"/>
      <c r="OBG244" s="84"/>
      <c r="OBH244" s="84"/>
      <c r="OBI244" s="82"/>
      <c r="OBJ244" s="83"/>
      <c r="OBK244" s="82"/>
      <c r="OBL244" s="84"/>
      <c r="OBM244" s="84"/>
      <c r="OBN244" s="82"/>
      <c r="OBO244" s="83"/>
      <c r="OBP244" s="82"/>
      <c r="OBQ244" s="84"/>
      <c r="OBR244" s="84"/>
      <c r="OBS244" s="82"/>
      <c r="OBT244" s="83"/>
      <c r="OBU244" s="82"/>
      <c r="OBV244" s="84"/>
      <c r="OBW244" s="84"/>
      <c r="OBX244" s="82"/>
      <c r="OBY244" s="83"/>
      <c r="OBZ244" s="82"/>
      <c r="OCA244" s="84"/>
      <c r="OCB244" s="84"/>
      <c r="OCC244" s="82"/>
      <c r="OCD244" s="83"/>
      <c r="OCE244" s="82"/>
      <c r="OCF244" s="84"/>
      <c r="OCG244" s="84"/>
      <c r="OCH244" s="82"/>
      <c r="OCI244" s="83"/>
      <c r="OCJ244" s="82"/>
      <c r="OCK244" s="84"/>
      <c r="OCL244" s="84"/>
      <c r="OCM244" s="82"/>
      <c r="OCN244" s="83"/>
      <c r="OCO244" s="82"/>
      <c r="OCP244" s="84"/>
      <c r="OCQ244" s="84"/>
      <c r="OCR244" s="82"/>
      <c r="OCS244" s="83"/>
      <c r="OCT244" s="82"/>
      <c r="OCU244" s="84"/>
      <c r="OCV244" s="84"/>
      <c r="OCW244" s="82"/>
      <c r="OCX244" s="83"/>
      <c r="OCY244" s="82"/>
      <c r="OCZ244" s="84"/>
      <c r="ODA244" s="84"/>
      <c r="ODB244" s="82"/>
      <c r="ODC244" s="83"/>
      <c r="ODD244" s="82"/>
      <c r="ODE244" s="84"/>
      <c r="ODF244" s="84"/>
      <c r="ODG244" s="82"/>
      <c r="ODH244" s="83"/>
      <c r="ODI244" s="82"/>
      <c r="ODJ244" s="84"/>
      <c r="ODK244" s="84"/>
      <c r="ODL244" s="82"/>
      <c r="ODM244" s="83"/>
      <c r="ODN244" s="82"/>
      <c r="ODO244" s="84"/>
      <c r="ODP244" s="84"/>
      <c r="ODQ244" s="82"/>
      <c r="ODR244" s="83"/>
      <c r="ODS244" s="82"/>
      <c r="ODT244" s="84"/>
      <c r="ODU244" s="84"/>
      <c r="ODV244" s="82"/>
      <c r="ODW244" s="83"/>
      <c r="ODX244" s="82"/>
      <c r="ODY244" s="84"/>
      <c r="ODZ244" s="84"/>
      <c r="OEA244" s="82"/>
      <c r="OEB244" s="83"/>
      <c r="OEC244" s="82"/>
      <c r="OED244" s="84"/>
      <c r="OEE244" s="84"/>
      <c r="OEF244" s="82"/>
      <c r="OEG244" s="83"/>
      <c r="OEH244" s="82"/>
      <c r="OEI244" s="84"/>
      <c r="OEJ244" s="84"/>
      <c r="OEK244" s="82"/>
      <c r="OEL244" s="83"/>
      <c r="OEM244" s="82"/>
      <c r="OEN244" s="84"/>
      <c r="OEO244" s="84"/>
      <c r="OEP244" s="82"/>
      <c r="OEQ244" s="83"/>
      <c r="OER244" s="82"/>
      <c r="OES244" s="84"/>
      <c r="OET244" s="84"/>
      <c r="OEU244" s="82"/>
      <c r="OEV244" s="83"/>
      <c r="OEW244" s="82"/>
      <c r="OEX244" s="84"/>
      <c r="OEY244" s="84"/>
      <c r="OEZ244" s="82"/>
      <c r="OFA244" s="83"/>
      <c r="OFB244" s="82"/>
      <c r="OFC244" s="84"/>
      <c r="OFD244" s="84"/>
      <c r="OFE244" s="82"/>
      <c r="OFF244" s="83"/>
      <c r="OFG244" s="82"/>
      <c r="OFH244" s="84"/>
      <c r="OFI244" s="84"/>
      <c r="OFJ244" s="82"/>
      <c r="OFK244" s="83"/>
      <c r="OFL244" s="82"/>
      <c r="OFM244" s="84"/>
      <c r="OFN244" s="84"/>
      <c r="OFO244" s="82"/>
      <c r="OFP244" s="83"/>
      <c r="OFQ244" s="82"/>
      <c r="OFR244" s="84"/>
      <c r="OFS244" s="84"/>
      <c r="OFT244" s="82"/>
      <c r="OFU244" s="83"/>
      <c r="OFV244" s="82"/>
      <c r="OFW244" s="84"/>
      <c r="OFX244" s="84"/>
      <c r="OFY244" s="82"/>
      <c r="OFZ244" s="83"/>
      <c r="OGA244" s="82"/>
      <c r="OGB244" s="84"/>
      <c r="OGC244" s="84"/>
      <c r="OGD244" s="82"/>
      <c r="OGE244" s="83"/>
      <c r="OGF244" s="82"/>
      <c r="OGG244" s="84"/>
      <c r="OGH244" s="84"/>
      <c r="OGI244" s="82"/>
      <c r="OGJ244" s="83"/>
      <c r="OGK244" s="82"/>
      <c r="OGL244" s="84"/>
      <c r="OGM244" s="84"/>
      <c r="OGN244" s="82"/>
      <c r="OGO244" s="83"/>
      <c r="OGP244" s="82"/>
      <c r="OGQ244" s="84"/>
      <c r="OGR244" s="84"/>
      <c r="OGS244" s="82"/>
      <c r="OGT244" s="83"/>
      <c r="OGU244" s="82"/>
      <c r="OGV244" s="84"/>
      <c r="OGW244" s="84"/>
      <c r="OGX244" s="82"/>
      <c r="OGY244" s="83"/>
      <c r="OGZ244" s="82"/>
      <c r="OHA244" s="84"/>
      <c r="OHB244" s="84"/>
      <c r="OHC244" s="82"/>
      <c r="OHD244" s="83"/>
      <c r="OHE244" s="82"/>
      <c r="OHF244" s="84"/>
      <c r="OHG244" s="84"/>
      <c r="OHH244" s="82"/>
      <c r="OHI244" s="83"/>
      <c r="OHJ244" s="82"/>
      <c r="OHK244" s="84"/>
      <c r="OHL244" s="84"/>
      <c r="OHM244" s="82"/>
      <c r="OHN244" s="83"/>
      <c r="OHO244" s="82"/>
      <c r="OHP244" s="84"/>
      <c r="OHQ244" s="84"/>
      <c r="OHR244" s="82"/>
      <c r="OHS244" s="83"/>
      <c r="OHT244" s="82"/>
      <c r="OHU244" s="84"/>
      <c r="OHV244" s="84"/>
      <c r="OHW244" s="82"/>
      <c r="OHX244" s="83"/>
      <c r="OHY244" s="82"/>
      <c r="OHZ244" s="84"/>
      <c r="OIA244" s="84"/>
      <c r="OIB244" s="82"/>
      <c r="OIC244" s="83"/>
      <c r="OID244" s="82"/>
      <c r="OIE244" s="84"/>
      <c r="OIF244" s="84"/>
      <c r="OIG244" s="82"/>
      <c r="OIH244" s="83"/>
      <c r="OII244" s="82"/>
      <c r="OIJ244" s="84"/>
      <c r="OIK244" s="84"/>
      <c r="OIL244" s="82"/>
      <c r="OIM244" s="83"/>
      <c r="OIN244" s="82"/>
      <c r="OIO244" s="84"/>
      <c r="OIP244" s="84"/>
      <c r="OIQ244" s="82"/>
      <c r="OIR244" s="83"/>
      <c r="OIS244" s="82"/>
      <c r="OIT244" s="84"/>
      <c r="OIU244" s="84"/>
      <c r="OIV244" s="82"/>
      <c r="OIW244" s="83"/>
      <c r="OIX244" s="82"/>
      <c r="OIY244" s="84"/>
      <c r="OIZ244" s="84"/>
      <c r="OJA244" s="82"/>
      <c r="OJB244" s="83"/>
      <c r="OJC244" s="82"/>
      <c r="OJD244" s="84"/>
      <c r="OJE244" s="84"/>
      <c r="OJF244" s="82"/>
      <c r="OJG244" s="83"/>
      <c r="OJH244" s="82"/>
      <c r="OJI244" s="84"/>
      <c r="OJJ244" s="84"/>
      <c r="OJK244" s="82"/>
      <c r="OJL244" s="83"/>
      <c r="OJM244" s="82"/>
      <c r="OJN244" s="84"/>
      <c r="OJO244" s="84"/>
      <c r="OJP244" s="82"/>
      <c r="OJQ244" s="83"/>
      <c r="OJR244" s="82"/>
      <c r="OJS244" s="84"/>
      <c r="OJT244" s="84"/>
      <c r="OJU244" s="82"/>
      <c r="OJV244" s="83"/>
      <c r="OJW244" s="82"/>
      <c r="OJX244" s="84"/>
      <c r="OJY244" s="84"/>
      <c r="OJZ244" s="82"/>
      <c r="OKA244" s="83"/>
      <c r="OKB244" s="82"/>
      <c r="OKC244" s="84"/>
      <c r="OKD244" s="84"/>
      <c r="OKE244" s="82"/>
      <c r="OKF244" s="83"/>
      <c r="OKG244" s="82"/>
      <c r="OKH244" s="84"/>
      <c r="OKI244" s="84"/>
      <c r="OKJ244" s="82"/>
      <c r="OKK244" s="83"/>
      <c r="OKL244" s="82"/>
      <c r="OKM244" s="84"/>
      <c r="OKN244" s="84"/>
      <c r="OKO244" s="82"/>
      <c r="OKP244" s="83"/>
      <c r="OKQ244" s="82"/>
      <c r="OKR244" s="84"/>
      <c r="OKS244" s="84"/>
      <c r="OKT244" s="82"/>
      <c r="OKU244" s="83"/>
      <c r="OKV244" s="82"/>
      <c r="OKW244" s="84"/>
      <c r="OKX244" s="84"/>
      <c r="OKY244" s="82"/>
      <c r="OKZ244" s="83"/>
      <c r="OLA244" s="82"/>
      <c r="OLB244" s="84"/>
      <c r="OLC244" s="84"/>
      <c r="OLD244" s="82"/>
      <c r="OLE244" s="83"/>
      <c r="OLF244" s="82"/>
      <c r="OLG244" s="84"/>
      <c r="OLH244" s="84"/>
      <c r="OLI244" s="82"/>
      <c r="OLJ244" s="83"/>
      <c r="OLK244" s="82"/>
      <c r="OLL244" s="84"/>
      <c r="OLM244" s="84"/>
      <c r="OLN244" s="82"/>
      <c r="OLO244" s="83"/>
      <c r="OLP244" s="82"/>
      <c r="OLQ244" s="84"/>
      <c r="OLR244" s="84"/>
      <c r="OLS244" s="82"/>
      <c r="OLT244" s="83"/>
      <c r="OLU244" s="82"/>
      <c r="OLV244" s="84"/>
      <c r="OLW244" s="84"/>
      <c r="OLX244" s="82"/>
      <c r="OLY244" s="83"/>
      <c r="OLZ244" s="82"/>
      <c r="OMA244" s="84"/>
      <c r="OMB244" s="84"/>
      <c r="OMC244" s="82"/>
      <c r="OMD244" s="83"/>
      <c r="OME244" s="82"/>
      <c r="OMF244" s="84"/>
      <c r="OMG244" s="84"/>
      <c r="OMH244" s="82"/>
      <c r="OMI244" s="83"/>
      <c r="OMJ244" s="82"/>
      <c r="OMK244" s="84"/>
      <c r="OML244" s="84"/>
      <c r="OMM244" s="82"/>
      <c r="OMN244" s="83"/>
      <c r="OMO244" s="82"/>
      <c r="OMP244" s="84"/>
      <c r="OMQ244" s="84"/>
      <c r="OMR244" s="82"/>
      <c r="OMS244" s="83"/>
      <c r="OMT244" s="82"/>
      <c r="OMU244" s="84"/>
      <c r="OMV244" s="84"/>
      <c r="OMW244" s="82"/>
      <c r="OMX244" s="83"/>
      <c r="OMY244" s="82"/>
      <c r="OMZ244" s="84"/>
      <c r="ONA244" s="84"/>
      <c r="ONB244" s="82"/>
      <c r="ONC244" s="83"/>
      <c r="OND244" s="82"/>
      <c r="ONE244" s="84"/>
      <c r="ONF244" s="84"/>
      <c r="ONG244" s="82"/>
      <c r="ONH244" s="83"/>
      <c r="ONI244" s="82"/>
      <c r="ONJ244" s="84"/>
      <c r="ONK244" s="84"/>
      <c r="ONL244" s="82"/>
      <c r="ONM244" s="83"/>
      <c r="ONN244" s="82"/>
      <c r="ONO244" s="84"/>
      <c r="ONP244" s="84"/>
      <c r="ONQ244" s="82"/>
      <c r="ONR244" s="83"/>
      <c r="ONS244" s="82"/>
      <c r="ONT244" s="84"/>
      <c r="ONU244" s="84"/>
      <c r="ONV244" s="82"/>
      <c r="ONW244" s="83"/>
      <c r="ONX244" s="82"/>
      <c r="ONY244" s="84"/>
      <c r="ONZ244" s="84"/>
      <c r="OOA244" s="82"/>
      <c r="OOB244" s="83"/>
      <c r="OOC244" s="82"/>
      <c r="OOD244" s="84"/>
      <c r="OOE244" s="84"/>
      <c r="OOF244" s="82"/>
      <c r="OOG244" s="83"/>
      <c r="OOH244" s="82"/>
      <c r="OOI244" s="84"/>
      <c r="OOJ244" s="84"/>
      <c r="OOK244" s="82"/>
      <c r="OOL244" s="83"/>
      <c r="OOM244" s="82"/>
      <c r="OON244" s="84"/>
      <c r="OOO244" s="84"/>
      <c r="OOP244" s="82"/>
      <c r="OOQ244" s="83"/>
      <c r="OOR244" s="82"/>
      <c r="OOS244" s="84"/>
      <c r="OOT244" s="84"/>
      <c r="OOU244" s="82"/>
      <c r="OOV244" s="83"/>
      <c r="OOW244" s="82"/>
      <c r="OOX244" s="84"/>
      <c r="OOY244" s="84"/>
      <c r="OOZ244" s="82"/>
      <c r="OPA244" s="83"/>
      <c r="OPB244" s="82"/>
      <c r="OPC244" s="84"/>
      <c r="OPD244" s="84"/>
      <c r="OPE244" s="82"/>
      <c r="OPF244" s="83"/>
      <c r="OPG244" s="82"/>
      <c r="OPH244" s="84"/>
      <c r="OPI244" s="84"/>
      <c r="OPJ244" s="82"/>
      <c r="OPK244" s="83"/>
      <c r="OPL244" s="82"/>
      <c r="OPM244" s="84"/>
      <c r="OPN244" s="84"/>
      <c r="OPO244" s="82"/>
      <c r="OPP244" s="83"/>
      <c r="OPQ244" s="82"/>
      <c r="OPR244" s="84"/>
      <c r="OPS244" s="84"/>
      <c r="OPT244" s="82"/>
      <c r="OPU244" s="83"/>
      <c r="OPV244" s="82"/>
      <c r="OPW244" s="84"/>
      <c r="OPX244" s="84"/>
      <c r="OPY244" s="82"/>
      <c r="OPZ244" s="83"/>
      <c r="OQA244" s="82"/>
      <c r="OQB244" s="84"/>
      <c r="OQC244" s="84"/>
      <c r="OQD244" s="82"/>
      <c r="OQE244" s="83"/>
      <c r="OQF244" s="82"/>
      <c r="OQG244" s="84"/>
      <c r="OQH244" s="84"/>
      <c r="OQI244" s="82"/>
      <c r="OQJ244" s="83"/>
      <c r="OQK244" s="82"/>
      <c r="OQL244" s="84"/>
      <c r="OQM244" s="84"/>
      <c r="OQN244" s="82"/>
      <c r="OQO244" s="83"/>
      <c r="OQP244" s="82"/>
      <c r="OQQ244" s="84"/>
      <c r="OQR244" s="84"/>
      <c r="OQS244" s="82"/>
      <c r="OQT244" s="83"/>
      <c r="OQU244" s="82"/>
      <c r="OQV244" s="84"/>
      <c r="OQW244" s="84"/>
      <c r="OQX244" s="82"/>
      <c r="OQY244" s="83"/>
      <c r="OQZ244" s="82"/>
      <c r="ORA244" s="84"/>
      <c r="ORB244" s="84"/>
      <c r="ORC244" s="82"/>
      <c r="ORD244" s="83"/>
      <c r="ORE244" s="82"/>
      <c r="ORF244" s="84"/>
      <c r="ORG244" s="84"/>
      <c r="ORH244" s="82"/>
      <c r="ORI244" s="83"/>
      <c r="ORJ244" s="82"/>
      <c r="ORK244" s="84"/>
      <c r="ORL244" s="84"/>
      <c r="ORM244" s="82"/>
      <c r="ORN244" s="83"/>
      <c r="ORO244" s="82"/>
      <c r="ORP244" s="84"/>
      <c r="ORQ244" s="84"/>
      <c r="ORR244" s="82"/>
      <c r="ORS244" s="83"/>
      <c r="ORT244" s="82"/>
      <c r="ORU244" s="84"/>
      <c r="ORV244" s="84"/>
      <c r="ORW244" s="82"/>
      <c r="ORX244" s="83"/>
      <c r="ORY244" s="82"/>
      <c r="ORZ244" s="84"/>
      <c r="OSA244" s="84"/>
      <c r="OSB244" s="82"/>
      <c r="OSC244" s="83"/>
      <c r="OSD244" s="82"/>
      <c r="OSE244" s="84"/>
      <c r="OSF244" s="84"/>
      <c r="OSG244" s="82"/>
      <c r="OSH244" s="83"/>
      <c r="OSI244" s="82"/>
      <c r="OSJ244" s="84"/>
      <c r="OSK244" s="84"/>
      <c r="OSL244" s="82"/>
      <c r="OSM244" s="83"/>
      <c r="OSN244" s="82"/>
      <c r="OSO244" s="84"/>
      <c r="OSP244" s="84"/>
      <c r="OSQ244" s="82"/>
      <c r="OSR244" s="83"/>
      <c r="OSS244" s="82"/>
      <c r="OST244" s="84"/>
      <c r="OSU244" s="84"/>
      <c r="OSV244" s="82"/>
      <c r="OSW244" s="83"/>
      <c r="OSX244" s="82"/>
      <c r="OSY244" s="84"/>
      <c r="OSZ244" s="84"/>
      <c r="OTA244" s="82"/>
      <c r="OTB244" s="83"/>
      <c r="OTC244" s="82"/>
      <c r="OTD244" s="84"/>
      <c r="OTE244" s="84"/>
      <c r="OTF244" s="82"/>
      <c r="OTG244" s="83"/>
      <c r="OTH244" s="82"/>
      <c r="OTI244" s="84"/>
      <c r="OTJ244" s="84"/>
      <c r="OTK244" s="82"/>
      <c r="OTL244" s="83"/>
      <c r="OTM244" s="82"/>
      <c r="OTN244" s="84"/>
      <c r="OTO244" s="84"/>
      <c r="OTP244" s="82"/>
      <c r="OTQ244" s="83"/>
      <c r="OTR244" s="82"/>
      <c r="OTS244" s="84"/>
      <c r="OTT244" s="84"/>
      <c r="OTU244" s="82"/>
      <c r="OTV244" s="83"/>
      <c r="OTW244" s="82"/>
      <c r="OTX244" s="84"/>
      <c r="OTY244" s="84"/>
      <c r="OTZ244" s="82"/>
      <c r="OUA244" s="83"/>
      <c r="OUB244" s="82"/>
      <c r="OUC244" s="84"/>
      <c r="OUD244" s="84"/>
      <c r="OUE244" s="82"/>
      <c r="OUF244" s="83"/>
      <c r="OUG244" s="82"/>
      <c r="OUH244" s="84"/>
      <c r="OUI244" s="84"/>
      <c r="OUJ244" s="82"/>
      <c r="OUK244" s="83"/>
      <c r="OUL244" s="82"/>
      <c r="OUM244" s="84"/>
      <c r="OUN244" s="84"/>
      <c r="OUO244" s="82"/>
      <c r="OUP244" s="83"/>
      <c r="OUQ244" s="82"/>
      <c r="OUR244" s="84"/>
      <c r="OUS244" s="84"/>
      <c r="OUT244" s="82"/>
      <c r="OUU244" s="83"/>
      <c r="OUV244" s="82"/>
      <c r="OUW244" s="84"/>
      <c r="OUX244" s="84"/>
      <c r="OUY244" s="82"/>
      <c r="OUZ244" s="83"/>
      <c r="OVA244" s="82"/>
      <c r="OVB244" s="84"/>
      <c r="OVC244" s="84"/>
      <c r="OVD244" s="82"/>
      <c r="OVE244" s="83"/>
      <c r="OVF244" s="82"/>
      <c r="OVG244" s="84"/>
      <c r="OVH244" s="84"/>
      <c r="OVI244" s="82"/>
      <c r="OVJ244" s="83"/>
      <c r="OVK244" s="82"/>
      <c r="OVL244" s="84"/>
      <c r="OVM244" s="84"/>
      <c r="OVN244" s="82"/>
      <c r="OVO244" s="83"/>
      <c r="OVP244" s="82"/>
      <c r="OVQ244" s="84"/>
      <c r="OVR244" s="84"/>
      <c r="OVS244" s="82"/>
      <c r="OVT244" s="83"/>
      <c r="OVU244" s="82"/>
      <c r="OVV244" s="84"/>
      <c r="OVW244" s="84"/>
      <c r="OVX244" s="82"/>
      <c r="OVY244" s="83"/>
      <c r="OVZ244" s="82"/>
      <c r="OWA244" s="84"/>
      <c r="OWB244" s="84"/>
      <c r="OWC244" s="82"/>
      <c r="OWD244" s="83"/>
      <c r="OWE244" s="82"/>
      <c r="OWF244" s="84"/>
      <c r="OWG244" s="84"/>
      <c r="OWH244" s="82"/>
      <c r="OWI244" s="83"/>
      <c r="OWJ244" s="82"/>
      <c r="OWK244" s="84"/>
      <c r="OWL244" s="84"/>
      <c r="OWM244" s="82"/>
      <c r="OWN244" s="83"/>
      <c r="OWO244" s="82"/>
      <c r="OWP244" s="84"/>
      <c r="OWQ244" s="84"/>
      <c r="OWR244" s="82"/>
      <c r="OWS244" s="83"/>
      <c r="OWT244" s="82"/>
      <c r="OWU244" s="84"/>
      <c r="OWV244" s="84"/>
      <c r="OWW244" s="82"/>
      <c r="OWX244" s="83"/>
      <c r="OWY244" s="82"/>
      <c r="OWZ244" s="84"/>
      <c r="OXA244" s="84"/>
      <c r="OXB244" s="82"/>
      <c r="OXC244" s="83"/>
      <c r="OXD244" s="82"/>
      <c r="OXE244" s="84"/>
      <c r="OXF244" s="84"/>
      <c r="OXG244" s="82"/>
      <c r="OXH244" s="83"/>
      <c r="OXI244" s="82"/>
      <c r="OXJ244" s="84"/>
      <c r="OXK244" s="84"/>
      <c r="OXL244" s="82"/>
      <c r="OXM244" s="83"/>
      <c r="OXN244" s="82"/>
      <c r="OXO244" s="84"/>
      <c r="OXP244" s="84"/>
      <c r="OXQ244" s="82"/>
      <c r="OXR244" s="83"/>
      <c r="OXS244" s="82"/>
      <c r="OXT244" s="84"/>
      <c r="OXU244" s="84"/>
      <c r="OXV244" s="82"/>
      <c r="OXW244" s="83"/>
      <c r="OXX244" s="82"/>
      <c r="OXY244" s="84"/>
      <c r="OXZ244" s="84"/>
      <c r="OYA244" s="82"/>
      <c r="OYB244" s="83"/>
      <c r="OYC244" s="82"/>
      <c r="OYD244" s="84"/>
      <c r="OYE244" s="84"/>
      <c r="OYF244" s="82"/>
      <c r="OYG244" s="83"/>
      <c r="OYH244" s="82"/>
      <c r="OYI244" s="84"/>
      <c r="OYJ244" s="84"/>
      <c r="OYK244" s="82"/>
      <c r="OYL244" s="83"/>
      <c r="OYM244" s="82"/>
      <c r="OYN244" s="84"/>
      <c r="OYO244" s="84"/>
      <c r="OYP244" s="82"/>
      <c r="OYQ244" s="83"/>
      <c r="OYR244" s="82"/>
      <c r="OYS244" s="84"/>
      <c r="OYT244" s="84"/>
      <c r="OYU244" s="82"/>
      <c r="OYV244" s="83"/>
      <c r="OYW244" s="82"/>
      <c r="OYX244" s="84"/>
      <c r="OYY244" s="84"/>
      <c r="OYZ244" s="82"/>
      <c r="OZA244" s="83"/>
      <c r="OZB244" s="82"/>
      <c r="OZC244" s="84"/>
      <c r="OZD244" s="84"/>
      <c r="OZE244" s="82"/>
      <c r="OZF244" s="83"/>
      <c r="OZG244" s="82"/>
      <c r="OZH244" s="84"/>
      <c r="OZI244" s="84"/>
      <c r="OZJ244" s="82"/>
      <c r="OZK244" s="83"/>
      <c r="OZL244" s="82"/>
      <c r="OZM244" s="84"/>
      <c r="OZN244" s="84"/>
      <c r="OZO244" s="82"/>
      <c r="OZP244" s="83"/>
      <c r="OZQ244" s="82"/>
      <c r="OZR244" s="84"/>
      <c r="OZS244" s="84"/>
      <c r="OZT244" s="82"/>
      <c r="OZU244" s="83"/>
      <c r="OZV244" s="82"/>
      <c r="OZW244" s="84"/>
      <c r="OZX244" s="84"/>
      <c r="OZY244" s="82"/>
      <c r="OZZ244" s="83"/>
      <c r="PAA244" s="82"/>
      <c r="PAB244" s="84"/>
      <c r="PAC244" s="84"/>
      <c r="PAD244" s="82"/>
      <c r="PAE244" s="83"/>
      <c r="PAF244" s="82"/>
      <c r="PAG244" s="84"/>
      <c r="PAH244" s="84"/>
      <c r="PAI244" s="82"/>
      <c r="PAJ244" s="83"/>
      <c r="PAK244" s="82"/>
      <c r="PAL244" s="84"/>
      <c r="PAM244" s="84"/>
      <c r="PAN244" s="82"/>
      <c r="PAO244" s="83"/>
      <c r="PAP244" s="82"/>
      <c r="PAQ244" s="84"/>
      <c r="PAR244" s="84"/>
      <c r="PAS244" s="82"/>
      <c r="PAT244" s="83"/>
      <c r="PAU244" s="82"/>
      <c r="PAV244" s="84"/>
      <c r="PAW244" s="84"/>
      <c r="PAX244" s="82"/>
      <c r="PAY244" s="83"/>
      <c r="PAZ244" s="82"/>
      <c r="PBA244" s="84"/>
      <c r="PBB244" s="84"/>
      <c r="PBC244" s="82"/>
      <c r="PBD244" s="83"/>
      <c r="PBE244" s="82"/>
      <c r="PBF244" s="84"/>
      <c r="PBG244" s="84"/>
      <c r="PBH244" s="82"/>
      <c r="PBI244" s="83"/>
      <c r="PBJ244" s="82"/>
      <c r="PBK244" s="84"/>
      <c r="PBL244" s="84"/>
      <c r="PBM244" s="82"/>
      <c r="PBN244" s="83"/>
      <c r="PBO244" s="82"/>
      <c r="PBP244" s="84"/>
      <c r="PBQ244" s="84"/>
      <c r="PBR244" s="82"/>
      <c r="PBS244" s="83"/>
      <c r="PBT244" s="82"/>
      <c r="PBU244" s="84"/>
      <c r="PBV244" s="84"/>
      <c r="PBW244" s="82"/>
      <c r="PBX244" s="83"/>
      <c r="PBY244" s="82"/>
      <c r="PBZ244" s="84"/>
      <c r="PCA244" s="84"/>
      <c r="PCB244" s="82"/>
      <c r="PCC244" s="83"/>
      <c r="PCD244" s="82"/>
      <c r="PCE244" s="84"/>
      <c r="PCF244" s="84"/>
      <c r="PCG244" s="82"/>
      <c r="PCH244" s="83"/>
      <c r="PCI244" s="82"/>
      <c r="PCJ244" s="84"/>
      <c r="PCK244" s="84"/>
      <c r="PCL244" s="82"/>
      <c r="PCM244" s="83"/>
      <c r="PCN244" s="82"/>
      <c r="PCO244" s="84"/>
      <c r="PCP244" s="84"/>
      <c r="PCQ244" s="82"/>
      <c r="PCR244" s="83"/>
      <c r="PCS244" s="82"/>
      <c r="PCT244" s="84"/>
      <c r="PCU244" s="84"/>
      <c r="PCV244" s="82"/>
      <c r="PCW244" s="83"/>
      <c r="PCX244" s="82"/>
      <c r="PCY244" s="84"/>
      <c r="PCZ244" s="84"/>
      <c r="PDA244" s="82"/>
      <c r="PDB244" s="83"/>
      <c r="PDC244" s="82"/>
      <c r="PDD244" s="84"/>
      <c r="PDE244" s="84"/>
      <c r="PDF244" s="82"/>
      <c r="PDG244" s="83"/>
      <c r="PDH244" s="82"/>
      <c r="PDI244" s="84"/>
      <c r="PDJ244" s="84"/>
      <c r="PDK244" s="82"/>
      <c r="PDL244" s="83"/>
      <c r="PDM244" s="82"/>
      <c r="PDN244" s="84"/>
      <c r="PDO244" s="84"/>
      <c r="PDP244" s="82"/>
      <c r="PDQ244" s="83"/>
      <c r="PDR244" s="82"/>
      <c r="PDS244" s="84"/>
      <c r="PDT244" s="84"/>
      <c r="PDU244" s="82"/>
      <c r="PDV244" s="83"/>
      <c r="PDW244" s="82"/>
      <c r="PDX244" s="84"/>
      <c r="PDY244" s="84"/>
      <c r="PDZ244" s="82"/>
      <c r="PEA244" s="83"/>
      <c r="PEB244" s="82"/>
      <c r="PEC244" s="84"/>
      <c r="PED244" s="84"/>
      <c r="PEE244" s="82"/>
      <c r="PEF244" s="83"/>
      <c r="PEG244" s="82"/>
      <c r="PEH244" s="84"/>
      <c r="PEI244" s="84"/>
      <c r="PEJ244" s="82"/>
      <c r="PEK244" s="83"/>
      <c r="PEL244" s="82"/>
      <c r="PEM244" s="84"/>
      <c r="PEN244" s="84"/>
      <c r="PEO244" s="82"/>
      <c r="PEP244" s="83"/>
      <c r="PEQ244" s="82"/>
      <c r="PER244" s="84"/>
      <c r="PES244" s="84"/>
      <c r="PET244" s="82"/>
      <c r="PEU244" s="83"/>
      <c r="PEV244" s="82"/>
      <c r="PEW244" s="84"/>
      <c r="PEX244" s="84"/>
      <c r="PEY244" s="82"/>
      <c r="PEZ244" s="83"/>
      <c r="PFA244" s="82"/>
      <c r="PFB244" s="84"/>
      <c r="PFC244" s="84"/>
      <c r="PFD244" s="82"/>
      <c r="PFE244" s="83"/>
      <c r="PFF244" s="82"/>
      <c r="PFG244" s="84"/>
      <c r="PFH244" s="84"/>
      <c r="PFI244" s="82"/>
      <c r="PFJ244" s="83"/>
      <c r="PFK244" s="82"/>
      <c r="PFL244" s="84"/>
      <c r="PFM244" s="84"/>
      <c r="PFN244" s="82"/>
      <c r="PFO244" s="83"/>
      <c r="PFP244" s="82"/>
      <c r="PFQ244" s="84"/>
      <c r="PFR244" s="84"/>
      <c r="PFS244" s="82"/>
      <c r="PFT244" s="83"/>
      <c r="PFU244" s="82"/>
      <c r="PFV244" s="84"/>
      <c r="PFW244" s="84"/>
      <c r="PFX244" s="82"/>
      <c r="PFY244" s="83"/>
      <c r="PFZ244" s="82"/>
      <c r="PGA244" s="84"/>
      <c r="PGB244" s="84"/>
      <c r="PGC244" s="82"/>
      <c r="PGD244" s="83"/>
      <c r="PGE244" s="82"/>
      <c r="PGF244" s="84"/>
      <c r="PGG244" s="84"/>
      <c r="PGH244" s="82"/>
      <c r="PGI244" s="83"/>
      <c r="PGJ244" s="82"/>
      <c r="PGK244" s="84"/>
      <c r="PGL244" s="84"/>
      <c r="PGM244" s="82"/>
      <c r="PGN244" s="83"/>
      <c r="PGO244" s="82"/>
      <c r="PGP244" s="84"/>
      <c r="PGQ244" s="84"/>
      <c r="PGR244" s="82"/>
      <c r="PGS244" s="83"/>
      <c r="PGT244" s="82"/>
      <c r="PGU244" s="84"/>
      <c r="PGV244" s="84"/>
      <c r="PGW244" s="82"/>
      <c r="PGX244" s="83"/>
      <c r="PGY244" s="82"/>
      <c r="PGZ244" s="84"/>
      <c r="PHA244" s="84"/>
      <c r="PHB244" s="82"/>
      <c r="PHC244" s="83"/>
      <c r="PHD244" s="82"/>
      <c r="PHE244" s="84"/>
      <c r="PHF244" s="84"/>
      <c r="PHG244" s="82"/>
      <c r="PHH244" s="83"/>
      <c r="PHI244" s="82"/>
      <c r="PHJ244" s="84"/>
      <c r="PHK244" s="84"/>
      <c r="PHL244" s="82"/>
      <c r="PHM244" s="83"/>
      <c r="PHN244" s="82"/>
      <c r="PHO244" s="84"/>
      <c r="PHP244" s="84"/>
      <c r="PHQ244" s="82"/>
      <c r="PHR244" s="83"/>
      <c r="PHS244" s="82"/>
      <c r="PHT244" s="84"/>
      <c r="PHU244" s="84"/>
      <c r="PHV244" s="82"/>
      <c r="PHW244" s="83"/>
      <c r="PHX244" s="82"/>
      <c r="PHY244" s="84"/>
      <c r="PHZ244" s="84"/>
      <c r="PIA244" s="82"/>
      <c r="PIB244" s="83"/>
      <c r="PIC244" s="82"/>
      <c r="PID244" s="84"/>
      <c r="PIE244" s="84"/>
      <c r="PIF244" s="82"/>
      <c r="PIG244" s="83"/>
      <c r="PIH244" s="82"/>
      <c r="PII244" s="84"/>
      <c r="PIJ244" s="84"/>
      <c r="PIK244" s="82"/>
      <c r="PIL244" s="83"/>
      <c r="PIM244" s="82"/>
      <c r="PIN244" s="84"/>
      <c r="PIO244" s="84"/>
      <c r="PIP244" s="82"/>
      <c r="PIQ244" s="83"/>
      <c r="PIR244" s="82"/>
      <c r="PIS244" s="84"/>
      <c r="PIT244" s="84"/>
      <c r="PIU244" s="82"/>
      <c r="PIV244" s="83"/>
      <c r="PIW244" s="82"/>
      <c r="PIX244" s="84"/>
      <c r="PIY244" s="84"/>
      <c r="PIZ244" s="82"/>
      <c r="PJA244" s="83"/>
      <c r="PJB244" s="82"/>
      <c r="PJC244" s="84"/>
      <c r="PJD244" s="84"/>
      <c r="PJE244" s="82"/>
      <c r="PJF244" s="83"/>
      <c r="PJG244" s="82"/>
      <c r="PJH244" s="84"/>
      <c r="PJI244" s="84"/>
      <c r="PJJ244" s="82"/>
      <c r="PJK244" s="83"/>
      <c r="PJL244" s="82"/>
      <c r="PJM244" s="84"/>
      <c r="PJN244" s="84"/>
      <c r="PJO244" s="82"/>
      <c r="PJP244" s="83"/>
      <c r="PJQ244" s="82"/>
      <c r="PJR244" s="84"/>
      <c r="PJS244" s="84"/>
      <c r="PJT244" s="82"/>
      <c r="PJU244" s="83"/>
      <c r="PJV244" s="82"/>
      <c r="PJW244" s="84"/>
      <c r="PJX244" s="84"/>
      <c r="PJY244" s="82"/>
      <c r="PJZ244" s="83"/>
      <c r="PKA244" s="82"/>
      <c r="PKB244" s="84"/>
      <c r="PKC244" s="84"/>
      <c r="PKD244" s="82"/>
      <c r="PKE244" s="83"/>
      <c r="PKF244" s="82"/>
      <c r="PKG244" s="84"/>
      <c r="PKH244" s="84"/>
      <c r="PKI244" s="82"/>
      <c r="PKJ244" s="83"/>
      <c r="PKK244" s="82"/>
      <c r="PKL244" s="84"/>
      <c r="PKM244" s="84"/>
      <c r="PKN244" s="82"/>
      <c r="PKO244" s="83"/>
      <c r="PKP244" s="82"/>
      <c r="PKQ244" s="84"/>
      <c r="PKR244" s="84"/>
      <c r="PKS244" s="82"/>
      <c r="PKT244" s="83"/>
      <c r="PKU244" s="82"/>
      <c r="PKV244" s="84"/>
      <c r="PKW244" s="84"/>
      <c r="PKX244" s="82"/>
      <c r="PKY244" s="83"/>
      <c r="PKZ244" s="82"/>
      <c r="PLA244" s="84"/>
      <c r="PLB244" s="84"/>
      <c r="PLC244" s="82"/>
      <c r="PLD244" s="83"/>
      <c r="PLE244" s="82"/>
      <c r="PLF244" s="84"/>
      <c r="PLG244" s="84"/>
      <c r="PLH244" s="82"/>
      <c r="PLI244" s="83"/>
      <c r="PLJ244" s="82"/>
      <c r="PLK244" s="84"/>
      <c r="PLL244" s="84"/>
      <c r="PLM244" s="82"/>
      <c r="PLN244" s="83"/>
      <c r="PLO244" s="82"/>
      <c r="PLP244" s="84"/>
      <c r="PLQ244" s="84"/>
      <c r="PLR244" s="82"/>
      <c r="PLS244" s="83"/>
      <c r="PLT244" s="82"/>
      <c r="PLU244" s="84"/>
      <c r="PLV244" s="84"/>
      <c r="PLW244" s="82"/>
      <c r="PLX244" s="83"/>
      <c r="PLY244" s="82"/>
      <c r="PLZ244" s="84"/>
      <c r="PMA244" s="84"/>
      <c r="PMB244" s="82"/>
      <c r="PMC244" s="83"/>
      <c r="PMD244" s="82"/>
      <c r="PME244" s="84"/>
      <c r="PMF244" s="84"/>
      <c r="PMG244" s="82"/>
      <c r="PMH244" s="83"/>
      <c r="PMI244" s="82"/>
      <c r="PMJ244" s="84"/>
      <c r="PMK244" s="84"/>
      <c r="PML244" s="82"/>
      <c r="PMM244" s="83"/>
      <c r="PMN244" s="82"/>
      <c r="PMO244" s="84"/>
      <c r="PMP244" s="84"/>
      <c r="PMQ244" s="82"/>
      <c r="PMR244" s="83"/>
      <c r="PMS244" s="82"/>
      <c r="PMT244" s="84"/>
      <c r="PMU244" s="84"/>
      <c r="PMV244" s="82"/>
      <c r="PMW244" s="83"/>
      <c r="PMX244" s="82"/>
      <c r="PMY244" s="84"/>
      <c r="PMZ244" s="84"/>
      <c r="PNA244" s="82"/>
      <c r="PNB244" s="83"/>
      <c r="PNC244" s="82"/>
      <c r="PND244" s="84"/>
      <c r="PNE244" s="84"/>
      <c r="PNF244" s="82"/>
      <c r="PNG244" s="83"/>
      <c r="PNH244" s="82"/>
      <c r="PNI244" s="84"/>
      <c r="PNJ244" s="84"/>
      <c r="PNK244" s="82"/>
      <c r="PNL244" s="83"/>
      <c r="PNM244" s="82"/>
      <c r="PNN244" s="84"/>
      <c r="PNO244" s="84"/>
      <c r="PNP244" s="82"/>
      <c r="PNQ244" s="83"/>
      <c r="PNR244" s="82"/>
      <c r="PNS244" s="84"/>
      <c r="PNT244" s="84"/>
      <c r="PNU244" s="82"/>
      <c r="PNV244" s="83"/>
      <c r="PNW244" s="82"/>
      <c r="PNX244" s="84"/>
      <c r="PNY244" s="84"/>
      <c r="PNZ244" s="82"/>
      <c r="POA244" s="83"/>
      <c r="POB244" s="82"/>
      <c r="POC244" s="84"/>
      <c r="POD244" s="84"/>
      <c r="POE244" s="82"/>
      <c r="POF244" s="83"/>
      <c r="POG244" s="82"/>
      <c r="POH244" s="84"/>
      <c r="POI244" s="84"/>
      <c r="POJ244" s="82"/>
      <c r="POK244" s="83"/>
      <c r="POL244" s="82"/>
      <c r="POM244" s="84"/>
      <c r="PON244" s="84"/>
      <c r="POO244" s="82"/>
      <c r="POP244" s="83"/>
      <c r="POQ244" s="82"/>
      <c r="POR244" s="84"/>
      <c r="POS244" s="84"/>
      <c r="POT244" s="82"/>
      <c r="POU244" s="83"/>
      <c r="POV244" s="82"/>
      <c r="POW244" s="84"/>
      <c r="POX244" s="84"/>
      <c r="POY244" s="82"/>
      <c r="POZ244" s="83"/>
      <c r="PPA244" s="82"/>
      <c r="PPB244" s="84"/>
      <c r="PPC244" s="84"/>
      <c r="PPD244" s="82"/>
      <c r="PPE244" s="83"/>
      <c r="PPF244" s="82"/>
      <c r="PPG244" s="84"/>
      <c r="PPH244" s="84"/>
      <c r="PPI244" s="82"/>
      <c r="PPJ244" s="83"/>
      <c r="PPK244" s="82"/>
      <c r="PPL244" s="84"/>
      <c r="PPM244" s="84"/>
      <c r="PPN244" s="82"/>
      <c r="PPO244" s="83"/>
      <c r="PPP244" s="82"/>
      <c r="PPQ244" s="84"/>
      <c r="PPR244" s="84"/>
      <c r="PPS244" s="82"/>
      <c r="PPT244" s="83"/>
      <c r="PPU244" s="82"/>
      <c r="PPV244" s="84"/>
      <c r="PPW244" s="84"/>
      <c r="PPX244" s="82"/>
      <c r="PPY244" s="83"/>
      <c r="PPZ244" s="82"/>
      <c r="PQA244" s="84"/>
      <c r="PQB244" s="84"/>
      <c r="PQC244" s="82"/>
      <c r="PQD244" s="83"/>
      <c r="PQE244" s="82"/>
      <c r="PQF244" s="84"/>
      <c r="PQG244" s="84"/>
      <c r="PQH244" s="82"/>
      <c r="PQI244" s="83"/>
      <c r="PQJ244" s="82"/>
      <c r="PQK244" s="84"/>
      <c r="PQL244" s="84"/>
      <c r="PQM244" s="82"/>
      <c r="PQN244" s="83"/>
      <c r="PQO244" s="82"/>
      <c r="PQP244" s="84"/>
      <c r="PQQ244" s="84"/>
      <c r="PQR244" s="82"/>
      <c r="PQS244" s="83"/>
      <c r="PQT244" s="82"/>
      <c r="PQU244" s="84"/>
      <c r="PQV244" s="84"/>
      <c r="PQW244" s="82"/>
      <c r="PQX244" s="83"/>
      <c r="PQY244" s="82"/>
      <c r="PQZ244" s="84"/>
      <c r="PRA244" s="84"/>
      <c r="PRB244" s="82"/>
      <c r="PRC244" s="83"/>
      <c r="PRD244" s="82"/>
      <c r="PRE244" s="84"/>
      <c r="PRF244" s="84"/>
      <c r="PRG244" s="82"/>
      <c r="PRH244" s="83"/>
      <c r="PRI244" s="82"/>
      <c r="PRJ244" s="84"/>
      <c r="PRK244" s="84"/>
      <c r="PRL244" s="82"/>
      <c r="PRM244" s="83"/>
      <c r="PRN244" s="82"/>
      <c r="PRO244" s="84"/>
      <c r="PRP244" s="84"/>
      <c r="PRQ244" s="82"/>
      <c r="PRR244" s="83"/>
      <c r="PRS244" s="82"/>
      <c r="PRT244" s="84"/>
      <c r="PRU244" s="84"/>
      <c r="PRV244" s="82"/>
      <c r="PRW244" s="83"/>
      <c r="PRX244" s="82"/>
      <c r="PRY244" s="84"/>
      <c r="PRZ244" s="84"/>
      <c r="PSA244" s="82"/>
      <c r="PSB244" s="83"/>
      <c r="PSC244" s="82"/>
      <c r="PSD244" s="84"/>
      <c r="PSE244" s="84"/>
      <c r="PSF244" s="82"/>
      <c r="PSG244" s="83"/>
      <c r="PSH244" s="82"/>
      <c r="PSI244" s="84"/>
      <c r="PSJ244" s="84"/>
      <c r="PSK244" s="82"/>
      <c r="PSL244" s="83"/>
      <c r="PSM244" s="82"/>
      <c r="PSN244" s="84"/>
      <c r="PSO244" s="84"/>
      <c r="PSP244" s="82"/>
      <c r="PSQ244" s="83"/>
      <c r="PSR244" s="82"/>
      <c r="PSS244" s="84"/>
      <c r="PST244" s="84"/>
      <c r="PSU244" s="82"/>
      <c r="PSV244" s="83"/>
      <c r="PSW244" s="82"/>
      <c r="PSX244" s="84"/>
      <c r="PSY244" s="84"/>
      <c r="PSZ244" s="82"/>
      <c r="PTA244" s="83"/>
      <c r="PTB244" s="82"/>
      <c r="PTC244" s="84"/>
      <c r="PTD244" s="84"/>
      <c r="PTE244" s="82"/>
      <c r="PTF244" s="83"/>
      <c r="PTG244" s="82"/>
      <c r="PTH244" s="84"/>
      <c r="PTI244" s="84"/>
      <c r="PTJ244" s="82"/>
      <c r="PTK244" s="83"/>
      <c r="PTL244" s="82"/>
      <c r="PTM244" s="84"/>
      <c r="PTN244" s="84"/>
      <c r="PTO244" s="82"/>
      <c r="PTP244" s="83"/>
      <c r="PTQ244" s="82"/>
      <c r="PTR244" s="84"/>
      <c r="PTS244" s="84"/>
      <c r="PTT244" s="82"/>
      <c r="PTU244" s="83"/>
      <c r="PTV244" s="82"/>
      <c r="PTW244" s="84"/>
      <c r="PTX244" s="84"/>
      <c r="PTY244" s="82"/>
      <c r="PTZ244" s="83"/>
      <c r="PUA244" s="82"/>
      <c r="PUB244" s="84"/>
      <c r="PUC244" s="84"/>
      <c r="PUD244" s="82"/>
      <c r="PUE244" s="83"/>
      <c r="PUF244" s="82"/>
      <c r="PUG244" s="84"/>
      <c r="PUH244" s="84"/>
      <c r="PUI244" s="82"/>
      <c r="PUJ244" s="83"/>
      <c r="PUK244" s="82"/>
      <c r="PUL244" s="84"/>
      <c r="PUM244" s="84"/>
      <c r="PUN244" s="82"/>
      <c r="PUO244" s="83"/>
      <c r="PUP244" s="82"/>
      <c r="PUQ244" s="84"/>
      <c r="PUR244" s="84"/>
      <c r="PUS244" s="82"/>
      <c r="PUT244" s="83"/>
      <c r="PUU244" s="82"/>
      <c r="PUV244" s="84"/>
      <c r="PUW244" s="84"/>
      <c r="PUX244" s="82"/>
      <c r="PUY244" s="83"/>
      <c r="PUZ244" s="82"/>
      <c r="PVA244" s="84"/>
      <c r="PVB244" s="84"/>
      <c r="PVC244" s="82"/>
      <c r="PVD244" s="83"/>
      <c r="PVE244" s="82"/>
      <c r="PVF244" s="84"/>
      <c r="PVG244" s="84"/>
      <c r="PVH244" s="82"/>
      <c r="PVI244" s="83"/>
      <c r="PVJ244" s="82"/>
      <c r="PVK244" s="84"/>
      <c r="PVL244" s="84"/>
      <c r="PVM244" s="82"/>
      <c r="PVN244" s="83"/>
      <c r="PVO244" s="82"/>
      <c r="PVP244" s="84"/>
      <c r="PVQ244" s="84"/>
      <c r="PVR244" s="82"/>
      <c r="PVS244" s="83"/>
      <c r="PVT244" s="82"/>
      <c r="PVU244" s="84"/>
      <c r="PVV244" s="84"/>
      <c r="PVW244" s="82"/>
      <c r="PVX244" s="83"/>
      <c r="PVY244" s="82"/>
      <c r="PVZ244" s="84"/>
      <c r="PWA244" s="84"/>
      <c r="PWB244" s="82"/>
      <c r="PWC244" s="83"/>
      <c r="PWD244" s="82"/>
      <c r="PWE244" s="84"/>
      <c r="PWF244" s="84"/>
      <c r="PWG244" s="82"/>
      <c r="PWH244" s="83"/>
      <c r="PWI244" s="82"/>
      <c r="PWJ244" s="84"/>
      <c r="PWK244" s="84"/>
      <c r="PWL244" s="82"/>
      <c r="PWM244" s="83"/>
      <c r="PWN244" s="82"/>
      <c r="PWO244" s="84"/>
      <c r="PWP244" s="84"/>
      <c r="PWQ244" s="82"/>
      <c r="PWR244" s="83"/>
      <c r="PWS244" s="82"/>
      <c r="PWT244" s="84"/>
      <c r="PWU244" s="84"/>
      <c r="PWV244" s="82"/>
      <c r="PWW244" s="83"/>
      <c r="PWX244" s="82"/>
      <c r="PWY244" s="84"/>
      <c r="PWZ244" s="84"/>
      <c r="PXA244" s="82"/>
      <c r="PXB244" s="83"/>
      <c r="PXC244" s="82"/>
      <c r="PXD244" s="84"/>
      <c r="PXE244" s="84"/>
      <c r="PXF244" s="82"/>
      <c r="PXG244" s="83"/>
      <c r="PXH244" s="82"/>
      <c r="PXI244" s="84"/>
      <c r="PXJ244" s="84"/>
      <c r="PXK244" s="82"/>
      <c r="PXL244" s="83"/>
      <c r="PXM244" s="82"/>
      <c r="PXN244" s="84"/>
      <c r="PXO244" s="84"/>
      <c r="PXP244" s="82"/>
      <c r="PXQ244" s="83"/>
      <c r="PXR244" s="82"/>
      <c r="PXS244" s="84"/>
      <c r="PXT244" s="84"/>
      <c r="PXU244" s="82"/>
      <c r="PXV244" s="83"/>
      <c r="PXW244" s="82"/>
      <c r="PXX244" s="84"/>
      <c r="PXY244" s="84"/>
      <c r="PXZ244" s="82"/>
      <c r="PYA244" s="83"/>
      <c r="PYB244" s="82"/>
      <c r="PYC244" s="84"/>
      <c r="PYD244" s="84"/>
      <c r="PYE244" s="82"/>
      <c r="PYF244" s="83"/>
      <c r="PYG244" s="82"/>
      <c r="PYH244" s="84"/>
      <c r="PYI244" s="84"/>
      <c r="PYJ244" s="82"/>
      <c r="PYK244" s="83"/>
      <c r="PYL244" s="82"/>
      <c r="PYM244" s="84"/>
      <c r="PYN244" s="84"/>
      <c r="PYO244" s="82"/>
      <c r="PYP244" s="83"/>
      <c r="PYQ244" s="82"/>
      <c r="PYR244" s="84"/>
      <c r="PYS244" s="84"/>
      <c r="PYT244" s="82"/>
      <c r="PYU244" s="83"/>
      <c r="PYV244" s="82"/>
      <c r="PYW244" s="84"/>
      <c r="PYX244" s="84"/>
      <c r="PYY244" s="82"/>
      <c r="PYZ244" s="83"/>
      <c r="PZA244" s="82"/>
      <c r="PZB244" s="84"/>
      <c r="PZC244" s="84"/>
      <c r="PZD244" s="82"/>
      <c r="PZE244" s="83"/>
      <c r="PZF244" s="82"/>
      <c r="PZG244" s="84"/>
      <c r="PZH244" s="84"/>
      <c r="PZI244" s="82"/>
      <c r="PZJ244" s="83"/>
      <c r="PZK244" s="82"/>
      <c r="PZL244" s="84"/>
      <c r="PZM244" s="84"/>
      <c r="PZN244" s="82"/>
      <c r="PZO244" s="83"/>
      <c r="PZP244" s="82"/>
      <c r="PZQ244" s="84"/>
      <c r="PZR244" s="84"/>
      <c r="PZS244" s="82"/>
      <c r="PZT244" s="83"/>
      <c r="PZU244" s="82"/>
      <c r="PZV244" s="84"/>
      <c r="PZW244" s="84"/>
      <c r="PZX244" s="82"/>
      <c r="PZY244" s="83"/>
      <c r="PZZ244" s="82"/>
      <c r="QAA244" s="84"/>
      <c r="QAB244" s="84"/>
      <c r="QAC244" s="82"/>
      <c r="QAD244" s="83"/>
      <c r="QAE244" s="82"/>
      <c r="QAF244" s="84"/>
      <c r="QAG244" s="84"/>
      <c r="QAH244" s="82"/>
      <c r="QAI244" s="83"/>
      <c r="QAJ244" s="82"/>
      <c r="QAK244" s="84"/>
      <c r="QAL244" s="84"/>
      <c r="QAM244" s="82"/>
      <c r="QAN244" s="83"/>
      <c r="QAO244" s="82"/>
      <c r="QAP244" s="84"/>
      <c r="QAQ244" s="84"/>
      <c r="QAR244" s="82"/>
      <c r="QAS244" s="83"/>
      <c r="QAT244" s="82"/>
      <c r="QAU244" s="84"/>
      <c r="QAV244" s="84"/>
      <c r="QAW244" s="82"/>
      <c r="QAX244" s="83"/>
      <c r="QAY244" s="82"/>
      <c r="QAZ244" s="84"/>
      <c r="QBA244" s="84"/>
      <c r="QBB244" s="82"/>
      <c r="QBC244" s="83"/>
      <c r="QBD244" s="82"/>
      <c r="QBE244" s="84"/>
      <c r="QBF244" s="84"/>
      <c r="QBG244" s="82"/>
      <c r="QBH244" s="83"/>
      <c r="QBI244" s="82"/>
      <c r="QBJ244" s="84"/>
      <c r="QBK244" s="84"/>
      <c r="QBL244" s="82"/>
      <c r="QBM244" s="83"/>
      <c r="QBN244" s="82"/>
      <c r="QBO244" s="84"/>
      <c r="QBP244" s="84"/>
      <c r="QBQ244" s="82"/>
      <c r="QBR244" s="83"/>
      <c r="QBS244" s="82"/>
      <c r="QBT244" s="84"/>
      <c r="QBU244" s="84"/>
      <c r="QBV244" s="82"/>
      <c r="QBW244" s="83"/>
      <c r="QBX244" s="82"/>
      <c r="QBY244" s="84"/>
      <c r="QBZ244" s="84"/>
      <c r="QCA244" s="82"/>
      <c r="QCB244" s="83"/>
      <c r="QCC244" s="82"/>
      <c r="QCD244" s="84"/>
      <c r="QCE244" s="84"/>
      <c r="QCF244" s="82"/>
      <c r="QCG244" s="83"/>
      <c r="QCH244" s="82"/>
      <c r="QCI244" s="84"/>
      <c r="QCJ244" s="84"/>
      <c r="QCK244" s="82"/>
      <c r="QCL244" s="83"/>
      <c r="QCM244" s="82"/>
      <c r="QCN244" s="84"/>
      <c r="QCO244" s="84"/>
      <c r="QCP244" s="82"/>
      <c r="QCQ244" s="83"/>
      <c r="QCR244" s="82"/>
      <c r="QCS244" s="84"/>
      <c r="QCT244" s="84"/>
      <c r="QCU244" s="82"/>
      <c r="QCV244" s="83"/>
      <c r="QCW244" s="82"/>
      <c r="QCX244" s="84"/>
      <c r="QCY244" s="84"/>
      <c r="QCZ244" s="82"/>
      <c r="QDA244" s="83"/>
      <c r="QDB244" s="82"/>
      <c r="QDC244" s="84"/>
      <c r="QDD244" s="84"/>
      <c r="QDE244" s="82"/>
      <c r="QDF244" s="83"/>
      <c r="QDG244" s="82"/>
      <c r="QDH244" s="84"/>
      <c r="QDI244" s="84"/>
      <c r="QDJ244" s="82"/>
      <c r="QDK244" s="83"/>
      <c r="QDL244" s="82"/>
      <c r="QDM244" s="84"/>
      <c r="QDN244" s="84"/>
      <c r="QDO244" s="82"/>
      <c r="QDP244" s="83"/>
      <c r="QDQ244" s="82"/>
      <c r="QDR244" s="84"/>
      <c r="QDS244" s="84"/>
      <c r="QDT244" s="82"/>
      <c r="QDU244" s="83"/>
      <c r="QDV244" s="82"/>
      <c r="QDW244" s="84"/>
      <c r="QDX244" s="84"/>
      <c r="QDY244" s="82"/>
      <c r="QDZ244" s="83"/>
      <c r="QEA244" s="82"/>
      <c r="QEB244" s="84"/>
      <c r="QEC244" s="84"/>
      <c r="QED244" s="82"/>
      <c r="QEE244" s="83"/>
      <c r="QEF244" s="82"/>
      <c r="QEG244" s="84"/>
      <c r="QEH244" s="84"/>
      <c r="QEI244" s="82"/>
      <c r="QEJ244" s="83"/>
      <c r="QEK244" s="82"/>
      <c r="QEL244" s="84"/>
      <c r="QEM244" s="84"/>
      <c r="QEN244" s="82"/>
      <c r="QEO244" s="83"/>
      <c r="QEP244" s="82"/>
      <c r="QEQ244" s="84"/>
      <c r="QER244" s="84"/>
      <c r="QES244" s="82"/>
      <c r="QET244" s="83"/>
      <c r="QEU244" s="82"/>
      <c r="QEV244" s="84"/>
      <c r="QEW244" s="84"/>
      <c r="QEX244" s="82"/>
      <c r="QEY244" s="83"/>
      <c r="QEZ244" s="82"/>
      <c r="QFA244" s="84"/>
      <c r="QFB244" s="84"/>
      <c r="QFC244" s="82"/>
      <c r="QFD244" s="83"/>
      <c r="QFE244" s="82"/>
      <c r="QFF244" s="84"/>
      <c r="QFG244" s="84"/>
      <c r="QFH244" s="82"/>
      <c r="QFI244" s="83"/>
      <c r="QFJ244" s="82"/>
      <c r="QFK244" s="84"/>
      <c r="QFL244" s="84"/>
      <c r="QFM244" s="82"/>
      <c r="QFN244" s="83"/>
      <c r="QFO244" s="82"/>
      <c r="QFP244" s="84"/>
      <c r="QFQ244" s="84"/>
      <c r="QFR244" s="82"/>
      <c r="QFS244" s="83"/>
      <c r="QFT244" s="82"/>
      <c r="QFU244" s="84"/>
      <c r="QFV244" s="84"/>
      <c r="QFW244" s="82"/>
      <c r="QFX244" s="83"/>
      <c r="QFY244" s="82"/>
      <c r="QFZ244" s="84"/>
      <c r="QGA244" s="84"/>
      <c r="QGB244" s="82"/>
      <c r="QGC244" s="83"/>
      <c r="QGD244" s="82"/>
      <c r="QGE244" s="84"/>
      <c r="QGF244" s="84"/>
      <c r="QGG244" s="82"/>
      <c r="QGH244" s="83"/>
      <c r="QGI244" s="82"/>
      <c r="QGJ244" s="84"/>
      <c r="QGK244" s="84"/>
      <c r="QGL244" s="82"/>
      <c r="QGM244" s="83"/>
      <c r="QGN244" s="82"/>
      <c r="QGO244" s="84"/>
      <c r="QGP244" s="84"/>
      <c r="QGQ244" s="82"/>
      <c r="QGR244" s="83"/>
      <c r="QGS244" s="82"/>
      <c r="QGT244" s="84"/>
      <c r="QGU244" s="84"/>
      <c r="QGV244" s="82"/>
      <c r="QGW244" s="83"/>
      <c r="QGX244" s="82"/>
      <c r="QGY244" s="84"/>
      <c r="QGZ244" s="84"/>
      <c r="QHA244" s="82"/>
      <c r="QHB244" s="83"/>
      <c r="QHC244" s="82"/>
      <c r="QHD244" s="84"/>
      <c r="QHE244" s="84"/>
      <c r="QHF244" s="82"/>
      <c r="QHG244" s="83"/>
      <c r="QHH244" s="82"/>
      <c r="QHI244" s="84"/>
      <c r="QHJ244" s="84"/>
      <c r="QHK244" s="82"/>
      <c r="QHL244" s="83"/>
      <c r="QHM244" s="82"/>
      <c r="QHN244" s="84"/>
      <c r="QHO244" s="84"/>
      <c r="QHP244" s="82"/>
      <c r="QHQ244" s="83"/>
      <c r="QHR244" s="82"/>
      <c r="QHS244" s="84"/>
      <c r="QHT244" s="84"/>
      <c r="QHU244" s="82"/>
      <c r="QHV244" s="83"/>
      <c r="QHW244" s="82"/>
      <c r="QHX244" s="84"/>
      <c r="QHY244" s="84"/>
      <c r="QHZ244" s="82"/>
      <c r="QIA244" s="83"/>
      <c r="QIB244" s="82"/>
      <c r="QIC244" s="84"/>
      <c r="QID244" s="84"/>
      <c r="QIE244" s="82"/>
      <c r="QIF244" s="83"/>
      <c r="QIG244" s="82"/>
      <c r="QIH244" s="84"/>
      <c r="QII244" s="84"/>
      <c r="QIJ244" s="82"/>
      <c r="QIK244" s="83"/>
      <c r="QIL244" s="82"/>
      <c r="QIM244" s="84"/>
      <c r="QIN244" s="84"/>
      <c r="QIO244" s="82"/>
      <c r="QIP244" s="83"/>
      <c r="QIQ244" s="82"/>
      <c r="QIR244" s="84"/>
      <c r="QIS244" s="84"/>
      <c r="QIT244" s="82"/>
      <c r="QIU244" s="83"/>
      <c r="QIV244" s="82"/>
      <c r="QIW244" s="84"/>
      <c r="QIX244" s="84"/>
      <c r="QIY244" s="82"/>
      <c r="QIZ244" s="83"/>
      <c r="QJA244" s="82"/>
      <c r="QJB244" s="84"/>
      <c r="QJC244" s="84"/>
      <c r="QJD244" s="82"/>
      <c r="QJE244" s="83"/>
      <c r="QJF244" s="82"/>
      <c r="QJG244" s="84"/>
      <c r="QJH244" s="84"/>
      <c r="QJI244" s="82"/>
      <c r="QJJ244" s="83"/>
      <c r="QJK244" s="82"/>
      <c r="QJL244" s="84"/>
      <c r="QJM244" s="84"/>
      <c r="QJN244" s="82"/>
      <c r="QJO244" s="83"/>
      <c r="QJP244" s="82"/>
      <c r="QJQ244" s="84"/>
      <c r="QJR244" s="84"/>
      <c r="QJS244" s="82"/>
      <c r="QJT244" s="83"/>
      <c r="QJU244" s="82"/>
      <c r="QJV244" s="84"/>
      <c r="QJW244" s="84"/>
      <c r="QJX244" s="82"/>
      <c r="QJY244" s="83"/>
      <c r="QJZ244" s="82"/>
      <c r="QKA244" s="84"/>
      <c r="QKB244" s="84"/>
      <c r="QKC244" s="82"/>
      <c r="QKD244" s="83"/>
      <c r="QKE244" s="82"/>
      <c r="QKF244" s="84"/>
      <c r="QKG244" s="84"/>
      <c r="QKH244" s="82"/>
      <c r="QKI244" s="83"/>
      <c r="QKJ244" s="82"/>
      <c r="QKK244" s="84"/>
      <c r="QKL244" s="84"/>
      <c r="QKM244" s="82"/>
      <c r="QKN244" s="83"/>
      <c r="QKO244" s="82"/>
      <c r="QKP244" s="84"/>
      <c r="QKQ244" s="84"/>
      <c r="QKR244" s="82"/>
      <c r="QKS244" s="83"/>
      <c r="QKT244" s="82"/>
      <c r="QKU244" s="84"/>
      <c r="QKV244" s="84"/>
      <c r="QKW244" s="82"/>
      <c r="QKX244" s="83"/>
      <c r="QKY244" s="82"/>
      <c r="QKZ244" s="84"/>
      <c r="QLA244" s="84"/>
      <c r="QLB244" s="82"/>
      <c r="QLC244" s="83"/>
      <c r="QLD244" s="82"/>
      <c r="QLE244" s="84"/>
      <c r="QLF244" s="84"/>
      <c r="QLG244" s="82"/>
      <c r="QLH244" s="83"/>
      <c r="QLI244" s="82"/>
      <c r="QLJ244" s="84"/>
      <c r="QLK244" s="84"/>
      <c r="QLL244" s="82"/>
      <c r="QLM244" s="83"/>
      <c r="QLN244" s="82"/>
      <c r="QLO244" s="84"/>
      <c r="QLP244" s="84"/>
      <c r="QLQ244" s="82"/>
      <c r="QLR244" s="83"/>
      <c r="QLS244" s="82"/>
      <c r="QLT244" s="84"/>
      <c r="QLU244" s="84"/>
      <c r="QLV244" s="82"/>
      <c r="QLW244" s="83"/>
      <c r="QLX244" s="82"/>
      <c r="QLY244" s="84"/>
      <c r="QLZ244" s="84"/>
      <c r="QMA244" s="82"/>
      <c r="QMB244" s="83"/>
      <c r="QMC244" s="82"/>
      <c r="QMD244" s="84"/>
      <c r="QME244" s="84"/>
      <c r="QMF244" s="82"/>
      <c r="QMG244" s="83"/>
      <c r="QMH244" s="82"/>
      <c r="QMI244" s="84"/>
      <c r="QMJ244" s="84"/>
      <c r="QMK244" s="82"/>
      <c r="QML244" s="83"/>
      <c r="QMM244" s="82"/>
      <c r="QMN244" s="84"/>
      <c r="QMO244" s="84"/>
      <c r="QMP244" s="82"/>
      <c r="QMQ244" s="83"/>
      <c r="QMR244" s="82"/>
      <c r="QMS244" s="84"/>
      <c r="QMT244" s="84"/>
      <c r="QMU244" s="82"/>
      <c r="QMV244" s="83"/>
      <c r="QMW244" s="82"/>
      <c r="QMX244" s="84"/>
      <c r="QMY244" s="84"/>
      <c r="QMZ244" s="82"/>
      <c r="QNA244" s="83"/>
      <c r="QNB244" s="82"/>
      <c r="QNC244" s="84"/>
      <c r="QND244" s="84"/>
      <c r="QNE244" s="82"/>
      <c r="QNF244" s="83"/>
      <c r="QNG244" s="82"/>
      <c r="QNH244" s="84"/>
      <c r="QNI244" s="84"/>
      <c r="QNJ244" s="82"/>
      <c r="QNK244" s="83"/>
      <c r="QNL244" s="82"/>
      <c r="QNM244" s="84"/>
      <c r="QNN244" s="84"/>
      <c r="QNO244" s="82"/>
      <c r="QNP244" s="83"/>
      <c r="QNQ244" s="82"/>
      <c r="QNR244" s="84"/>
      <c r="QNS244" s="84"/>
      <c r="QNT244" s="82"/>
      <c r="QNU244" s="83"/>
      <c r="QNV244" s="82"/>
      <c r="QNW244" s="84"/>
      <c r="QNX244" s="84"/>
      <c r="QNY244" s="82"/>
      <c r="QNZ244" s="83"/>
      <c r="QOA244" s="82"/>
      <c r="QOB244" s="84"/>
      <c r="QOC244" s="84"/>
      <c r="QOD244" s="82"/>
      <c r="QOE244" s="83"/>
      <c r="QOF244" s="82"/>
      <c r="QOG244" s="84"/>
      <c r="QOH244" s="84"/>
      <c r="QOI244" s="82"/>
      <c r="QOJ244" s="83"/>
      <c r="QOK244" s="82"/>
      <c r="QOL244" s="84"/>
      <c r="QOM244" s="84"/>
      <c r="QON244" s="82"/>
      <c r="QOO244" s="83"/>
      <c r="QOP244" s="82"/>
      <c r="QOQ244" s="84"/>
      <c r="QOR244" s="84"/>
      <c r="QOS244" s="82"/>
      <c r="QOT244" s="83"/>
      <c r="QOU244" s="82"/>
      <c r="QOV244" s="84"/>
      <c r="QOW244" s="84"/>
      <c r="QOX244" s="82"/>
      <c r="QOY244" s="83"/>
      <c r="QOZ244" s="82"/>
      <c r="QPA244" s="84"/>
      <c r="QPB244" s="84"/>
      <c r="QPC244" s="82"/>
      <c r="QPD244" s="83"/>
      <c r="QPE244" s="82"/>
      <c r="QPF244" s="84"/>
      <c r="QPG244" s="84"/>
      <c r="QPH244" s="82"/>
      <c r="QPI244" s="83"/>
      <c r="QPJ244" s="82"/>
      <c r="QPK244" s="84"/>
      <c r="QPL244" s="84"/>
      <c r="QPM244" s="82"/>
      <c r="QPN244" s="83"/>
      <c r="QPO244" s="82"/>
      <c r="QPP244" s="84"/>
      <c r="QPQ244" s="84"/>
      <c r="QPR244" s="82"/>
      <c r="QPS244" s="83"/>
      <c r="QPT244" s="82"/>
      <c r="QPU244" s="84"/>
      <c r="QPV244" s="84"/>
      <c r="QPW244" s="82"/>
      <c r="QPX244" s="83"/>
      <c r="QPY244" s="82"/>
      <c r="QPZ244" s="84"/>
      <c r="QQA244" s="84"/>
      <c r="QQB244" s="82"/>
      <c r="QQC244" s="83"/>
      <c r="QQD244" s="82"/>
      <c r="QQE244" s="84"/>
      <c r="QQF244" s="84"/>
      <c r="QQG244" s="82"/>
      <c r="QQH244" s="83"/>
      <c r="QQI244" s="82"/>
      <c r="QQJ244" s="84"/>
      <c r="QQK244" s="84"/>
      <c r="QQL244" s="82"/>
      <c r="QQM244" s="83"/>
      <c r="QQN244" s="82"/>
      <c r="QQO244" s="84"/>
      <c r="QQP244" s="84"/>
      <c r="QQQ244" s="82"/>
      <c r="QQR244" s="83"/>
      <c r="QQS244" s="82"/>
      <c r="QQT244" s="84"/>
      <c r="QQU244" s="84"/>
      <c r="QQV244" s="82"/>
      <c r="QQW244" s="83"/>
      <c r="QQX244" s="82"/>
      <c r="QQY244" s="84"/>
      <c r="QQZ244" s="84"/>
      <c r="QRA244" s="82"/>
      <c r="QRB244" s="83"/>
      <c r="QRC244" s="82"/>
      <c r="QRD244" s="84"/>
      <c r="QRE244" s="84"/>
      <c r="QRF244" s="82"/>
      <c r="QRG244" s="83"/>
      <c r="QRH244" s="82"/>
      <c r="QRI244" s="84"/>
      <c r="QRJ244" s="84"/>
      <c r="QRK244" s="82"/>
      <c r="QRL244" s="83"/>
      <c r="QRM244" s="82"/>
      <c r="QRN244" s="84"/>
      <c r="QRO244" s="84"/>
      <c r="QRP244" s="82"/>
      <c r="QRQ244" s="83"/>
      <c r="QRR244" s="82"/>
      <c r="QRS244" s="84"/>
      <c r="QRT244" s="84"/>
      <c r="QRU244" s="82"/>
      <c r="QRV244" s="83"/>
      <c r="QRW244" s="82"/>
      <c r="QRX244" s="84"/>
      <c r="QRY244" s="84"/>
      <c r="QRZ244" s="82"/>
      <c r="QSA244" s="83"/>
      <c r="QSB244" s="82"/>
      <c r="QSC244" s="84"/>
      <c r="QSD244" s="84"/>
      <c r="QSE244" s="82"/>
      <c r="QSF244" s="83"/>
      <c r="QSG244" s="82"/>
      <c r="QSH244" s="84"/>
      <c r="QSI244" s="84"/>
      <c r="QSJ244" s="82"/>
      <c r="QSK244" s="83"/>
      <c r="QSL244" s="82"/>
      <c r="QSM244" s="84"/>
      <c r="QSN244" s="84"/>
      <c r="QSO244" s="82"/>
      <c r="QSP244" s="83"/>
      <c r="QSQ244" s="82"/>
      <c r="QSR244" s="84"/>
      <c r="QSS244" s="84"/>
      <c r="QST244" s="82"/>
      <c r="QSU244" s="83"/>
      <c r="QSV244" s="82"/>
      <c r="QSW244" s="84"/>
      <c r="QSX244" s="84"/>
      <c r="QSY244" s="82"/>
      <c r="QSZ244" s="83"/>
      <c r="QTA244" s="82"/>
      <c r="QTB244" s="84"/>
      <c r="QTC244" s="84"/>
      <c r="QTD244" s="82"/>
      <c r="QTE244" s="83"/>
      <c r="QTF244" s="82"/>
      <c r="QTG244" s="84"/>
      <c r="QTH244" s="84"/>
      <c r="QTI244" s="82"/>
      <c r="QTJ244" s="83"/>
      <c r="QTK244" s="82"/>
      <c r="QTL244" s="84"/>
      <c r="QTM244" s="84"/>
      <c r="QTN244" s="82"/>
      <c r="QTO244" s="83"/>
      <c r="QTP244" s="82"/>
      <c r="QTQ244" s="84"/>
      <c r="QTR244" s="84"/>
      <c r="QTS244" s="82"/>
      <c r="QTT244" s="83"/>
      <c r="QTU244" s="82"/>
      <c r="QTV244" s="84"/>
      <c r="QTW244" s="84"/>
      <c r="QTX244" s="82"/>
      <c r="QTY244" s="83"/>
      <c r="QTZ244" s="82"/>
      <c r="QUA244" s="84"/>
      <c r="QUB244" s="84"/>
      <c r="QUC244" s="82"/>
      <c r="QUD244" s="83"/>
      <c r="QUE244" s="82"/>
      <c r="QUF244" s="84"/>
      <c r="QUG244" s="84"/>
      <c r="QUH244" s="82"/>
      <c r="QUI244" s="83"/>
      <c r="QUJ244" s="82"/>
      <c r="QUK244" s="84"/>
      <c r="QUL244" s="84"/>
      <c r="QUM244" s="82"/>
      <c r="QUN244" s="83"/>
      <c r="QUO244" s="82"/>
      <c r="QUP244" s="84"/>
      <c r="QUQ244" s="84"/>
      <c r="QUR244" s="82"/>
      <c r="QUS244" s="83"/>
      <c r="QUT244" s="82"/>
      <c r="QUU244" s="84"/>
      <c r="QUV244" s="84"/>
      <c r="QUW244" s="82"/>
      <c r="QUX244" s="83"/>
      <c r="QUY244" s="82"/>
      <c r="QUZ244" s="84"/>
      <c r="QVA244" s="84"/>
      <c r="QVB244" s="82"/>
      <c r="QVC244" s="83"/>
      <c r="QVD244" s="82"/>
      <c r="QVE244" s="84"/>
      <c r="QVF244" s="84"/>
      <c r="QVG244" s="82"/>
      <c r="QVH244" s="83"/>
      <c r="QVI244" s="82"/>
      <c r="QVJ244" s="84"/>
      <c r="QVK244" s="84"/>
      <c r="QVL244" s="82"/>
      <c r="QVM244" s="83"/>
      <c r="QVN244" s="82"/>
      <c r="QVO244" s="84"/>
      <c r="QVP244" s="84"/>
      <c r="QVQ244" s="82"/>
      <c r="QVR244" s="83"/>
      <c r="QVS244" s="82"/>
      <c r="QVT244" s="84"/>
      <c r="QVU244" s="84"/>
      <c r="QVV244" s="82"/>
      <c r="QVW244" s="83"/>
      <c r="QVX244" s="82"/>
      <c r="QVY244" s="84"/>
      <c r="QVZ244" s="84"/>
      <c r="QWA244" s="82"/>
      <c r="QWB244" s="83"/>
      <c r="QWC244" s="82"/>
      <c r="QWD244" s="84"/>
      <c r="QWE244" s="84"/>
      <c r="QWF244" s="82"/>
      <c r="QWG244" s="83"/>
      <c r="QWH244" s="82"/>
      <c r="QWI244" s="84"/>
      <c r="QWJ244" s="84"/>
      <c r="QWK244" s="82"/>
      <c r="QWL244" s="83"/>
      <c r="QWM244" s="82"/>
      <c r="QWN244" s="84"/>
      <c r="QWO244" s="84"/>
      <c r="QWP244" s="82"/>
      <c r="QWQ244" s="83"/>
      <c r="QWR244" s="82"/>
      <c r="QWS244" s="84"/>
      <c r="QWT244" s="84"/>
      <c r="QWU244" s="82"/>
      <c r="QWV244" s="83"/>
      <c r="QWW244" s="82"/>
      <c r="QWX244" s="84"/>
      <c r="QWY244" s="84"/>
      <c r="QWZ244" s="82"/>
      <c r="QXA244" s="83"/>
      <c r="QXB244" s="82"/>
      <c r="QXC244" s="84"/>
      <c r="QXD244" s="84"/>
      <c r="QXE244" s="82"/>
      <c r="QXF244" s="83"/>
      <c r="QXG244" s="82"/>
      <c r="QXH244" s="84"/>
      <c r="QXI244" s="84"/>
      <c r="QXJ244" s="82"/>
      <c r="QXK244" s="83"/>
      <c r="QXL244" s="82"/>
      <c r="QXM244" s="84"/>
      <c r="QXN244" s="84"/>
      <c r="QXO244" s="82"/>
      <c r="QXP244" s="83"/>
      <c r="QXQ244" s="82"/>
      <c r="QXR244" s="84"/>
      <c r="QXS244" s="84"/>
      <c r="QXT244" s="82"/>
      <c r="QXU244" s="83"/>
      <c r="QXV244" s="82"/>
      <c r="QXW244" s="84"/>
      <c r="QXX244" s="84"/>
      <c r="QXY244" s="82"/>
      <c r="QXZ244" s="83"/>
      <c r="QYA244" s="82"/>
      <c r="QYB244" s="84"/>
      <c r="QYC244" s="84"/>
      <c r="QYD244" s="82"/>
      <c r="QYE244" s="83"/>
      <c r="QYF244" s="82"/>
      <c r="QYG244" s="84"/>
      <c r="QYH244" s="84"/>
      <c r="QYI244" s="82"/>
      <c r="QYJ244" s="83"/>
      <c r="QYK244" s="82"/>
      <c r="QYL244" s="84"/>
      <c r="QYM244" s="84"/>
      <c r="QYN244" s="82"/>
      <c r="QYO244" s="83"/>
      <c r="QYP244" s="82"/>
      <c r="QYQ244" s="84"/>
      <c r="QYR244" s="84"/>
      <c r="QYS244" s="82"/>
      <c r="QYT244" s="83"/>
      <c r="QYU244" s="82"/>
      <c r="QYV244" s="84"/>
      <c r="QYW244" s="84"/>
      <c r="QYX244" s="82"/>
      <c r="QYY244" s="83"/>
      <c r="QYZ244" s="82"/>
      <c r="QZA244" s="84"/>
      <c r="QZB244" s="84"/>
      <c r="QZC244" s="82"/>
      <c r="QZD244" s="83"/>
      <c r="QZE244" s="82"/>
      <c r="QZF244" s="84"/>
      <c r="QZG244" s="84"/>
      <c r="QZH244" s="82"/>
      <c r="QZI244" s="83"/>
      <c r="QZJ244" s="82"/>
      <c r="QZK244" s="84"/>
      <c r="QZL244" s="84"/>
      <c r="QZM244" s="82"/>
      <c r="QZN244" s="83"/>
      <c r="QZO244" s="82"/>
      <c r="QZP244" s="84"/>
      <c r="QZQ244" s="84"/>
      <c r="QZR244" s="82"/>
      <c r="QZS244" s="83"/>
      <c r="QZT244" s="82"/>
      <c r="QZU244" s="84"/>
      <c r="QZV244" s="84"/>
      <c r="QZW244" s="82"/>
      <c r="QZX244" s="83"/>
      <c r="QZY244" s="82"/>
      <c r="QZZ244" s="84"/>
      <c r="RAA244" s="84"/>
      <c r="RAB244" s="82"/>
      <c r="RAC244" s="83"/>
      <c r="RAD244" s="82"/>
      <c r="RAE244" s="84"/>
      <c r="RAF244" s="84"/>
      <c r="RAG244" s="82"/>
      <c r="RAH244" s="83"/>
      <c r="RAI244" s="82"/>
      <c r="RAJ244" s="84"/>
      <c r="RAK244" s="84"/>
      <c r="RAL244" s="82"/>
      <c r="RAM244" s="83"/>
      <c r="RAN244" s="82"/>
      <c r="RAO244" s="84"/>
      <c r="RAP244" s="84"/>
      <c r="RAQ244" s="82"/>
      <c r="RAR244" s="83"/>
      <c r="RAS244" s="82"/>
      <c r="RAT244" s="84"/>
      <c r="RAU244" s="84"/>
      <c r="RAV244" s="82"/>
      <c r="RAW244" s="83"/>
      <c r="RAX244" s="82"/>
      <c r="RAY244" s="84"/>
      <c r="RAZ244" s="84"/>
      <c r="RBA244" s="82"/>
      <c r="RBB244" s="83"/>
      <c r="RBC244" s="82"/>
      <c r="RBD244" s="84"/>
      <c r="RBE244" s="84"/>
      <c r="RBF244" s="82"/>
      <c r="RBG244" s="83"/>
      <c r="RBH244" s="82"/>
      <c r="RBI244" s="84"/>
      <c r="RBJ244" s="84"/>
      <c r="RBK244" s="82"/>
      <c r="RBL244" s="83"/>
      <c r="RBM244" s="82"/>
      <c r="RBN244" s="84"/>
      <c r="RBO244" s="84"/>
      <c r="RBP244" s="82"/>
      <c r="RBQ244" s="83"/>
      <c r="RBR244" s="82"/>
      <c r="RBS244" s="84"/>
      <c r="RBT244" s="84"/>
      <c r="RBU244" s="82"/>
      <c r="RBV244" s="83"/>
      <c r="RBW244" s="82"/>
      <c r="RBX244" s="84"/>
      <c r="RBY244" s="84"/>
      <c r="RBZ244" s="82"/>
      <c r="RCA244" s="83"/>
      <c r="RCB244" s="82"/>
      <c r="RCC244" s="84"/>
      <c r="RCD244" s="84"/>
      <c r="RCE244" s="82"/>
      <c r="RCF244" s="83"/>
      <c r="RCG244" s="82"/>
      <c r="RCH244" s="84"/>
      <c r="RCI244" s="84"/>
      <c r="RCJ244" s="82"/>
      <c r="RCK244" s="83"/>
      <c r="RCL244" s="82"/>
      <c r="RCM244" s="84"/>
      <c r="RCN244" s="84"/>
      <c r="RCO244" s="82"/>
      <c r="RCP244" s="83"/>
      <c r="RCQ244" s="82"/>
      <c r="RCR244" s="84"/>
      <c r="RCS244" s="84"/>
      <c r="RCT244" s="82"/>
      <c r="RCU244" s="83"/>
      <c r="RCV244" s="82"/>
      <c r="RCW244" s="84"/>
      <c r="RCX244" s="84"/>
      <c r="RCY244" s="82"/>
      <c r="RCZ244" s="83"/>
      <c r="RDA244" s="82"/>
      <c r="RDB244" s="84"/>
      <c r="RDC244" s="84"/>
      <c r="RDD244" s="82"/>
      <c r="RDE244" s="83"/>
      <c r="RDF244" s="82"/>
      <c r="RDG244" s="84"/>
      <c r="RDH244" s="84"/>
      <c r="RDI244" s="82"/>
      <c r="RDJ244" s="83"/>
      <c r="RDK244" s="82"/>
      <c r="RDL244" s="84"/>
      <c r="RDM244" s="84"/>
      <c r="RDN244" s="82"/>
      <c r="RDO244" s="83"/>
      <c r="RDP244" s="82"/>
      <c r="RDQ244" s="84"/>
      <c r="RDR244" s="84"/>
      <c r="RDS244" s="82"/>
      <c r="RDT244" s="83"/>
      <c r="RDU244" s="82"/>
      <c r="RDV244" s="84"/>
      <c r="RDW244" s="84"/>
      <c r="RDX244" s="82"/>
      <c r="RDY244" s="83"/>
      <c r="RDZ244" s="82"/>
      <c r="REA244" s="84"/>
      <c r="REB244" s="84"/>
      <c r="REC244" s="82"/>
      <c r="RED244" s="83"/>
      <c r="REE244" s="82"/>
      <c r="REF244" s="84"/>
      <c r="REG244" s="84"/>
      <c r="REH244" s="82"/>
      <c r="REI244" s="83"/>
      <c r="REJ244" s="82"/>
      <c r="REK244" s="84"/>
      <c r="REL244" s="84"/>
      <c r="REM244" s="82"/>
      <c r="REN244" s="83"/>
      <c r="REO244" s="82"/>
      <c r="REP244" s="84"/>
      <c r="REQ244" s="84"/>
      <c r="RER244" s="82"/>
      <c r="RES244" s="83"/>
      <c r="RET244" s="82"/>
      <c r="REU244" s="84"/>
      <c r="REV244" s="84"/>
      <c r="REW244" s="82"/>
      <c r="REX244" s="83"/>
      <c r="REY244" s="82"/>
      <c r="REZ244" s="84"/>
      <c r="RFA244" s="84"/>
      <c r="RFB244" s="82"/>
      <c r="RFC244" s="83"/>
      <c r="RFD244" s="82"/>
      <c r="RFE244" s="84"/>
      <c r="RFF244" s="84"/>
      <c r="RFG244" s="82"/>
      <c r="RFH244" s="83"/>
      <c r="RFI244" s="82"/>
      <c r="RFJ244" s="84"/>
      <c r="RFK244" s="84"/>
      <c r="RFL244" s="82"/>
      <c r="RFM244" s="83"/>
      <c r="RFN244" s="82"/>
      <c r="RFO244" s="84"/>
      <c r="RFP244" s="84"/>
      <c r="RFQ244" s="82"/>
      <c r="RFR244" s="83"/>
      <c r="RFS244" s="82"/>
      <c r="RFT244" s="84"/>
      <c r="RFU244" s="84"/>
      <c r="RFV244" s="82"/>
      <c r="RFW244" s="83"/>
      <c r="RFX244" s="82"/>
      <c r="RFY244" s="84"/>
      <c r="RFZ244" s="84"/>
      <c r="RGA244" s="82"/>
      <c r="RGB244" s="83"/>
      <c r="RGC244" s="82"/>
      <c r="RGD244" s="84"/>
      <c r="RGE244" s="84"/>
      <c r="RGF244" s="82"/>
      <c r="RGG244" s="83"/>
      <c r="RGH244" s="82"/>
      <c r="RGI244" s="84"/>
      <c r="RGJ244" s="84"/>
      <c r="RGK244" s="82"/>
      <c r="RGL244" s="83"/>
      <c r="RGM244" s="82"/>
      <c r="RGN244" s="84"/>
      <c r="RGO244" s="84"/>
      <c r="RGP244" s="82"/>
      <c r="RGQ244" s="83"/>
      <c r="RGR244" s="82"/>
      <c r="RGS244" s="84"/>
      <c r="RGT244" s="84"/>
      <c r="RGU244" s="82"/>
      <c r="RGV244" s="83"/>
      <c r="RGW244" s="82"/>
      <c r="RGX244" s="84"/>
      <c r="RGY244" s="84"/>
      <c r="RGZ244" s="82"/>
      <c r="RHA244" s="83"/>
      <c r="RHB244" s="82"/>
      <c r="RHC244" s="84"/>
      <c r="RHD244" s="84"/>
      <c r="RHE244" s="82"/>
      <c r="RHF244" s="83"/>
      <c r="RHG244" s="82"/>
      <c r="RHH244" s="84"/>
      <c r="RHI244" s="84"/>
      <c r="RHJ244" s="82"/>
      <c r="RHK244" s="83"/>
      <c r="RHL244" s="82"/>
      <c r="RHM244" s="84"/>
      <c r="RHN244" s="84"/>
      <c r="RHO244" s="82"/>
      <c r="RHP244" s="83"/>
      <c r="RHQ244" s="82"/>
      <c r="RHR244" s="84"/>
      <c r="RHS244" s="84"/>
      <c r="RHT244" s="82"/>
      <c r="RHU244" s="83"/>
      <c r="RHV244" s="82"/>
      <c r="RHW244" s="84"/>
      <c r="RHX244" s="84"/>
      <c r="RHY244" s="82"/>
      <c r="RHZ244" s="83"/>
      <c r="RIA244" s="82"/>
      <c r="RIB244" s="84"/>
      <c r="RIC244" s="84"/>
      <c r="RID244" s="82"/>
      <c r="RIE244" s="83"/>
      <c r="RIF244" s="82"/>
      <c r="RIG244" s="84"/>
      <c r="RIH244" s="84"/>
      <c r="RII244" s="82"/>
      <c r="RIJ244" s="83"/>
      <c r="RIK244" s="82"/>
      <c r="RIL244" s="84"/>
      <c r="RIM244" s="84"/>
      <c r="RIN244" s="82"/>
      <c r="RIO244" s="83"/>
      <c r="RIP244" s="82"/>
      <c r="RIQ244" s="84"/>
      <c r="RIR244" s="84"/>
      <c r="RIS244" s="82"/>
      <c r="RIT244" s="83"/>
      <c r="RIU244" s="82"/>
      <c r="RIV244" s="84"/>
      <c r="RIW244" s="84"/>
      <c r="RIX244" s="82"/>
      <c r="RIY244" s="83"/>
      <c r="RIZ244" s="82"/>
      <c r="RJA244" s="84"/>
      <c r="RJB244" s="84"/>
      <c r="RJC244" s="82"/>
      <c r="RJD244" s="83"/>
      <c r="RJE244" s="82"/>
      <c r="RJF244" s="84"/>
      <c r="RJG244" s="84"/>
      <c r="RJH244" s="82"/>
      <c r="RJI244" s="83"/>
      <c r="RJJ244" s="82"/>
      <c r="RJK244" s="84"/>
      <c r="RJL244" s="84"/>
      <c r="RJM244" s="82"/>
      <c r="RJN244" s="83"/>
      <c r="RJO244" s="82"/>
      <c r="RJP244" s="84"/>
      <c r="RJQ244" s="84"/>
      <c r="RJR244" s="82"/>
      <c r="RJS244" s="83"/>
      <c r="RJT244" s="82"/>
      <c r="RJU244" s="84"/>
      <c r="RJV244" s="84"/>
      <c r="RJW244" s="82"/>
      <c r="RJX244" s="83"/>
      <c r="RJY244" s="82"/>
      <c r="RJZ244" s="84"/>
      <c r="RKA244" s="84"/>
      <c r="RKB244" s="82"/>
      <c r="RKC244" s="83"/>
      <c r="RKD244" s="82"/>
      <c r="RKE244" s="84"/>
      <c r="RKF244" s="84"/>
      <c r="RKG244" s="82"/>
      <c r="RKH244" s="83"/>
      <c r="RKI244" s="82"/>
      <c r="RKJ244" s="84"/>
      <c r="RKK244" s="84"/>
      <c r="RKL244" s="82"/>
      <c r="RKM244" s="83"/>
      <c r="RKN244" s="82"/>
      <c r="RKO244" s="84"/>
      <c r="RKP244" s="84"/>
      <c r="RKQ244" s="82"/>
      <c r="RKR244" s="83"/>
      <c r="RKS244" s="82"/>
      <c r="RKT244" s="84"/>
      <c r="RKU244" s="84"/>
      <c r="RKV244" s="82"/>
      <c r="RKW244" s="83"/>
      <c r="RKX244" s="82"/>
      <c r="RKY244" s="84"/>
      <c r="RKZ244" s="84"/>
      <c r="RLA244" s="82"/>
      <c r="RLB244" s="83"/>
      <c r="RLC244" s="82"/>
      <c r="RLD244" s="84"/>
      <c r="RLE244" s="84"/>
      <c r="RLF244" s="82"/>
      <c r="RLG244" s="83"/>
      <c r="RLH244" s="82"/>
      <c r="RLI244" s="84"/>
      <c r="RLJ244" s="84"/>
      <c r="RLK244" s="82"/>
      <c r="RLL244" s="83"/>
      <c r="RLM244" s="82"/>
      <c r="RLN244" s="84"/>
      <c r="RLO244" s="84"/>
      <c r="RLP244" s="82"/>
      <c r="RLQ244" s="83"/>
      <c r="RLR244" s="82"/>
      <c r="RLS244" s="84"/>
      <c r="RLT244" s="84"/>
      <c r="RLU244" s="82"/>
      <c r="RLV244" s="83"/>
      <c r="RLW244" s="82"/>
      <c r="RLX244" s="84"/>
      <c r="RLY244" s="84"/>
      <c r="RLZ244" s="82"/>
      <c r="RMA244" s="83"/>
      <c r="RMB244" s="82"/>
      <c r="RMC244" s="84"/>
      <c r="RMD244" s="84"/>
      <c r="RME244" s="82"/>
      <c r="RMF244" s="83"/>
      <c r="RMG244" s="82"/>
      <c r="RMH244" s="84"/>
      <c r="RMI244" s="84"/>
      <c r="RMJ244" s="82"/>
      <c r="RMK244" s="83"/>
      <c r="RML244" s="82"/>
      <c r="RMM244" s="84"/>
      <c r="RMN244" s="84"/>
      <c r="RMO244" s="82"/>
      <c r="RMP244" s="83"/>
      <c r="RMQ244" s="82"/>
      <c r="RMR244" s="84"/>
      <c r="RMS244" s="84"/>
      <c r="RMT244" s="82"/>
      <c r="RMU244" s="83"/>
      <c r="RMV244" s="82"/>
      <c r="RMW244" s="84"/>
      <c r="RMX244" s="84"/>
      <c r="RMY244" s="82"/>
      <c r="RMZ244" s="83"/>
      <c r="RNA244" s="82"/>
      <c r="RNB244" s="84"/>
      <c r="RNC244" s="84"/>
      <c r="RND244" s="82"/>
      <c r="RNE244" s="83"/>
      <c r="RNF244" s="82"/>
      <c r="RNG244" s="84"/>
      <c r="RNH244" s="84"/>
      <c r="RNI244" s="82"/>
      <c r="RNJ244" s="83"/>
      <c r="RNK244" s="82"/>
      <c r="RNL244" s="84"/>
      <c r="RNM244" s="84"/>
      <c r="RNN244" s="82"/>
      <c r="RNO244" s="83"/>
      <c r="RNP244" s="82"/>
      <c r="RNQ244" s="84"/>
      <c r="RNR244" s="84"/>
      <c r="RNS244" s="82"/>
      <c r="RNT244" s="83"/>
      <c r="RNU244" s="82"/>
      <c r="RNV244" s="84"/>
      <c r="RNW244" s="84"/>
      <c r="RNX244" s="82"/>
      <c r="RNY244" s="83"/>
      <c r="RNZ244" s="82"/>
      <c r="ROA244" s="84"/>
      <c r="ROB244" s="84"/>
      <c r="ROC244" s="82"/>
      <c r="ROD244" s="83"/>
      <c r="ROE244" s="82"/>
      <c r="ROF244" s="84"/>
      <c r="ROG244" s="84"/>
      <c r="ROH244" s="82"/>
      <c r="ROI244" s="83"/>
      <c r="ROJ244" s="82"/>
      <c r="ROK244" s="84"/>
      <c r="ROL244" s="84"/>
      <c r="ROM244" s="82"/>
      <c r="RON244" s="83"/>
      <c r="ROO244" s="82"/>
      <c r="ROP244" s="84"/>
      <c r="ROQ244" s="84"/>
      <c r="ROR244" s="82"/>
      <c r="ROS244" s="83"/>
      <c r="ROT244" s="82"/>
      <c r="ROU244" s="84"/>
      <c r="ROV244" s="84"/>
      <c r="ROW244" s="82"/>
      <c r="ROX244" s="83"/>
      <c r="ROY244" s="82"/>
      <c r="ROZ244" s="84"/>
      <c r="RPA244" s="84"/>
      <c r="RPB244" s="82"/>
      <c r="RPC244" s="83"/>
      <c r="RPD244" s="82"/>
      <c r="RPE244" s="84"/>
      <c r="RPF244" s="84"/>
      <c r="RPG244" s="82"/>
      <c r="RPH244" s="83"/>
      <c r="RPI244" s="82"/>
      <c r="RPJ244" s="84"/>
      <c r="RPK244" s="84"/>
      <c r="RPL244" s="82"/>
      <c r="RPM244" s="83"/>
      <c r="RPN244" s="82"/>
      <c r="RPO244" s="84"/>
      <c r="RPP244" s="84"/>
      <c r="RPQ244" s="82"/>
      <c r="RPR244" s="83"/>
      <c r="RPS244" s="82"/>
      <c r="RPT244" s="84"/>
      <c r="RPU244" s="84"/>
      <c r="RPV244" s="82"/>
      <c r="RPW244" s="83"/>
      <c r="RPX244" s="82"/>
      <c r="RPY244" s="84"/>
      <c r="RPZ244" s="84"/>
      <c r="RQA244" s="82"/>
      <c r="RQB244" s="83"/>
      <c r="RQC244" s="82"/>
      <c r="RQD244" s="84"/>
      <c r="RQE244" s="84"/>
      <c r="RQF244" s="82"/>
      <c r="RQG244" s="83"/>
      <c r="RQH244" s="82"/>
      <c r="RQI244" s="84"/>
      <c r="RQJ244" s="84"/>
      <c r="RQK244" s="82"/>
      <c r="RQL244" s="83"/>
      <c r="RQM244" s="82"/>
      <c r="RQN244" s="84"/>
      <c r="RQO244" s="84"/>
      <c r="RQP244" s="82"/>
      <c r="RQQ244" s="83"/>
      <c r="RQR244" s="82"/>
      <c r="RQS244" s="84"/>
      <c r="RQT244" s="84"/>
      <c r="RQU244" s="82"/>
      <c r="RQV244" s="83"/>
      <c r="RQW244" s="82"/>
      <c r="RQX244" s="84"/>
      <c r="RQY244" s="84"/>
      <c r="RQZ244" s="82"/>
      <c r="RRA244" s="83"/>
      <c r="RRB244" s="82"/>
      <c r="RRC244" s="84"/>
      <c r="RRD244" s="84"/>
      <c r="RRE244" s="82"/>
      <c r="RRF244" s="83"/>
      <c r="RRG244" s="82"/>
      <c r="RRH244" s="84"/>
      <c r="RRI244" s="84"/>
      <c r="RRJ244" s="82"/>
      <c r="RRK244" s="83"/>
      <c r="RRL244" s="82"/>
      <c r="RRM244" s="84"/>
      <c r="RRN244" s="84"/>
      <c r="RRO244" s="82"/>
      <c r="RRP244" s="83"/>
      <c r="RRQ244" s="82"/>
      <c r="RRR244" s="84"/>
      <c r="RRS244" s="84"/>
      <c r="RRT244" s="82"/>
      <c r="RRU244" s="83"/>
      <c r="RRV244" s="82"/>
      <c r="RRW244" s="84"/>
      <c r="RRX244" s="84"/>
      <c r="RRY244" s="82"/>
      <c r="RRZ244" s="83"/>
      <c r="RSA244" s="82"/>
      <c r="RSB244" s="84"/>
      <c r="RSC244" s="84"/>
      <c r="RSD244" s="82"/>
      <c r="RSE244" s="83"/>
      <c r="RSF244" s="82"/>
      <c r="RSG244" s="84"/>
      <c r="RSH244" s="84"/>
      <c r="RSI244" s="82"/>
      <c r="RSJ244" s="83"/>
      <c r="RSK244" s="82"/>
      <c r="RSL244" s="84"/>
      <c r="RSM244" s="84"/>
      <c r="RSN244" s="82"/>
      <c r="RSO244" s="83"/>
      <c r="RSP244" s="82"/>
      <c r="RSQ244" s="84"/>
      <c r="RSR244" s="84"/>
      <c r="RSS244" s="82"/>
      <c r="RST244" s="83"/>
      <c r="RSU244" s="82"/>
      <c r="RSV244" s="84"/>
      <c r="RSW244" s="84"/>
      <c r="RSX244" s="82"/>
      <c r="RSY244" s="83"/>
      <c r="RSZ244" s="82"/>
      <c r="RTA244" s="84"/>
      <c r="RTB244" s="84"/>
      <c r="RTC244" s="82"/>
      <c r="RTD244" s="83"/>
      <c r="RTE244" s="82"/>
      <c r="RTF244" s="84"/>
      <c r="RTG244" s="84"/>
      <c r="RTH244" s="82"/>
      <c r="RTI244" s="83"/>
      <c r="RTJ244" s="82"/>
      <c r="RTK244" s="84"/>
      <c r="RTL244" s="84"/>
      <c r="RTM244" s="82"/>
      <c r="RTN244" s="83"/>
      <c r="RTO244" s="82"/>
      <c r="RTP244" s="84"/>
      <c r="RTQ244" s="84"/>
      <c r="RTR244" s="82"/>
      <c r="RTS244" s="83"/>
      <c r="RTT244" s="82"/>
      <c r="RTU244" s="84"/>
      <c r="RTV244" s="84"/>
      <c r="RTW244" s="82"/>
      <c r="RTX244" s="83"/>
      <c r="RTY244" s="82"/>
      <c r="RTZ244" s="84"/>
      <c r="RUA244" s="84"/>
      <c r="RUB244" s="82"/>
      <c r="RUC244" s="83"/>
      <c r="RUD244" s="82"/>
      <c r="RUE244" s="84"/>
      <c r="RUF244" s="84"/>
      <c r="RUG244" s="82"/>
      <c r="RUH244" s="83"/>
      <c r="RUI244" s="82"/>
      <c r="RUJ244" s="84"/>
      <c r="RUK244" s="84"/>
      <c r="RUL244" s="82"/>
      <c r="RUM244" s="83"/>
      <c r="RUN244" s="82"/>
      <c r="RUO244" s="84"/>
      <c r="RUP244" s="84"/>
      <c r="RUQ244" s="82"/>
      <c r="RUR244" s="83"/>
      <c r="RUS244" s="82"/>
      <c r="RUT244" s="84"/>
      <c r="RUU244" s="84"/>
      <c r="RUV244" s="82"/>
      <c r="RUW244" s="83"/>
      <c r="RUX244" s="82"/>
      <c r="RUY244" s="84"/>
      <c r="RUZ244" s="84"/>
      <c r="RVA244" s="82"/>
      <c r="RVB244" s="83"/>
      <c r="RVC244" s="82"/>
      <c r="RVD244" s="84"/>
      <c r="RVE244" s="84"/>
      <c r="RVF244" s="82"/>
      <c r="RVG244" s="83"/>
      <c r="RVH244" s="82"/>
      <c r="RVI244" s="84"/>
      <c r="RVJ244" s="84"/>
      <c r="RVK244" s="82"/>
      <c r="RVL244" s="83"/>
      <c r="RVM244" s="82"/>
      <c r="RVN244" s="84"/>
      <c r="RVO244" s="84"/>
      <c r="RVP244" s="82"/>
      <c r="RVQ244" s="83"/>
      <c r="RVR244" s="82"/>
      <c r="RVS244" s="84"/>
      <c r="RVT244" s="84"/>
      <c r="RVU244" s="82"/>
      <c r="RVV244" s="83"/>
      <c r="RVW244" s="82"/>
      <c r="RVX244" s="84"/>
      <c r="RVY244" s="84"/>
      <c r="RVZ244" s="82"/>
      <c r="RWA244" s="83"/>
      <c r="RWB244" s="82"/>
      <c r="RWC244" s="84"/>
      <c r="RWD244" s="84"/>
      <c r="RWE244" s="82"/>
      <c r="RWF244" s="83"/>
      <c r="RWG244" s="82"/>
      <c r="RWH244" s="84"/>
      <c r="RWI244" s="84"/>
      <c r="RWJ244" s="82"/>
      <c r="RWK244" s="83"/>
      <c r="RWL244" s="82"/>
      <c r="RWM244" s="84"/>
      <c r="RWN244" s="84"/>
      <c r="RWO244" s="82"/>
      <c r="RWP244" s="83"/>
      <c r="RWQ244" s="82"/>
      <c r="RWR244" s="84"/>
      <c r="RWS244" s="84"/>
      <c r="RWT244" s="82"/>
      <c r="RWU244" s="83"/>
      <c r="RWV244" s="82"/>
      <c r="RWW244" s="84"/>
      <c r="RWX244" s="84"/>
      <c r="RWY244" s="82"/>
      <c r="RWZ244" s="83"/>
      <c r="RXA244" s="82"/>
      <c r="RXB244" s="84"/>
      <c r="RXC244" s="84"/>
      <c r="RXD244" s="82"/>
      <c r="RXE244" s="83"/>
      <c r="RXF244" s="82"/>
      <c r="RXG244" s="84"/>
      <c r="RXH244" s="84"/>
      <c r="RXI244" s="82"/>
      <c r="RXJ244" s="83"/>
      <c r="RXK244" s="82"/>
      <c r="RXL244" s="84"/>
      <c r="RXM244" s="84"/>
      <c r="RXN244" s="82"/>
      <c r="RXO244" s="83"/>
      <c r="RXP244" s="82"/>
      <c r="RXQ244" s="84"/>
      <c r="RXR244" s="84"/>
      <c r="RXS244" s="82"/>
      <c r="RXT244" s="83"/>
      <c r="RXU244" s="82"/>
      <c r="RXV244" s="84"/>
      <c r="RXW244" s="84"/>
      <c r="RXX244" s="82"/>
      <c r="RXY244" s="83"/>
      <c r="RXZ244" s="82"/>
      <c r="RYA244" s="84"/>
      <c r="RYB244" s="84"/>
      <c r="RYC244" s="82"/>
      <c r="RYD244" s="83"/>
      <c r="RYE244" s="82"/>
      <c r="RYF244" s="84"/>
      <c r="RYG244" s="84"/>
      <c r="RYH244" s="82"/>
      <c r="RYI244" s="83"/>
      <c r="RYJ244" s="82"/>
      <c r="RYK244" s="84"/>
      <c r="RYL244" s="84"/>
      <c r="RYM244" s="82"/>
      <c r="RYN244" s="83"/>
      <c r="RYO244" s="82"/>
      <c r="RYP244" s="84"/>
      <c r="RYQ244" s="84"/>
      <c r="RYR244" s="82"/>
      <c r="RYS244" s="83"/>
      <c r="RYT244" s="82"/>
      <c r="RYU244" s="84"/>
      <c r="RYV244" s="84"/>
      <c r="RYW244" s="82"/>
      <c r="RYX244" s="83"/>
      <c r="RYY244" s="82"/>
      <c r="RYZ244" s="84"/>
      <c r="RZA244" s="84"/>
      <c r="RZB244" s="82"/>
      <c r="RZC244" s="83"/>
      <c r="RZD244" s="82"/>
      <c r="RZE244" s="84"/>
      <c r="RZF244" s="84"/>
      <c r="RZG244" s="82"/>
      <c r="RZH244" s="83"/>
      <c r="RZI244" s="82"/>
      <c r="RZJ244" s="84"/>
      <c r="RZK244" s="84"/>
      <c r="RZL244" s="82"/>
      <c r="RZM244" s="83"/>
      <c r="RZN244" s="82"/>
      <c r="RZO244" s="84"/>
      <c r="RZP244" s="84"/>
      <c r="RZQ244" s="82"/>
      <c r="RZR244" s="83"/>
      <c r="RZS244" s="82"/>
      <c r="RZT244" s="84"/>
      <c r="RZU244" s="84"/>
      <c r="RZV244" s="82"/>
      <c r="RZW244" s="83"/>
      <c r="RZX244" s="82"/>
      <c r="RZY244" s="84"/>
      <c r="RZZ244" s="84"/>
      <c r="SAA244" s="82"/>
      <c r="SAB244" s="83"/>
      <c r="SAC244" s="82"/>
      <c r="SAD244" s="84"/>
      <c r="SAE244" s="84"/>
      <c r="SAF244" s="82"/>
      <c r="SAG244" s="83"/>
      <c r="SAH244" s="82"/>
      <c r="SAI244" s="84"/>
      <c r="SAJ244" s="84"/>
      <c r="SAK244" s="82"/>
      <c r="SAL244" s="83"/>
      <c r="SAM244" s="82"/>
      <c r="SAN244" s="84"/>
      <c r="SAO244" s="84"/>
      <c r="SAP244" s="82"/>
      <c r="SAQ244" s="83"/>
      <c r="SAR244" s="82"/>
      <c r="SAS244" s="84"/>
      <c r="SAT244" s="84"/>
      <c r="SAU244" s="82"/>
      <c r="SAV244" s="83"/>
      <c r="SAW244" s="82"/>
      <c r="SAX244" s="84"/>
      <c r="SAY244" s="84"/>
      <c r="SAZ244" s="82"/>
      <c r="SBA244" s="83"/>
      <c r="SBB244" s="82"/>
      <c r="SBC244" s="84"/>
      <c r="SBD244" s="84"/>
      <c r="SBE244" s="82"/>
      <c r="SBF244" s="83"/>
      <c r="SBG244" s="82"/>
      <c r="SBH244" s="84"/>
      <c r="SBI244" s="84"/>
      <c r="SBJ244" s="82"/>
      <c r="SBK244" s="83"/>
      <c r="SBL244" s="82"/>
      <c r="SBM244" s="84"/>
      <c r="SBN244" s="84"/>
      <c r="SBO244" s="82"/>
      <c r="SBP244" s="83"/>
      <c r="SBQ244" s="82"/>
      <c r="SBR244" s="84"/>
      <c r="SBS244" s="84"/>
      <c r="SBT244" s="82"/>
      <c r="SBU244" s="83"/>
      <c r="SBV244" s="82"/>
      <c r="SBW244" s="84"/>
      <c r="SBX244" s="84"/>
      <c r="SBY244" s="82"/>
      <c r="SBZ244" s="83"/>
      <c r="SCA244" s="82"/>
      <c r="SCB244" s="84"/>
      <c r="SCC244" s="84"/>
      <c r="SCD244" s="82"/>
      <c r="SCE244" s="83"/>
      <c r="SCF244" s="82"/>
      <c r="SCG244" s="84"/>
      <c r="SCH244" s="84"/>
      <c r="SCI244" s="82"/>
      <c r="SCJ244" s="83"/>
      <c r="SCK244" s="82"/>
      <c r="SCL244" s="84"/>
      <c r="SCM244" s="84"/>
      <c r="SCN244" s="82"/>
      <c r="SCO244" s="83"/>
      <c r="SCP244" s="82"/>
      <c r="SCQ244" s="84"/>
      <c r="SCR244" s="84"/>
      <c r="SCS244" s="82"/>
      <c r="SCT244" s="83"/>
      <c r="SCU244" s="82"/>
      <c r="SCV244" s="84"/>
      <c r="SCW244" s="84"/>
      <c r="SCX244" s="82"/>
      <c r="SCY244" s="83"/>
      <c r="SCZ244" s="82"/>
      <c r="SDA244" s="84"/>
      <c r="SDB244" s="84"/>
      <c r="SDC244" s="82"/>
      <c r="SDD244" s="83"/>
      <c r="SDE244" s="82"/>
      <c r="SDF244" s="84"/>
      <c r="SDG244" s="84"/>
      <c r="SDH244" s="82"/>
      <c r="SDI244" s="83"/>
      <c r="SDJ244" s="82"/>
      <c r="SDK244" s="84"/>
      <c r="SDL244" s="84"/>
      <c r="SDM244" s="82"/>
      <c r="SDN244" s="83"/>
      <c r="SDO244" s="82"/>
      <c r="SDP244" s="84"/>
      <c r="SDQ244" s="84"/>
      <c r="SDR244" s="82"/>
      <c r="SDS244" s="83"/>
      <c r="SDT244" s="82"/>
      <c r="SDU244" s="84"/>
      <c r="SDV244" s="84"/>
      <c r="SDW244" s="82"/>
      <c r="SDX244" s="83"/>
      <c r="SDY244" s="82"/>
      <c r="SDZ244" s="84"/>
      <c r="SEA244" s="84"/>
      <c r="SEB244" s="82"/>
      <c r="SEC244" s="83"/>
      <c r="SED244" s="82"/>
      <c r="SEE244" s="84"/>
      <c r="SEF244" s="84"/>
      <c r="SEG244" s="82"/>
      <c r="SEH244" s="83"/>
      <c r="SEI244" s="82"/>
      <c r="SEJ244" s="84"/>
      <c r="SEK244" s="84"/>
      <c r="SEL244" s="82"/>
      <c r="SEM244" s="83"/>
      <c r="SEN244" s="82"/>
      <c r="SEO244" s="84"/>
      <c r="SEP244" s="84"/>
      <c r="SEQ244" s="82"/>
      <c r="SER244" s="83"/>
      <c r="SES244" s="82"/>
      <c r="SET244" s="84"/>
      <c r="SEU244" s="84"/>
      <c r="SEV244" s="82"/>
      <c r="SEW244" s="83"/>
      <c r="SEX244" s="82"/>
      <c r="SEY244" s="84"/>
      <c r="SEZ244" s="84"/>
      <c r="SFA244" s="82"/>
      <c r="SFB244" s="83"/>
      <c r="SFC244" s="82"/>
      <c r="SFD244" s="84"/>
      <c r="SFE244" s="84"/>
      <c r="SFF244" s="82"/>
      <c r="SFG244" s="83"/>
      <c r="SFH244" s="82"/>
      <c r="SFI244" s="84"/>
      <c r="SFJ244" s="84"/>
      <c r="SFK244" s="82"/>
      <c r="SFL244" s="83"/>
      <c r="SFM244" s="82"/>
      <c r="SFN244" s="84"/>
      <c r="SFO244" s="84"/>
      <c r="SFP244" s="82"/>
      <c r="SFQ244" s="83"/>
      <c r="SFR244" s="82"/>
      <c r="SFS244" s="84"/>
      <c r="SFT244" s="84"/>
      <c r="SFU244" s="82"/>
      <c r="SFV244" s="83"/>
      <c r="SFW244" s="82"/>
      <c r="SFX244" s="84"/>
      <c r="SFY244" s="84"/>
      <c r="SFZ244" s="82"/>
      <c r="SGA244" s="83"/>
      <c r="SGB244" s="82"/>
      <c r="SGC244" s="84"/>
      <c r="SGD244" s="84"/>
      <c r="SGE244" s="82"/>
      <c r="SGF244" s="83"/>
      <c r="SGG244" s="82"/>
      <c r="SGH244" s="84"/>
      <c r="SGI244" s="84"/>
      <c r="SGJ244" s="82"/>
      <c r="SGK244" s="83"/>
      <c r="SGL244" s="82"/>
      <c r="SGM244" s="84"/>
      <c r="SGN244" s="84"/>
      <c r="SGO244" s="82"/>
      <c r="SGP244" s="83"/>
      <c r="SGQ244" s="82"/>
      <c r="SGR244" s="84"/>
      <c r="SGS244" s="84"/>
      <c r="SGT244" s="82"/>
      <c r="SGU244" s="83"/>
      <c r="SGV244" s="82"/>
      <c r="SGW244" s="84"/>
      <c r="SGX244" s="84"/>
      <c r="SGY244" s="82"/>
      <c r="SGZ244" s="83"/>
      <c r="SHA244" s="82"/>
      <c r="SHB244" s="84"/>
      <c r="SHC244" s="84"/>
      <c r="SHD244" s="82"/>
      <c r="SHE244" s="83"/>
      <c r="SHF244" s="82"/>
      <c r="SHG244" s="84"/>
      <c r="SHH244" s="84"/>
      <c r="SHI244" s="82"/>
      <c r="SHJ244" s="83"/>
      <c r="SHK244" s="82"/>
      <c r="SHL244" s="84"/>
      <c r="SHM244" s="84"/>
      <c r="SHN244" s="82"/>
      <c r="SHO244" s="83"/>
      <c r="SHP244" s="82"/>
      <c r="SHQ244" s="84"/>
      <c r="SHR244" s="84"/>
      <c r="SHS244" s="82"/>
      <c r="SHT244" s="83"/>
      <c r="SHU244" s="82"/>
      <c r="SHV244" s="84"/>
      <c r="SHW244" s="84"/>
      <c r="SHX244" s="82"/>
      <c r="SHY244" s="83"/>
      <c r="SHZ244" s="82"/>
      <c r="SIA244" s="84"/>
      <c r="SIB244" s="84"/>
      <c r="SIC244" s="82"/>
      <c r="SID244" s="83"/>
      <c r="SIE244" s="82"/>
      <c r="SIF244" s="84"/>
      <c r="SIG244" s="84"/>
      <c r="SIH244" s="82"/>
      <c r="SII244" s="83"/>
      <c r="SIJ244" s="82"/>
      <c r="SIK244" s="84"/>
      <c r="SIL244" s="84"/>
      <c r="SIM244" s="82"/>
      <c r="SIN244" s="83"/>
      <c r="SIO244" s="82"/>
      <c r="SIP244" s="84"/>
      <c r="SIQ244" s="84"/>
      <c r="SIR244" s="82"/>
      <c r="SIS244" s="83"/>
      <c r="SIT244" s="82"/>
      <c r="SIU244" s="84"/>
      <c r="SIV244" s="84"/>
      <c r="SIW244" s="82"/>
      <c r="SIX244" s="83"/>
      <c r="SIY244" s="82"/>
      <c r="SIZ244" s="84"/>
      <c r="SJA244" s="84"/>
      <c r="SJB244" s="82"/>
      <c r="SJC244" s="83"/>
      <c r="SJD244" s="82"/>
      <c r="SJE244" s="84"/>
      <c r="SJF244" s="84"/>
      <c r="SJG244" s="82"/>
      <c r="SJH244" s="83"/>
      <c r="SJI244" s="82"/>
      <c r="SJJ244" s="84"/>
      <c r="SJK244" s="84"/>
      <c r="SJL244" s="82"/>
      <c r="SJM244" s="83"/>
      <c r="SJN244" s="82"/>
      <c r="SJO244" s="84"/>
      <c r="SJP244" s="84"/>
      <c r="SJQ244" s="82"/>
      <c r="SJR244" s="83"/>
      <c r="SJS244" s="82"/>
      <c r="SJT244" s="84"/>
      <c r="SJU244" s="84"/>
      <c r="SJV244" s="82"/>
      <c r="SJW244" s="83"/>
      <c r="SJX244" s="82"/>
      <c r="SJY244" s="84"/>
      <c r="SJZ244" s="84"/>
      <c r="SKA244" s="82"/>
      <c r="SKB244" s="83"/>
      <c r="SKC244" s="82"/>
      <c r="SKD244" s="84"/>
      <c r="SKE244" s="84"/>
      <c r="SKF244" s="82"/>
      <c r="SKG244" s="83"/>
      <c r="SKH244" s="82"/>
      <c r="SKI244" s="84"/>
      <c r="SKJ244" s="84"/>
      <c r="SKK244" s="82"/>
      <c r="SKL244" s="83"/>
      <c r="SKM244" s="82"/>
      <c r="SKN244" s="84"/>
      <c r="SKO244" s="84"/>
      <c r="SKP244" s="82"/>
      <c r="SKQ244" s="83"/>
      <c r="SKR244" s="82"/>
      <c r="SKS244" s="84"/>
      <c r="SKT244" s="84"/>
      <c r="SKU244" s="82"/>
      <c r="SKV244" s="83"/>
      <c r="SKW244" s="82"/>
      <c r="SKX244" s="84"/>
      <c r="SKY244" s="84"/>
      <c r="SKZ244" s="82"/>
      <c r="SLA244" s="83"/>
      <c r="SLB244" s="82"/>
      <c r="SLC244" s="84"/>
      <c r="SLD244" s="84"/>
      <c r="SLE244" s="82"/>
      <c r="SLF244" s="83"/>
      <c r="SLG244" s="82"/>
      <c r="SLH244" s="84"/>
      <c r="SLI244" s="84"/>
      <c r="SLJ244" s="82"/>
      <c r="SLK244" s="83"/>
      <c r="SLL244" s="82"/>
      <c r="SLM244" s="84"/>
      <c r="SLN244" s="84"/>
      <c r="SLO244" s="82"/>
      <c r="SLP244" s="83"/>
      <c r="SLQ244" s="82"/>
      <c r="SLR244" s="84"/>
      <c r="SLS244" s="84"/>
      <c r="SLT244" s="82"/>
      <c r="SLU244" s="83"/>
      <c r="SLV244" s="82"/>
      <c r="SLW244" s="84"/>
      <c r="SLX244" s="84"/>
      <c r="SLY244" s="82"/>
      <c r="SLZ244" s="83"/>
      <c r="SMA244" s="82"/>
      <c r="SMB244" s="84"/>
      <c r="SMC244" s="84"/>
      <c r="SMD244" s="82"/>
      <c r="SME244" s="83"/>
      <c r="SMF244" s="82"/>
      <c r="SMG244" s="84"/>
      <c r="SMH244" s="84"/>
      <c r="SMI244" s="82"/>
      <c r="SMJ244" s="83"/>
      <c r="SMK244" s="82"/>
      <c r="SML244" s="84"/>
      <c r="SMM244" s="84"/>
      <c r="SMN244" s="82"/>
      <c r="SMO244" s="83"/>
      <c r="SMP244" s="82"/>
      <c r="SMQ244" s="84"/>
      <c r="SMR244" s="84"/>
      <c r="SMS244" s="82"/>
      <c r="SMT244" s="83"/>
      <c r="SMU244" s="82"/>
      <c r="SMV244" s="84"/>
      <c r="SMW244" s="84"/>
      <c r="SMX244" s="82"/>
      <c r="SMY244" s="83"/>
      <c r="SMZ244" s="82"/>
      <c r="SNA244" s="84"/>
      <c r="SNB244" s="84"/>
      <c r="SNC244" s="82"/>
      <c r="SND244" s="83"/>
      <c r="SNE244" s="82"/>
      <c r="SNF244" s="84"/>
      <c r="SNG244" s="84"/>
      <c r="SNH244" s="82"/>
      <c r="SNI244" s="83"/>
      <c r="SNJ244" s="82"/>
      <c r="SNK244" s="84"/>
      <c r="SNL244" s="84"/>
      <c r="SNM244" s="82"/>
      <c r="SNN244" s="83"/>
      <c r="SNO244" s="82"/>
      <c r="SNP244" s="84"/>
      <c r="SNQ244" s="84"/>
      <c r="SNR244" s="82"/>
      <c r="SNS244" s="83"/>
      <c r="SNT244" s="82"/>
      <c r="SNU244" s="84"/>
      <c r="SNV244" s="84"/>
      <c r="SNW244" s="82"/>
      <c r="SNX244" s="83"/>
      <c r="SNY244" s="82"/>
      <c r="SNZ244" s="84"/>
      <c r="SOA244" s="84"/>
      <c r="SOB244" s="82"/>
      <c r="SOC244" s="83"/>
      <c r="SOD244" s="82"/>
      <c r="SOE244" s="84"/>
      <c r="SOF244" s="84"/>
      <c r="SOG244" s="82"/>
      <c r="SOH244" s="83"/>
      <c r="SOI244" s="82"/>
      <c r="SOJ244" s="84"/>
      <c r="SOK244" s="84"/>
      <c r="SOL244" s="82"/>
      <c r="SOM244" s="83"/>
      <c r="SON244" s="82"/>
      <c r="SOO244" s="84"/>
      <c r="SOP244" s="84"/>
      <c r="SOQ244" s="82"/>
      <c r="SOR244" s="83"/>
      <c r="SOS244" s="82"/>
      <c r="SOT244" s="84"/>
      <c r="SOU244" s="84"/>
      <c r="SOV244" s="82"/>
      <c r="SOW244" s="83"/>
      <c r="SOX244" s="82"/>
      <c r="SOY244" s="84"/>
      <c r="SOZ244" s="84"/>
      <c r="SPA244" s="82"/>
      <c r="SPB244" s="83"/>
      <c r="SPC244" s="82"/>
      <c r="SPD244" s="84"/>
      <c r="SPE244" s="84"/>
      <c r="SPF244" s="82"/>
      <c r="SPG244" s="83"/>
      <c r="SPH244" s="82"/>
      <c r="SPI244" s="84"/>
      <c r="SPJ244" s="84"/>
      <c r="SPK244" s="82"/>
      <c r="SPL244" s="83"/>
      <c r="SPM244" s="82"/>
      <c r="SPN244" s="84"/>
      <c r="SPO244" s="84"/>
      <c r="SPP244" s="82"/>
      <c r="SPQ244" s="83"/>
      <c r="SPR244" s="82"/>
      <c r="SPS244" s="84"/>
      <c r="SPT244" s="84"/>
      <c r="SPU244" s="82"/>
      <c r="SPV244" s="83"/>
      <c r="SPW244" s="82"/>
      <c r="SPX244" s="84"/>
      <c r="SPY244" s="84"/>
      <c r="SPZ244" s="82"/>
      <c r="SQA244" s="83"/>
      <c r="SQB244" s="82"/>
      <c r="SQC244" s="84"/>
      <c r="SQD244" s="84"/>
      <c r="SQE244" s="82"/>
      <c r="SQF244" s="83"/>
      <c r="SQG244" s="82"/>
      <c r="SQH244" s="84"/>
      <c r="SQI244" s="84"/>
      <c r="SQJ244" s="82"/>
      <c r="SQK244" s="83"/>
      <c r="SQL244" s="82"/>
      <c r="SQM244" s="84"/>
      <c r="SQN244" s="84"/>
      <c r="SQO244" s="82"/>
      <c r="SQP244" s="83"/>
      <c r="SQQ244" s="82"/>
      <c r="SQR244" s="84"/>
      <c r="SQS244" s="84"/>
      <c r="SQT244" s="82"/>
      <c r="SQU244" s="83"/>
      <c r="SQV244" s="82"/>
      <c r="SQW244" s="84"/>
      <c r="SQX244" s="84"/>
      <c r="SQY244" s="82"/>
      <c r="SQZ244" s="83"/>
      <c r="SRA244" s="82"/>
      <c r="SRB244" s="84"/>
      <c r="SRC244" s="84"/>
      <c r="SRD244" s="82"/>
      <c r="SRE244" s="83"/>
      <c r="SRF244" s="82"/>
      <c r="SRG244" s="84"/>
      <c r="SRH244" s="84"/>
      <c r="SRI244" s="82"/>
      <c r="SRJ244" s="83"/>
      <c r="SRK244" s="82"/>
      <c r="SRL244" s="84"/>
      <c r="SRM244" s="84"/>
      <c r="SRN244" s="82"/>
      <c r="SRO244" s="83"/>
      <c r="SRP244" s="82"/>
      <c r="SRQ244" s="84"/>
      <c r="SRR244" s="84"/>
      <c r="SRS244" s="82"/>
      <c r="SRT244" s="83"/>
      <c r="SRU244" s="82"/>
      <c r="SRV244" s="84"/>
      <c r="SRW244" s="84"/>
      <c r="SRX244" s="82"/>
      <c r="SRY244" s="83"/>
      <c r="SRZ244" s="82"/>
      <c r="SSA244" s="84"/>
      <c r="SSB244" s="84"/>
      <c r="SSC244" s="82"/>
      <c r="SSD244" s="83"/>
      <c r="SSE244" s="82"/>
      <c r="SSF244" s="84"/>
      <c r="SSG244" s="84"/>
      <c r="SSH244" s="82"/>
      <c r="SSI244" s="83"/>
      <c r="SSJ244" s="82"/>
      <c r="SSK244" s="84"/>
      <c r="SSL244" s="84"/>
      <c r="SSM244" s="82"/>
      <c r="SSN244" s="83"/>
      <c r="SSO244" s="82"/>
      <c r="SSP244" s="84"/>
      <c r="SSQ244" s="84"/>
      <c r="SSR244" s="82"/>
      <c r="SSS244" s="83"/>
      <c r="SST244" s="82"/>
      <c r="SSU244" s="84"/>
      <c r="SSV244" s="84"/>
      <c r="SSW244" s="82"/>
      <c r="SSX244" s="83"/>
      <c r="SSY244" s="82"/>
      <c r="SSZ244" s="84"/>
      <c r="STA244" s="84"/>
      <c r="STB244" s="82"/>
      <c r="STC244" s="83"/>
      <c r="STD244" s="82"/>
      <c r="STE244" s="84"/>
      <c r="STF244" s="84"/>
      <c r="STG244" s="82"/>
      <c r="STH244" s="83"/>
      <c r="STI244" s="82"/>
      <c r="STJ244" s="84"/>
      <c r="STK244" s="84"/>
      <c r="STL244" s="82"/>
      <c r="STM244" s="83"/>
      <c r="STN244" s="82"/>
      <c r="STO244" s="84"/>
      <c r="STP244" s="84"/>
      <c r="STQ244" s="82"/>
      <c r="STR244" s="83"/>
      <c r="STS244" s="82"/>
      <c r="STT244" s="84"/>
      <c r="STU244" s="84"/>
      <c r="STV244" s="82"/>
      <c r="STW244" s="83"/>
      <c r="STX244" s="82"/>
      <c r="STY244" s="84"/>
      <c r="STZ244" s="84"/>
      <c r="SUA244" s="82"/>
      <c r="SUB244" s="83"/>
      <c r="SUC244" s="82"/>
      <c r="SUD244" s="84"/>
      <c r="SUE244" s="84"/>
      <c r="SUF244" s="82"/>
      <c r="SUG244" s="83"/>
      <c r="SUH244" s="82"/>
      <c r="SUI244" s="84"/>
      <c r="SUJ244" s="84"/>
      <c r="SUK244" s="82"/>
      <c r="SUL244" s="83"/>
      <c r="SUM244" s="82"/>
      <c r="SUN244" s="84"/>
      <c r="SUO244" s="84"/>
      <c r="SUP244" s="82"/>
      <c r="SUQ244" s="83"/>
      <c r="SUR244" s="82"/>
      <c r="SUS244" s="84"/>
      <c r="SUT244" s="84"/>
      <c r="SUU244" s="82"/>
      <c r="SUV244" s="83"/>
      <c r="SUW244" s="82"/>
      <c r="SUX244" s="84"/>
      <c r="SUY244" s="84"/>
      <c r="SUZ244" s="82"/>
      <c r="SVA244" s="83"/>
      <c r="SVB244" s="82"/>
      <c r="SVC244" s="84"/>
      <c r="SVD244" s="84"/>
      <c r="SVE244" s="82"/>
      <c r="SVF244" s="83"/>
      <c r="SVG244" s="82"/>
      <c r="SVH244" s="84"/>
      <c r="SVI244" s="84"/>
      <c r="SVJ244" s="82"/>
      <c r="SVK244" s="83"/>
      <c r="SVL244" s="82"/>
      <c r="SVM244" s="84"/>
      <c r="SVN244" s="84"/>
      <c r="SVO244" s="82"/>
      <c r="SVP244" s="83"/>
      <c r="SVQ244" s="82"/>
      <c r="SVR244" s="84"/>
      <c r="SVS244" s="84"/>
      <c r="SVT244" s="82"/>
      <c r="SVU244" s="83"/>
      <c r="SVV244" s="82"/>
      <c r="SVW244" s="84"/>
      <c r="SVX244" s="84"/>
      <c r="SVY244" s="82"/>
      <c r="SVZ244" s="83"/>
      <c r="SWA244" s="82"/>
      <c r="SWB244" s="84"/>
      <c r="SWC244" s="84"/>
      <c r="SWD244" s="82"/>
      <c r="SWE244" s="83"/>
      <c r="SWF244" s="82"/>
      <c r="SWG244" s="84"/>
      <c r="SWH244" s="84"/>
      <c r="SWI244" s="82"/>
      <c r="SWJ244" s="83"/>
      <c r="SWK244" s="82"/>
      <c r="SWL244" s="84"/>
      <c r="SWM244" s="84"/>
      <c r="SWN244" s="82"/>
      <c r="SWO244" s="83"/>
      <c r="SWP244" s="82"/>
      <c r="SWQ244" s="84"/>
      <c r="SWR244" s="84"/>
      <c r="SWS244" s="82"/>
      <c r="SWT244" s="83"/>
      <c r="SWU244" s="82"/>
      <c r="SWV244" s="84"/>
      <c r="SWW244" s="84"/>
      <c r="SWX244" s="82"/>
      <c r="SWY244" s="83"/>
      <c r="SWZ244" s="82"/>
      <c r="SXA244" s="84"/>
      <c r="SXB244" s="84"/>
      <c r="SXC244" s="82"/>
      <c r="SXD244" s="83"/>
      <c r="SXE244" s="82"/>
      <c r="SXF244" s="84"/>
      <c r="SXG244" s="84"/>
      <c r="SXH244" s="82"/>
      <c r="SXI244" s="83"/>
      <c r="SXJ244" s="82"/>
      <c r="SXK244" s="84"/>
      <c r="SXL244" s="84"/>
      <c r="SXM244" s="82"/>
      <c r="SXN244" s="83"/>
      <c r="SXO244" s="82"/>
      <c r="SXP244" s="84"/>
      <c r="SXQ244" s="84"/>
      <c r="SXR244" s="82"/>
      <c r="SXS244" s="83"/>
      <c r="SXT244" s="82"/>
      <c r="SXU244" s="84"/>
      <c r="SXV244" s="84"/>
      <c r="SXW244" s="82"/>
      <c r="SXX244" s="83"/>
      <c r="SXY244" s="82"/>
      <c r="SXZ244" s="84"/>
      <c r="SYA244" s="84"/>
      <c r="SYB244" s="82"/>
      <c r="SYC244" s="83"/>
      <c r="SYD244" s="82"/>
      <c r="SYE244" s="84"/>
      <c r="SYF244" s="84"/>
      <c r="SYG244" s="82"/>
      <c r="SYH244" s="83"/>
      <c r="SYI244" s="82"/>
      <c r="SYJ244" s="84"/>
      <c r="SYK244" s="84"/>
      <c r="SYL244" s="82"/>
      <c r="SYM244" s="83"/>
      <c r="SYN244" s="82"/>
      <c r="SYO244" s="84"/>
      <c r="SYP244" s="84"/>
      <c r="SYQ244" s="82"/>
      <c r="SYR244" s="83"/>
      <c r="SYS244" s="82"/>
      <c r="SYT244" s="84"/>
      <c r="SYU244" s="84"/>
      <c r="SYV244" s="82"/>
      <c r="SYW244" s="83"/>
      <c r="SYX244" s="82"/>
      <c r="SYY244" s="84"/>
      <c r="SYZ244" s="84"/>
      <c r="SZA244" s="82"/>
      <c r="SZB244" s="83"/>
      <c r="SZC244" s="82"/>
      <c r="SZD244" s="84"/>
      <c r="SZE244" s="84"/>
      <c r="SZF244" s="82"/>
      <c r="SZG244" s="83"/>
      <c r="SZH244" s="82"/>
      <c r="SZI244" s="84"/>
      <c r="SZJ244" s="84"/>
      <c r="SZK244" s="82"/>
      <c r="SZL244" s="83"/>
      <c r="SZM244" s="82"/>
      <c r="SZN244" s="84"/>
      <c r="SZO244" s="84"/>
      <c r="SZP244" s="82"/>
      <c r="SZQ244" s="83"/>
      <c r="SZR244" s="82"/>
      <c r="SZS244" s="84"/>
      <c r="SZT244" s="84"/>
      <c r="SZU244" s="82"/>
      <c r="SZV244" s="83"/>
      <c r="SZW244" s="82"/>
      <c r="SZX244" s="84"/>
      <c r="SZY244" s="84"/>
      <c r="SZZ244" s="82"/>
      <c r="TAA244" s="83"/>
      <c r="TAB244" s="82"/>
      <c r="TAC244" s="84"/>
      <c r="TAD244" s="84"/>
      <c r="TAE244" s="82"/>
      <c r="TAF244" s="83"/>
      <c r="TAG244" s="82"/>
      <c r="TAH244" s="84"/>
      <c r="TAI244" s="84"/>
      <c r="TAJ244" s="82"/>
      <c r="TAK244" s="83"/>
      <c r="TAL244" s="82"/>
      <c r="TAM244" s="84"/>
      <c r="TAN244" s="84"/>
      <c r="TAO244" s="82"/>
      <c r="TAP244" s="83"/>
      <c r="TAQ244" s="82"/>
      <c r="TAR244" s="84"/>
      <c r="TAS244" s="84"/>
      <c r="TAT244" s="82"/>
      <c r="TAU244" s="83"/>
      <c r="TAV244" s="82"/>
      <c r="TAW244" s="84"/>
      <c r="TAX244" s="84"/>
      <c r="TAY244" s="82"/>
      <c r="TAZ244" s="83"/>
      <c r="TBA244" s="82"/>
      <c r="TBB244" s="84"/>
      <c r="TBC244" s="84"/>
      <c r="TBD244" s="82"/>
      <c r="TBE244" s="83"/>
      <c r="TBF244" s="82"/>
      <c r="TBG244" s="84"/>
      <c r="TBH244" s="84"/>
      <c r="TBI244" s="82"/>
      <c r="TBJ244" s="83"/>
      <c r="TBK244" s="82"/>
      <c r="TBL244" s="84"/>
      <c r="TBM244" s="84"/>
      <c r="TBN244" s="82"/>
      <c r="TBO244" s="83"/>
      <c r="TBP244" s="82"/>
      <c r="TBQ244" s="84"/>
      <c r="TBR244" s="84"/>
      <c r="TBS244" s="82"/>
      <c r="TBT244" s="83"/>
      <c r="TBU244" s="82"/>
      <c r="TBV244" s="84"/>
      <c r="TBW244" s="84"/>
      <c r="TBX244" s="82"/>
      <c r="TBY244" s="83"/>
      <c r="TBZ244" s="82"/>
      <c r="TCA244" s="84"/>
      <c r="TCB244" s="84"/>
      <c r="TCC244" s="82"/>
      <c r="TCD244" s="83"/>
      <c r="TCE244" s="82"/>
      <c r="TCF244" s="84"/>
      <c r="TCG244" s="84"/>
      <c r="TCH244" s="82"/>
      <c r="TCI244" s="83"/>
      <c r="TCJ244" s="82"/>
      <c r="TCK244" s="84"/>
      <c r="TCL244" s="84"/>
      <c r="TCM244" s="82"/>
      <c r="TCN244" s="83"/>
      <c r="TCO244" s="82"/>
      <c r="TCP244" s="84"/>
      <c r="TCQ244" s="84"/>
      <c r="TCR244" s="82"/>
      <c r="TCS244" s="83"/>
      <c r="TCT244" s="82"/>
      <c r="TCU244" s="84"/>
      <c r="TCV244" s="84"/>
      <c r="TCW244" s="82"/>
      <c r="TCX244" s="83"/>
      <c r="TCY244" s="82"/>
      <c r="TCZ244" s="84"/>
      <c r="TDA244" s="84"/>
      <c r="TDB244" s="82"/>
      <c r="TDC244" s="83"/>
      <c r="TDD244" s="82"/>
      <c r="TDE244" s="84"/>
      <c r="TDF244" s="84"/>
      <c r="TDG244" s="82"/>
      <c r="TDH244" s="83"/>
      <c r="TDI244" s="82"/>
      <c r="TDJ244" s="84"/>
      <c r="TDK244" s="84"/>
      <c r="TDL244" s="82"/>
      <c r="TDM244" s="83"/>
      <c r="TDN244" s="82"/>
      <c r="TDO244" s="84"/>
      <c r="TDP244" s="84"/>
      <c r="TDQ244" s="82"/>
      <c r="TDR244" s="83"/>
      <c r="TDS244" s="82"/>
      <c r="TDT244" s="84"/>
      <c r="TDU244" s="84"/>
      <c r="TDV244" s="82"/>
      <c r="TDW244" s="83"/>
      <c r="TDX244" s="82"/>
      <c r="TDY244" s="84"/>
      <c r="TDZ244" s="84"/>
      <c r="TEA244" s="82"/>
      <c r="TEB244" s="83"/>
      <c r="TEC244" s="82"/>
      <c r="TED244" s="84"/>
      <c r="TEE244" s="84"/>
      <c r="TEF244" s="82"/>
      <c r="TEG244" s="83"/>
      <c r="TEH244" s="82"/>
      <c r="TEI244" s="84"/>
      <c r="TEJ244" s="84"/>
      <c r="TEK244" s="82"/>
      <c r="TEL244" s="83"/>
      <c r="TEM244" s="82"/>
      <c r="TEN244" s="84"/>
      <c r="TEO244" s="84"/>
      <c r="TEP244" s="82"/>
      <c r="TEQ244" s="83"/>
      <c r="TER244" s="82"/>
      <c r="TES244" s="84"/>
      <c r="TET244" s="84"/>
      <c r="TEU244" s="82"/>
      <c r="TEV244" s="83"/>
      <c r="TEW244" s="82"/>
      <c r="TEX244" s="84"/>
      <c r="TEY244" s="84"/>
      <c r="TEZ244" s="82"/>
      <c r="TFA244" s="83"/>
      <c r="TFB244" s="82"/>
      <c r="TFC244" s="84"/>
      <c r="TFD244" s="84"/>
      <c r="TFE244" s="82"/>
      <c r="TFF244" s="83"/>
      <c r="TFG244" s="82"/>
      <c r="TFH244" s="84"/>
      <c r="TFI244" s="84"/>
      <c r="TFJ244" s="82"/>
      <c r="TFK244" s="83"/>
      <c r="TFL244" s="82"/>
      <c r="TFM244" s="84"/>
      <c r="TFN244" s="84"/>
      <c r="TFO244" s="82"/>
      <c r="TFP244" s="83"/>
      <c r="TFQ244" s="82"/>
      <c r="TFR244" s="84"/>
      <c r="TFS244" s="84"/>
      <c r="TFT244" s="82"/>
      <c r="TFU244" s="83"/>
      <c r="TFV244" s="82"/>
      <c r="TFW244" s="84"/>
      <c r="TFX244" s="84"/>
      <c r="TFY244" s="82"/>
      <c r="TFZ244" s="83"/>
      <c r="TGA244" s="82"/>
      <c r="TGB244" s="84"/>
      <c r="TGC244" s="84"/>
      <c r="TGD244" s="82"/>
      <c r="TGE244" s="83"/>
      <c r="TGF244" s="82"/>
      <c r="TGG244" s="84"/>
      <c r="TGH244" s="84"/>
      <c r="TGI244" s="82"/>
      <c r="TGJ244" s="83"/>
      <c r="TGK244" s="82"/>
      <c r="TGL244" s="84"/>
      <c r="TGM244" s="84"/>
      <c r="TGN244" s="82"/>
      <c r="TGO244" s="83"/>
      <c r="TGP244" s="82"/>
      <c r="TGQ244" s="84"/>
      <c r="TGR244" s="84"/>
      <c r="TGS244" s="82"/>
      <c r="TGT244" s="83"/>
      <c r="TGU244" s="82"/>
      <c r="TGV244" s="84"/>
      <c r="TGW244" s="84"/>
      <c r="TGX244" s="82"/>
      <c r="TGY244" s="83"/>
      <c r="TGZ244" s="82"/>
      <c r="THA244" s="84"/>
      <c r="THB244" s="84"/>
      <c r="THC244" s="82"/>
      <c r="THD244" s="83"/>
      <c r="THE244" s="82"/>
      <c r="THF244" s="84"/>
      <c r="THG244" s="84"/>
      <c r="THH244" s="82"/>
      <c r="THI244" s="83"/>
      <c r="THJ244" s="82"/>
      <c r="THK244" s="84"/>
      <c r="THL244" s="84"/>
      <c r="THM244" s="82"/>
      <c r="THN244" s="83"/>
      <c r="THO244" s="82"/>
      <c r="THP244" s="84"/>
      <c r="THQ244" s="84"/>
      <c r="THR244" s="82"/>
      <c r="THS244" s="83"/>
      <c r="THT244" s="82"/>
      <c r="THU244" s="84"/>
      <c r="THV244" s="84"/>
      <c r="THW244" s="82"/>
      <c r="THX244" s="83"/>
      <c r="THY244" s="82"/>
      <c r="THZ244" s="84"/>
      <c r="TIA244" s="84"/>
      <c r="TIB244" s="82"/>
      <c r="TIC244" s="83"/>
      <c r="TID244" s="82"/>
      <c r="TIE244" s="84"/>
      <c r="TIF244" s="84"/>
      <c r="TIG244" s="82"/>
      <c r="TIH244" s="83"/>
      <c r="TII244" s="82"/>
      <c r="TIJ244" s="84"/>
      <c r="TIK244" s="84"/>
      <c r="TIL244" s="82"/>
      <c r="TIM244" s="83"/>
      <c r="TIN244" s="82"/>
      <c r="TIO244" s="84"/>
      <c r="TIP244" s="84"/>
      <c r="TIQ244" s="82"/>
      <c r="TIR244" s="83"/>
      <c r="TIS244" s="82"/>
      <c r="TIT244" s="84"/>
      <c r="TIU244" s="84"/>
      <c r="TIV244" s="82"/>
      <c r="TIW244" s="83"/>
      <c r="TIX244" s="82"/>
      <c r="TIY244" s="84"/>
      <c r="TIZ244" s="84"/>
      <c r="TJA244" s="82"/>
      <c r="TJB244" s="83"/>
      <c r="TJC244" s="82"/>
      <c r="TJD244" s="84"/>
      <c r="TJE244" s="84"/>
      <c r="TJF244" s="82"/>
      <c r="TJG244" s="83"/>
      <c r="TJH244" s="82"/>
      <c r="TJI244" s="84"/>
      <c r="TJJ244" s="84"/>
      <c r="TJK244" s="82"/>
      <c r="TJL244" s="83"/>
      <c r="TJM244" s="82"/>
      <c r="TJN244" s="84"/>
      <c r="TJO244" s="84"/>
      <c r="TJP244" s="82"/>
      <c r="TJQ244" s="83"/>
      <c r="TJR244" s="82"/>
      <c r="TJS244" s="84"/>
      <c r="TJT244" s="84"/>
      <c r="TJU244" s="82"/>
      <c r="TJV244" s="83"/>
      <c r="TJW244" s="82"/>
      <c r="TJX244" s="84"/>
      <c r="TJY244" s="84"/>
      <c r="TJZ244" s="82"/>
      <c r="TKA244" s="83"/>
      <c r="TKB244" s="82"/>
      <c r="TKC244" s="84"/>
      <c r="TKD244" s="84"/>
      <c r="TKE244" s="82"/>
      <c r="TKF244" s="83"/>
      <c r="TKG244" s="82"/>
      <c r="TKH244" s="84"/>
      <c r="TKI244" s="84"/>
      <c r="TKJ244" s="82"/>
      <c r="TKK244" s="83"/>
      <c r="TKL244" s="82"/>
      <c r="TKM244" s="84"/>
      <c r="TKN244" s="84"/>
      <c r="TKO244" s="82"/>
      <c r="TKP244" s="83"/>
      <c r="TKQ244" s="82"/>
      <c r="TKR244" s="84"/>
      <c r="TKS244" s="84"/>
      <c r="TKT244" s="82"/>
      <c r="TKU244" s="83"/>
      <c r="TKV244" s="82"/>
      <c r="TKW244" s="84"/>
      <c r="TKX244" s="84"/>
      <c r="TKY244" s="82"/>
      <c r="TKZ244" s="83"/>
      <c r="TLA244" s="82"/>
      <c r="TLB244" s="84"/>
      <c r="TLC244" s="84"/>
      <c r="TLD244" s="82"/>
      <c r="TLE244" s="83"/>
      <c r="TLF244" s="82"/>
      <c r="TLG244" s="84"/>
      <c r="TLH244" s="84"/>
      <c r="TLI244" s="82"/>
      <c r="TLJ244" s="83"/>
      <c r="TLK244" s="82"/>
      <c r="TLL244" s="84"/>
      <c r="TLM244" s="84"/>
      <c r="TLN244" s="82"/>
      <c r="TLO244" s="83"/>
      <c r="TLP244" s="82"/>
      <c r="TLQ244" s="84"/>
      <c r="TLR244" s="84"/>
      <c r="TLS244" s="82"/>
      <c r="TLT244" s="83"/>
      <c r="TLU244" s="82"/>
      <c r="TLV244" s="84"/>
      <c r="TLW244" s="84"/>
      <c r="TLX244" s="82"/>
      <c r="TLY244" s="83"/>
      <c r="TLZ244" s="82"/>
      <c r="TMA244" s="84"/>
      <c r="TMB244" s="84"/>
      <c r="TMC244" s="82"/>
      <c r="TMD244" s="83"/>
      <c r="TME244" s="82"/>
      <c r="TMF244" s="84"/>
      <c r="TMG244" s="84"/>
      <c r="TMH244" s="82"/>
      <c r="TMI244" s="83"/>
      <c r="TMJ244" s="82"/>
      <c r="TMK244" s="84"/>
      <c r="TML244" s="84"/>
      <c r="TMM244" s="82"/>
      <c r="TMN244" s="83"/>
      <c r="TMO244" s="82"/>
      <c r="TMP244" s="84"/>
      <c r="TMQ244" s="84"/>
      <c r="TMR244" s="82"/>
      <c r="TMS244" s="83"/>
      <c r="TMT244" s="82"/>
      <c r="TMU244" s="84"/>
      <c r="TMV244" s="84"/>
      <c r="TMW244" s="82"/>
      <c r="TMX244" s="83"/>
      <c r="TMY244" s="82"/>
      <c r="TMZ244" s="84"/>
      <c r="TNA244" s="84"/>
      <c r="TNB244" s="82"/>
      <c r="TNC244" s="83"/>
      <c r="TND244" s="82"/>
      <c r="TNE244" s="84"/>
      <c r="TNF244" s="84"/>
      <c r="TNG244" s="82"/>
      <c r="TNH244" s="83"/>
      <c r="TNI244" s="82"/>
      <c r="TNJ244" s="84"/>
      <c r="TNK244" s="84"/>
      <c r="TNL244" s="82"/>
      <c r="TNM244" s="83"/>
      <c r="TNN244" s="82"/>
      <c r="TNO244" s="84"/>
      <c r="TNP244" s="84"/>
      <c r="TNQ244" s="82"/>
      <c r="TNR244" s="83"/>
      <c r="TNS244" s="82"/>
      <c r="TNT244" s="84"/>
      <c r="TNU244" s="84"/>
      <c r="TNV244" s="82"/>
      <c r="TNW244" s="83"/>
      <c r="TNX244" s="82"/>
      <c r="TNY244" s="84"/>
      <c r="TNZ244" s="84"/>
      <c r="TOA244" s="82"/>
      <c r="TOB244" s="83"/>
      <c r="TOC244" s="82"/>
      <c r="TOD244" s="84"/>
      <c r="TOE244" s="84"/>
      <c r="TOF244" s="82"/>
      <c r="TOG244" s="83"/>
      <c r="TOH244" s="82"/>
      <c r="TOI244" s="84"/>
      <c r="TOJ244" s="84"/>
      <c r="TOK244" s="82"/>
      <c r="TOL244" s="83"/>
      <c r="TOM244" s="82"/>
      <c r="TON244" s="84"/>
      <c r="TOO244" s="84"/>
      <c r="TOP244" s="82"/>
      <c r="TOQ244" s="83"/>
      <c r="TOR244" s="82"/>
      <c r="TOS244" s="84"/>
      <c r="TOT244" s="84"/>
      <c r="TOU244" s="82"/>
      <c r="TOV244" s="83"/>
      <c r="TOW244" s="82"/>
      <c r="TOX244" s="84"/>
      <c r="TOY244" s="84"/>
      <c r="TOZ244" s="82"/>
      <c r="TPA244" s="83"/>
      <c r="TPB244" s="82"/>
      <c r="TPC244" s="84"/>
      <c r="TPD244" s="84"/>
      <c r="TPE244" s="82"/>
      <c r="TPF244" s="83"/>
      <c r="TPG244" s="82"/>
      <c r="TPH244" s="84"/>
      <c r="TPI244" s="84"/>
      <c r="TPJ244" s="82"/>
      <c r="TPK244" s="83"/>
      <c r="TPL244" s="82"/>
      <c r="TPM244" s="84"/>
      <c r="TPN244" s="84"/>
      <c r="TPO244" s="82"/>
      <c r="TPP244" s="83"/>
      <c r="TPQ244" s="82"/>
      <c r="TPR244" s="84"/>
      <c r="TPS244" s="84"/>
      <c r="TPT244" s="82"/>
      <c r="TPU244" s="83"/>
      <c r="TPV244" s="82"/>
      <c r="TPW244" s="84"/>
      <c r="TPX244" s="84"/>
      <c r="TPY244" s="82"/>
      <c r="TPZ244" s="83"/>
      <c r="TQA244" s="82"/>
      <c r="TQB244" s="84"/>
      <c r="TQC244" s="84"/>
      <c r="TQD244" s="82"/>
      <c r="TQE244" s="83"/>
      <c r="TQF244" s="82"/>
      <c r="TQG244" s="84"/>
      <c r="TQH244" s="84"/>
      <c r="TQI244" s="82"/>
      <c r="TQJ244" s="83"/>
      <c r="TQK244" s="82"/>
      <c r="TQL244" s="84"/>
      <c r="TQM244" s="84"/>
      <c r="TQN244" s="82"/>
      <c r="TQO244" s="83"/>
      <c r="TQP244" s="82"/>
      <c r="TQQ244" s="84"/>
      <c r="TQR244" s="84"/>
      <c r="TQS244" s="82"/>
      <c r="TQT244" s="83"/>
      <c r="TQU244" s="82"/>
      <c r="TQV244" s="84"/>
      <c r="TQW244" s="84"/>
      <c r="TQX244" s="82"/>
      <c r="TQY244" s="83"/>
      <c r="TQZ244" s="82"/>
      <c r="TRA244" s="84"/>
      <c r="TRB244" s="84"/>
      <c r="TRC244" s="82"/>
      <c r="TRD244" s="83"/>
      <c r="TRE244" s="82"/>
      <c r="TRF244" s="84"/>
      <c r="TRG244" s="84"/>
      <c r="TRH244" s="82"/>
      <c r="TRI244" s="83"/>
      <c r="TRJ244" s="82"/>
      <c r="TRK244" s="84"/>
      <c r="TRL244" s="84"/>
      <c r="TRM244" s="82"/>
      <c r="TRN244" s="83"/>
      <c r="TRO244" s="82"/>
      <c r="TRP244" s="84"/>
      <c r="TRQ244" s="84"/>
      <c r="TRR244" s="82"/>
      <c r="TRS244" s="83"/>
      <c r="TRT244" s="82"/>
      <c r="TRU244" s="84"/>
      <c r="TRV244" s="84"/>
      <c r="TRW244" s="82"/>
      <c r="TRX244" s="83"/>
      <c r="TRY244" s="82"/>
      <c r="TRZ244" s="84"/>
      <c r="TSA244" s="84"/>
      <c r="TSB244" s="82"/>
      <c r="TSC244" s="83"/>
      <c r="TSD244" s="82"/>
      <c r="TSE244" s="84"/>
      <c r="TSF244" s="84"/>
      <c r="TSG244" s="82"/>
      <c r="TSH244" s="83"/>
      <c r="TSI244" s="82"/>
      <c r="TSJ244" s="84"/>
      <c r="TSK244" s="84"/>
      <c r="TSL244" s="82"/>
      <c r="TSM244" s="83"/>
      <c r="TSN244" s="82"/>
      <c r="TSO244" s="84"/>
      <c r="TSP244" s="84"/>
      <c r="TSQ244" s="82"/>
      <c r="TSR244" s="83"/>
      <c r="TSS244" s="82"/>
      <c r="TST244" s="84"/>
      <c r="TSU244" s="84"/>
      <c r="TSV244" s="82"/>
      <c r="TSW244" s="83"/>
      <c r="TSX244" s="82"/>
      <c r="TSY244" s="84"/>
      <c r="TSZ244" s="84"/>
      <c r="TTA244" s="82"/>
      <c r="TTB244" s="83"/>
      <c r="TTC244" s="82"/>
      <c r="TTD244" s="84"/>
      <c r="TTE244" s="84"/>
      <c r="TTF244" s="82"/>
      <c r="TTG244" s="83"/>
      <c r="TTH244" s="82"/>
      <c r="TTI244" s="84"/>
      <c r="TTJ244" s="84"/>
      <c r="TTK244" s="82"/>
      <c r="TTL244" s="83"/>
      <c r="TTM244" s="82"/>
      <c r="TTN244" s="84"/>
      <c r="TTO244" s="84"/>
      <c r="TTP244" s="82"/>
      <c r="TTQ244" s="83"/>
      <c r="TTR244" s="82"/>
      <c r="TTS244" s="84"/>
      <c r="TTT244" s="84"/>
      <c r="TTU244" s="82"/>
      <c r="TTV244" s="83"/>
      <c r="TTW244" s="82"/>
      <c r="TTX244" s="84"/>
      <c r="TTY244" s="84"/>
      <c r="TTZ244" s="82"/>
      <c r="TUA244" s="83"/>
      <c r="TUB244" s="82"/>
      <c r="TUC244" s="84"/>
      <c r="TUD244" s="84"/>
      <c r="TUE244" s="82"/>
      <c r="TUF244" s="83"/>
      <c r="TUG244" s="82"/>
      <c r="TUH244" s="84"/>
      <c r="TUI244" s="84"/>
      <c r="TUJ244" s="82"/>
      <c r="TUK244" s="83"/>
      <c r="TUL244" s="82"/>
      <c r="TUM244" s="84"/>
      <c r="TUN244" s="84"/>
      <c r="TUO244" s="82"/>
      <c r="TUP244" s="83"/>
      <c r="TUQ244" s="82"/>
      <c r="TUR244" s="84"/>
      <c r="TUS244" s="84"/>
      <c r="TUT244" s="82"/>
      <c r="TUU244" s="83"/>
      <c r="TUV244" s="82"/>
      <c r="TUW244" s="84"/>
      <c r="TUX244" s="84"/>
      <c r="TUY244" s="82"/>
      <c r="TUZ244" s="83"/>
      <c r="TVA244" s="82"/>
      <c r="TVB244" s="84"/>
      <c r="TVC244" s="84"/>
      <c r="TVD244" s="82"/>
      <c r="TVE244" s="83"/>
      <c r="TVF244" s="82"/>
      <c r="TVG244" s="84"/>
      <c r="TVH244" s="84"/>
      <c r="TVI244" s="82"/>
      <c r="TVJ244" s="83"/>
      <c r="TVK244" s="82"/>
      <c r="TVL244" s="84"/>
      <c r="TVM244" s="84"/>
      <c r="TVN244" s="82"/>
      <c r="TVO244" s="83"/>
      <c r="TVP244" s="82"/>
      <c r="TVQ244" s="84"/>
      <c r="TVR244" s="84"/>
      <c r="TVS244" s="82"/>
      <c r="TVT244" s="83"/>
      <c r="TVU244" s="82"/>
      <c r="TVV244" s="84"/>
      <c r="TVW244" s="84"/>
      <c r="TVX244" s="82"/>
      <c r="TVY244" s="83"/>
      <c r="TVZ244" s="82"/>
      <c r="TWA244" s="84"/>
      <c r="TWB244" s="84"/>
      <c r="TWC244" s="82"/>
      <c r="TWD244" s="83"/>
      <c r="TWE244" s="82"/>
      <c r="TWF244" s="84"/>
      <c r="TWG244" s="84"/>
      <c r="TWH244" s="82"/>
      <c r="TWI244" s="83"/>
      <c r="TWJ244" s="82"/>
      <c r="TWK244" s="84"/>
      <c r="TWL244" s="84"/>
      <c r="TWM244" s="82"/>
      <c r="TWN244" s="83"/>
      <c r="TWO244" s="82"/>
      <c r="TWP244" s="84"/>
      <c r="TWQ244" s="84"/>
      <c r="TWR244" s="82"/>
      <c r="TWS244" s="83"/>
      <c r="TWT244" s="82"/>
      <c r="TWU244" s="84"/>
      <c r="TWV244" s="84"/>
      <c r="TWW244" s="82"/>
      <c r="TWX244" s="83"/>
      <c r="TWY244" s="82"/>
      <c r="TWZ244" s="84"/>
      <c r="TXA244" s="84"/>
      <c r="TXB244" s="82"/>
      <c r="TXC244" s="83"/>
      <c r="TXD244" s="82"/>
      <c r="TXE244" s="84"/>
      <c r="TXF244" s="84"/>
      <c r="TXG244" s="82"/>
      <c r="TXH244" s="83"/>
      <c r="TXI244" s="82"/>
      <c r="TXJ244" s="84"/>
      <c r="TXK244" s="84"/>
      <c r="TXL244" s="82"/>
      <c r="TXM244" s="83"/>
      <c r="TXN244" s="82"/>
      <c r="TXO244" s="84"/>
      <c r="TXP244" s="84"/>
      <c r="TXQ244" s="82"/>
      <c r="TXR244" s="83"/>
      <c r="TXS244" s="82"/>
      <c r="TXT244" s="84"/>
      <c r="TXU244" s="84"/>
      <c r="TXV244" s="82"/>
      <c r="TXW244" s="83"/>
      <c r="TXX244" s="82"/>
      <c r="TXY244" s="84"/>
      <c r="TXZ244" s="84"/>
      <c r="TYA244" s="82"/>
      <c r="TYB244" s="83"/>
      <c r="TYC244" s="82"/>
      <c r="TYD244" s="84"/>
      <c r="TYE244" s="84"/>
      <c r="TYF244" s="82"/>
      <c r="TYG244" s="83"/>
      <c r="TYH244" s="82"/>
      <c r="TYI244" s="84"/>
      <c r="TYJ244" s="84"/>
      <c r="TYK244" s="82"/>
      <c r="TYL244" s="83"/>
      <c r="TYM244" s="82"/>
      <c r="TYN244" s="84"/>
      <c r="TYO244" s="84"/>
      <c r="TYP244" s="82"/>
      <c r="TYQ244" s="83"/>
      <c r="TYR244" s="82"/>
      <c r="TYS244" s="84"/>
      <c r="TYT244" s="84"/>
      <c r="TYU244" s="82"/>
      <c r="TYV244" s="83"/>
      <c r="TYW244" s="82"/>
      <c r="TYX244" s="84"/>
      <c r="TYY244" s="84"/>
      <c r="TYZ244" s="82"/>
      <c r="TZA244" s="83"/>
      <c r="TZB244" s="82"/>
      <c r="TZC244" s="84"/>
      <c r="TZD244" s="84"/>
      <c r="TZE244" s="82"/>
      <c r="TZF244" s="83"/>
      <c r="TZG244" s="82"/>
      <c r="TZH244" s="84"/>
      <c r="TZI244" s="84"/>
      <c r="TZJ244" s="82"/>
      <c r="TZK244" s="83"/>
      <c r="TZL244" s="82"/>
      <c r="TZM244" s="84"/>
      <c r="TZN244" s="84"/>
      <c r="TZO244" s="82"/>
      <c r="TZP244" s="83"/>
      <c r="TZQ244" s="82"/>
      <c r="TZR244" s="84"/>
      <c r="TZS244" s="84"/>
      <c r="TZT244" s="82"/>
      <c r="TZU244" s="83"/>
      <c r="TZV244" s="82"/>
      <c r="TZW244" s="84"/>
      <c r="TZX244" s="84"/>
      <c r="TZY244" s="82"/>
      <c r="TZZ244" s="83"/>
      <c r="UAA244" s="82"/>
      <c r="UAB244" s="84"/>
      <c r="UAC244" s="84"/>
      <c r="UAD244" s="82"/>
      <c r="UAE244" s="83"/>
      <c r="UAF244" s="82"/>
      <c r="UAG244" s="84"/>
      <c r="UAH244" s="84"/>
      <c r="UAI244" s="82"/>
      <c r="UAJ244" s="83"/>
      <c r="UAK244" s="82"/>
      <c r="UAL244" s="84"/>
      <c r="UAM244" s="84"/>
      <c r="UAN244" s="82"/>
      <c r="UAO244" s="83"/>
      <c r="UAP244" s="82"/>
      <c r="UAQ244" s="84"/>
      <c r="UAR244" s="84"/>
      <c r="UAS244" s="82"/>
      <c r="UAT244" s="83"/>
      <c r="UAU244" s="82"/>
      <c r="UAV244" s="84"/>
      <c r="UAW244" s="84"/>
      <c r="UAX244" s="82"/>
      <c r="UAY244" s="83"/>
      <c r="UAZ244" s="82"/>
      <c r="UBA244" s="84"/>
      <c r="UBB244" s="84"/>
      <c r="UBC244" s="82"/>
      <c r="UBD244" s="83"/>
      <c r="UBE244" s="82"/>
      <c r="UBF244" s="84"/>
      <c r="UBG244" s="84"/>
      <c r="UBH244" s="82"/>
      <c r="UBI244" s="83"/>
      <c r="UBJ244" s="82"/>
      <c r="UBK244" s="84"/>
      <c r="UBL244" s="84"/>
      <c r="UBM244" s="82"/>
      <c r="UBN244" s="83"/>
      <c r="UBO244" s="82"/>
      <c r="UBP244" s="84"/>
      <c r="UBQ244" s="84"/>
      <c r="UBR244" s="82"/>
      <c r="UBS244" s="83"/>
      <c r="UBT244" s="82"/>
      <c r="UBU244" s="84"/>
      <c r="UBV244" s="84"/>
      <c r="UBW244" s="82"/>
      <c r="UBX244" s="83"/>
      <c r="UBY244" s="82"/>
      <c r="UBZ244" s="84"/>
      <c r="UCA244" s="84"/>
      <c r="UCB244" s="82"/>
      <c r="UCC244" s="83"/>
      <c r="UCD244" s="82"/>
      <c r="UCE244" s="84"/>
      <c r="UCF244" s="84"/>
      <c r="UCG244" s="82"/>
      <c r="UCH244" s="83"/>
      <c r="UCI244" s="82"/>
      <c r="UCJ244" s="84"/>
      <c r="UCK244" s="84"/>
      <c r="UCL244" s="82"/>
      <c r="UCM244" s="83"/>
      <c r="UCN244" s="82"/>
      <c r="UCO244" s="84"/>
      <c r="UCP244" s="84"/>
      <c r="UCQ244" s="82"/>
      <c r="UCR244" s="83"/>
      <c r="UCS244" s="82"/>
      <c r="UCT244" s="84"/>
      <c r="UCU244" s="84"/>
      <c r="UCV244" s="82"/>
      <c r="UCW244" s="83"/>
      <c r="UCX244" s="82"/>
      <c r="UCY244" s="84"/>
      <c r="UCZ244" s="84"/>
      <c r="UDA244" s="82"/>
      <c r="UDB244" s="83"/>
      <c r="UDC244" s="82"/>
      <c r="UDD244" s="84"/>
      <c r="UDE244" s="84"/>
      <c r="UDF244" s="82"/>
      <c r="UDG244" s="83"/>
      <c r="UDH244" s="82"/>
      <c r="UDI244" s="84"/>
      <c r="UDJ244" s="84"/>
      <c r="UDK244" s="82"/>
      <c r="UDL244" s="83"/>
      <c r="UDM244" s="82"/>
      <c r="UDN244" s="84"/>
      <c r="UDO244" s="84"/>
      <c r="UDP244" s="82"/>
      <c r="UDQ244" s="83"/>
      <c r="UDR244" s="82"/>
      <c r="UDS244" s="84"/>
      <c r="UDT244" s="84"/>
      <c r="UDU244" s="82"/>
      <c r="UDV244" s="83"/>
      <c r="UDW244" s="82"/>
      <c r="UDX244" s="84"/>
      <c r="UDY244" s="84"/>
      <c r="UDZ244" s="82"/>
      <c r="UEA244" s="83"/>
      <c r="UEB244" s="82"/>
      <c r="UEC244" s="84"/>
      <c r="UED244" s="84"/>
      <c r="UEE244" s="82"/>
      <c r="UEF244" s="83"/>
      <c r="UEG244" s="82"/>
      <c r="UEH244" s="84"/>
      <c r="UEI244" s="84"/>
      <c r="UEJ244" s="82"/>
      <c r="UEK244" s="83"/>
      <c r="UEL244" s="82"/>
      <c r="UEM244" s="84"/>
      <c r="UEN244" s="84"/>
      <c r="UEO244" s="82"/>
      <c r="UEP244" s="83"/>
      <c r="UEQ244" s="82"/>
      <c r="UER244" s="84"/>
      <c r="UES244" s="84"/>
      <c r="UET244" s="82"/>
      <c r="UEU244" s="83"/>
      <c r="UEV244" s="82"/>
      <c r="UEW244" s="84"/>
      <c r="UEX244" s="84"/>
      <c r="UEY244" s="82"/>
      <c r="UEZ244" s="83"/>
      <c r="UFA244" s="82"/>
      <c r="UFB244" s="84"/>
      <c r="UFC244" s="84"/>
      <c r="UFD244" s="82"/>
      <c r="UFE244" s="83"/>
      <c r="UFF244" s="82"/>
      <c r="UFG244" s="84"/>
      <c r="UFH244" s="84"/>
      <c r="UFI244" s="82"/>
      <c r="UFJ244" s="83"/>
      <c r="UFK244" s="82"/>
      <c r="UFL244" s="84"/>
      <c r="UFM244" s="84"/>
      <c r="UFN244" s="82"/>
      <c r="UFO244" s="83"/>
      <c r="UFP244" s="82"/>
      <c r="UFQ244" s="84"/>
      <c r="UFR244" s="84"/>
      <c r="UFS244" s="82"/>
      <c r="UFT244" s="83"/>
      <c r="UFU244" s="82"/>
      <c r="UFV244" s="84"/>
      <c r="UFW244" s="84"/>
      <c r="UFX244" s="82"/>
      <c r="UFY244" s="83"/>
      <c r="UFZ244" s="82"/>
      <c r="UGA244" s="84"/>
      <c r="UGB244" s="84"/>
      <c r="UGC244" s="82"/>
      <c r="UGD244" s="83"/>
      <c r="UGE244" s="82"/>
      <c r="UGF244" s="84"/>
      <c r="UGG244" s="84"/>
      <c r="UGH244" s="82"/>
      <c r="UGI244" s="83"/>
      <c r="UGJ244" s="82"/>
      <c r="UGK244" s="84"/>
      <c r="UGL244" s="84"/>
      <c r="UGM244" s="82"/>
      <c r="UGN244" s="83"/>
      <c r="UGO244" s="82"/>
      <c r="UGP244" s="84"/>
      <c r="UGQ244" s="84"/>
      <c r="UGR244" s="82"/>
      <c r="UGS244" s="83"/>
      <c r="UGT244" s="82"/>
      <c r="UGU244" s="84"/>
      <c r="UGV244" s="84"/>
      <c r="UGW244" s="82"/>
      <c r="UGX244" s="83"/>
      <c r="UGY244" s="82"/>
      <c r="UGZ244" s="84"/>
      <c r="UHA244" s="84"/>
      <c r="UHB244" s="82"/>
      <c r="UHC244" s="83"/>
      <c r="UHD244" s="82"/>
      <c r="UHE244" s="84"/>
      <c r="UHF244" s="84"/>
      <c r="UHG244" s="82"/>
      <c r="UHH244" s="83"/>
      <c r="UHI244" s="82"/>
      <c r="UHJ244" s="84"/>
      <c r="UHK244" s="84"/>
      <c r="UHL244" s="82"/>
      <c r="UHM244" s="83"/>
      <c r="UHN244" s="82"/>
      <c r="UHO244" s="84"/>
      <c r="UHP244" s="84"/>
      <c r="UHQ244" s="82"/>
      <c r="UHR244" s="83"/>
      <c r="UHS244" s="82"/>
      <c r="UHT244" s="84"/>
      <c r="UHU244" s="84"/>
      <c r="UHV244" s="82"/>
      <c r="UHW244" s="83"/>
      <c r="UHX244" s="82"/>
      <c r="UHY244" s="84"/>
      <c r="UHZ244" s="84"/>
      <c r="UIA244" s="82"/>
      <c r="UIB244" s="83"/>
      <c r="UIC244" s="82"/>
      <c r="UID244" s="84"/>
      <c r="UIE244" s="84"/>
      <c r="UIF244" s="82"/>
      <c r="UIG244" s="83"/>
      <c r="UIH244" s="82"/>
      <c r="UII244" s="84"/>
      <c r="UIJ244" s="84"/>
      <c r="UIK244" s="82"/>
      <c r="UIL244" s="83"/>
      <c r="UIM244" s="82"/>
      <c r="UIN244" s="84"/>
      <c r="UIO244" s="84"/>
      <c r="UIP244" s="82"/>
      <c r="UIQ244" s="83"/>
      <c r="UIR244" s="82"/>
      <c r="UIS244" s="84"/>
      <c r="UIT244" s="84"/>
      <c r="UIU244" s="82"/>
      <c r="UIV244" s="83"/>
      <c r="UIW244" s="82"/>
      <c r="UIX244" s="84"/>
      <c r="UIY244" s="84"/>
      <c r="UIZ244" s="82"/>
      <c r="UJA244" s="83"/>
      <c r="UJB244" s="82"/>
      <c r="UJC244" s="84"/>
      <c r="UJD244" s="84"/>
      <c r="UJE244" s="82"/>
      <c r="UJF244" s="83"/>
      <c r="UJG244" s="82"/>
      <c r="UJH244" s="84"/>
      <c r="UJI244" s="84"/>
      <c r="UJJ244" s="82"/>
      <c r="UJK244" s="83"/>
      <c r="UJL244" s="82"/>
      <c r="UJM244" s="84"/>
      <c r="UJN244" s="84"/>
      <c r="UJO244" s="82"/>
      <c r="UJP244" s="83"/>
      <c r="UJQ244" s="82"/>
      <c r="UJR244" s="84"/>
      <c r="UJS244" s="84"/>
      <c r="UJT244" s="82"/>
      <c r="UJU244" s="83"/>
      <c r="UJV244" s="82"/>
      <c r="UJW244" s="84"/>
      <c r="UJX244" s="84"/>
      <c r="UJY244" s="82"/>
      <c r="UJZ244" s="83"/>
      <c r="UKA244" s="82"/>
      <c r="UKB244" s="84"/>
      <c r="UKC244" s="84"/>
      <c r="UKD244" s="82"/>
      <c r="UKE244" s="83"/>
      <c r="UKF244" s="82"/>
      <c r="UKG244" s="84"/>
      <c r="UKH244" s="84"/>
      <c r="UKI244" s="82"/>
      <c r="UKJ244" s="83"/>
      <c r="UKK244" s="82"/>
      <c r="UKL244" s="84"/>
      <c r="UKM244" s="84"/>
      <c r="UKN244" s="82"/>
      <c r="UKO244" s="83"/>
      <c r="UKP244" s="82"/>
      <c r="UKQ244" s="84"/>
      <c r="UKR244" s="84"/>
      <c r="UKS244" s="82"/>
      <c r="UKT244" s="83"/>
      <c r="UKU244" s="82"/>
      <c r="UKV244" s="84"/>
      <c r="UKW244" s="84"/>
      <c r="UKX244" s="82"/>
      <c r="UKY244" s="83"/>
      <c r="UKZ244" s="82"/>
      <c r="ULA244" s="84"/>
      <c r="ULB244" s="84"/>
      <c r="ULC244" s="82"/>
      <c r="ULD244" s="83"/>
      <c r="ULE244" s="82"/>
      <c r="ULF244" s="84"/>
      <c r="ULG244" s="84"/>
      <c r="ULH244" s="82"/>
      <c r="ULI244" s="83"/>
      <c r="ULJ244" s="82"/>
      <c r="ULK244" s="84"/>
      <c r="ULL244" s="84"/>
      <c r="ULM244" s="82"/>
      <c r="ULN244" s="83"/>
      <c r="ULO244" s="82"/>
      <c r="ULP244" s="84"/>
      <c r="ULQ244" s="84"/>
      <c r="ULR244" s="82"/>
      <c r="ULS244" s="83"/>
      <c r="ULT244" s="82"/>
      <c r="ULU244" s="84"/>
      <c r="ULV244" s="84"/>
      <c r="ULW244" s="82"/>
      <c r="ULX244" s="83"/>
      <c r="ULY244" s="82"/>
      <c r="ULZ244" s="84"/>
      <c r="UMA244" s="84"/>
      <c r="UMB244" s="82"/>
      <c r="UMC244" s="83"/>
      <c r="UMD244" s="82"/>
      <c r="UME244" s="84"/>
      <c r="UMF244" s="84"/>
      <c r="UMG244" s="82"/>
      <c r="UMH244" s="83"/>
      <c r="UMI244" s="82"/>
      <c r="UMJ244" s="84"/>
      <c r="UMK244" s="84"/>
      <c r="UML244" s="82"/>
      <c r="UMM244" s="83"/>
      <c r="UMN244" s="82"/>
      <c r="UMO244" s="84"/>
      <c r="UMP244" s="84"/>
      <c r="UMQ244" s="82"/>
      <c r="UMR244" s="83"/>
      <c r="UMS244" s="82"/>
      <c r="UMT244" s="84"/>
      <c r="UMU244" s="84"/>
      <c r="UMV244" s="82"/>
      <c r="UMW244" s="83"/>
      <c r="UMX244" s="82"/>
      <c r="UMY244" s="84"/>
      <c r="UMZ244" s="84"/>
      <c r="UNA244" s="82"/>
      <c r="UNB244" s="83"/>
      <c r="UNC244" s="82"/>
      <c r="UND244" s="84"/>
      <c r="UNE244" s="84"/>
      <c r="UNF244" s="82"/>
      <c r="UNG244" s="83"/>
      <c r="UNH244" s="82"/>
      <c r="UNI244" s="84"/>
      <c r="UNJ244" s="84"/>
      <c r="UNK244" s="82"/>
      <c r="UNL244" s="83"/>
      <c r="UNM244" s="82"/>
      <c r="UNN244" s="84"/>
      <c r="UNO244" s="84"/>
      <c r="UNP244" s="82"/>
      <c r="UNQ244" s="83"/>
      <c r="UNR244" s="82"/>
      <c r="UNS244" s="84"/>
      <c r="UNT244" s="84"/>
      <c r="UNU244" s="82"/>
      <c r="UNV244" s="83"/>
      <c r="UNW244" s="82"/>
      <c r="UNX244" s="84"/>
      <c r="UNY244" s="84"/>
      <c r="UNZ244" s="82"/>
      <c r="UOA244" s="83"/>
      <c r="UOB244" s="82"/>
      <c r="UOC244" s="84"/>
      <c r="UOD244" s="84"/>
      <c r="UOE244" s="82"/>
      <c r="UOF244" s="83"/>
      <c r="UOG244" s="82"/>
      <c r="UOH244" s="84"/>
      <c r="UOI244" s="84"/>
      <c r="UOJ244" s="82"/>
      <c r="UOK244" s="83"/>
      <c r="UOL244" s="82"/>
      <c r="UOM244" s="84"/>
      <c r="UON244" s="84"/>
      <c r="UOO244" s="82"/>
      <c r="UOP244" s="83"/>
      <c r="UOQ244" s="82"/>
      <c r="UOR244" s="84"/>
      <c r="UOS244" s="84"/>
      <c r="UOT244" s="82"/>
      <c r="UOU244" s="83"/>
      <c r="UOV244" s="82"/>
      <c r="UOW244" s="84"/>
      <c r="UOX244" s="84"/>
      <c r="UOY244" s="82"/>
      <c r="UOZ244" s="83"/>
      <c r="UPA244" s="82"/>
      <c r="UPB244" s="84"/>
      <c r="UPC244" s="84"/>
      <c r="UPD244" s="82"/>
      <c r="UPE244" s="83"/>
      <c r="UPF244" s="82"/>
      <c r="UPG244" s="84"/>
      <c r="UPH244" s="84"/>
      <c r="UPI244" s="82"/>
      <c r="UPJ244" s="83"/>
      <c r="UPK244" s="82"/>
      <c r="UPL244" s="84"/>
      <c r="UPM244" s="84"/>
      <c r="UPN244" s="82"/>
      <c r="UPO244" s="83"/>
      <c r="UPP244" s="82"/>
      <c r="UPQ244" s="84"/>
      <c r="UPR244" s="84"/>
      <c r="UPS244" s="82"/>
      <c r="UPT244" s="83"/>
      <c r="UPU244" s="82"/>
      <c r="UPV244" s="84"/>
      <c r="UPW244" s="84"/>
      <c r="UPX244" s="82"/>
      <c r="UPY244" s="83"/>
      <c r="UPZ244" s="82"/>
      <c r="UQA244" s="84"/>
      <c r="UQB244" s="84"/>
      <c r="UQC244" s="82"/>
      <c r="UQD244" s="83"/>
      <c r="UQE244" s="82"/>
      <c r="UQF244" s="84"/>
      <c r="UQG244" s="84"/>
      <c r="UQH244" s="82"/>
      <c r="UQI244" s="83"/>
      <c r="UQJ244" s="82"/>
      <c r="UQK244" s="84"/>
      <c r="UQL244" s="84"/>
      <c r="UQM244" s="82"/>
      <c r="UQN244" s="83"/>
      <c r="UQO244" s="82"/>
      <c r="UQP244" s="84"/>
      <c r="UQQ244" s="84"/>
      <c r="UQR244" s="82"/>
      <c r="UQS244" s="83"/>
      <c r="UQT244" s="82"/>
      <c r="UQU244" s="84"/>
      <c r="UQV244" s="84"/>
      <c r="UQW244" s="82"/>
      <c r="UQX244" s="83"/>
      <c r="UQY244" s="82"/>
      <c r="UQZ244" s="84"/>
      <c r="URA244" s="84"/>
      <c r="URB244" s="82"/>
      <c r="URC244" s="83"/>
      <c r="URD244" s="82"/>
      <c r="URE244" s="84"/>
      <c r="URF244" s="84"/>
      <c r="URG244" s="82"/>
      <c r="URH244" s="83"/>
      <c r="URI244" s="82"/>
      <c r="URJ244" s="84"/>
      <c r="URK244" s="84"/>
      <c r="URL244" s="82"/>
      <c r="URM244" s="83"/>
      <c r="URN244" s="82"/>
      <c r="URO244" s="84"/>
      <c r="URP244" s="84"/>
      <c r="URQ244" s="82"/>
      <c r="URR244" s="83"/>
      <c r="URS244" s="82"/>
      <c r="URT244" s="84"/>
      <c r="URU244" s="84"/>
      <c r="URV244" s="82"/>
      <c r="URW244" s="83"/>
      <c r="URX244" s="82"/>
      <c r="URY244" s="84"/>
      <c r="URZ244" s="84"/>
      <c r="USA244" s="82"/>
      <c r="USB244" s="83"/>
      <c r="USC244" s="82"/>
      <c r="USD244" s="84"/>
      <c r="USE244" s="84"/>
      <c r="USF244" s="82"/>
      <c r="USG244" s="83"/>
      <c r="USH244" s="82"/>
      <c r="USI244" s="84"/>
      <c r="USJ244" s="84"/>
      <c r="USK244" s="82"/>
      <c r="USL244" s="83"/>
      <c r="USM244" s="82"/>
      <c r="USN244" s="84"/>
      <c r="USO244" s="84"/>
      <c r="USP244" s="82"/>
      <c r="USQ244" s="83"/>
      <c r="USR244" s="82"/>
      <c r="USS244" s="84"/>
      <c r="UST244" s="84"/>
      <c r="USU244" s="82"/>
      <c r="USV244" s="83"/>
      <c r="USW244" s="82"/>
      <c r="USX244" s="84"/>
      <c r="USY244" s="84"/>
      <c r="USZ244" s="82"/>
      <c r="UTA244" s="83"/>
      <c r="UTB244" s="82"/>
      <c r="UTC244" s="84"/>
      <c r="UTD244" s="84"/>
      <c r="UTE244" s="82"/>
      <c r="UTF244" s="83"/>
      <c r="UTG244" s="82"/>
      <c r="UTH244" s="84"/>
      <c r="UTI244" s="84"/>
      <c r="UTJ244" s="82"/>
      <c r="UTK244" s="83"/>
      <c r="UTL244" s="82"/>
      <c r="UTM244" s="84"/>
      <c r="UTN244" s="84"/>
      <c r="UTO244" s="82"/>
      <c r="UTP244" s="83"/>
      <c r="UTQ244" s="82"/>
      <c r="UTR244" s="84"/>
      <c r="UTS244" s="84"/>
      <c r="UTT244" s="82"/>
      <c r="UTU244" s="83"/>
      <c r="UTV244" s="82"/>
      <c r="UTW244" s="84"/>
      <c r="UTX244" s="84"/>
      <c r="UTY244" s="82"/>
      <c r="UTZ244" s="83"/>
      <c r="UUA244" s="82"/>
      <c r="UUB244" s="84"/>
      <c r="UUC244" s="84"/>
      <c r="UUD244" s="82"/>
      <c r="UUE244" s="83"/>
      <c r="UUF244" s="82"/>
      <c r="UUG244" s="84"/>
      <c r="UUH244" s="84"/>
      <c r="UUI244" s="82"/>
      <c r="UUJ244" s="83"/>
      <c r="UUK244" s="82"/>
      <c r="UUL244" s="84"/>
      <c r="UUM244" s="84"/>
      <c r="UUN244" s="82"/>
      <c r="UUO244" s="83"/>
      <c r="UUP244" s="82"/>
      <c r="UUQ244" s="84"/>
      <c r="UUR244" s="84"/>
      <c r="UUS244" s="82"/>
      <c r="UUT244" s="83"/>
      <c r="UUU244" s="82"/>
      <c r="UUV244" s="84"/>
      <c r="UUW244" s="84"/>
      <c r="UUX244" s="82"/>
      <c r="UUY244" s="83"/>
      <c r="UUZ244" s="82"/>
      <c r="UVA244" s="84"/>
      <c r="UVB244" s="84"/>
      <c r="UVC244" s="82"/>
      <c r="UVD244" s="83"/>
      <c r="UVE244" s="82"/>
      <c r="UVF244" s="84"/>
      <c r="UVG244" s="84"/>
      <c r="UVH244" s="82"/>
      <c r="UVI244" s="83"/>
      <c r="UVJ244" s="82"/>
      <c r="UVK244" s="84"/>
      <c r="UVL244" s="84"/>
      <c r="UVM244" s="82"/>
      <c r="UVN244" s="83"/>
      <c r="UVO244" s="82"/>
      <c r="UVP244" s="84"/>
      <c r="UVQ244" s="84"/>
      <c r="UVR244" s="82"/>
      <c r="UVS244" s="83"/>
      <c r="UVT244" s="82"/>
      <c r="UVU244" s="84"/>
      <c r="UVV244" s="84"/>
      <c r="UVW244" s="82"/>
      <c r="UVX244" s="83"/>
      <c r="UVY244" s="82"/>
      <c r="UVZ244" s="84"/>
      <c r="UWA244" s="84"/>
      <c r="UWB244" s="82"/>
      <c r="UWC244" s="83"/>
      <c r="UWD244" s="82"/>
      <c r="UWE244" s="84"/>
      <c r="UWF244" s="84"/>
      <c r="UWG244" s="82"/>
      <c r="UWH244" s="83"/>
      <c r="UWI244" s="82"/>
      <c r="UWJ244" s="84"/>
      <c r="UWK244" s="84"/>
      <c r="UWL244" s="82"/>
      <c r="UWM244" s="83"/>
      <c r="UWN244" s="82"/>
      <c r="UWO244" s="84"/>
      <c r="UWP244" s="84"/>
      <c r="UWQ244" s="82"/>
      <c r="UWR244" s="83"/>
      <c r="UWS244" s="82"/>
      <c r="UWT244" s="84"/>
      <c r="UWU244" s="84"/>
      <c r="UWV244" s="82"/>
      <c r="UWW244" s="83"/>
      <c r="UWX244" s="82"/>
      <c r="UWY244" s="84"/>
      <c r="UWZ244" s="84"/>
      <c r="UXA244" s="82"/>
      <c r="UXB244" s="83"/>
      <c r="UXC244" s="82"/>
      <c r="UXD244" s="84"/>
      <c r="UXE244" s="84"/>
      <c r="UXF244" s="82"/>
      <c r="UXG244" s="83"/>
      <c r="UXH244" s="82"/>
      <c r="UXI244" s="84"/>
      <c r="UXJ244" s="84"/>
      <c r="UXK244" s="82"/>
      <c r="UXL244" s="83"/>
      <c r="UXM244" s="82"/>
      <c r="UXN244" s="84"/>
      <c r="UXO244" s="84"/>
      <c r="UXP244" s="82"/>
      <c r="UXQ244" s="83"/>
      <c r="UXR244" s="82"/>
      <c r="UXS244" s="84"/>
      <c r="UXT244" s="84"/>
      <c r="UXU244" s="82"/>
      <c r="UXV244" s="83"/>
      <c r="UXW244" s="82"/>
      <c r="UXX244" s="84"/>
      <c r="UXY244" s="84"/>
      <c r="UXZ244" s="82"/>
      <c r="UYA244" s="83"/>
      <c r="UYB244" s="82"/>
      <c r="UYC244" s="84"/>
      <c r="UYD244" s="84"/>
      <c r="UYE244" s="82"/>
      <c r="UYF244" s="83"/>
      <c r="UYG244" s="82"/>
      <c r="UYH244" s="84"/>
      <c r="UYI244" s="84"/>
      <c r="UYJ244" s="82"/>
      <c r="UYK244" s="83"/>
      <c r="UYL244" s="82"/>
      <c r="UYM244" s="84"/>
      <c r="UYN244" s="84"/>
      <c r="UYO244" s="82"/>
      <c r="UYP244" s="83"/>
      <c r="UYQ244" s="82"/>
      <c r="UYR244" s="84"/>
      <c r="UYS244" s="84"/>
      <c r="UYT244" s="82"/>
      <c r="UYU244" s="83"/>
      <c r="UYV244" s="82"/>
      <c r="UYW244" s="84"/>
      <c r="UYX244" s="84"/>
      <c r="UYY244" s="82"/>
      <c r="UYZ244" s="83"/>
      <c r="UZA244" s="82"/>
      <c r="UZB244" s="84"/>
      <c r="UZC244" s="84"/>
      <c r="UZD244" s="82"/>
      <c r="UZE244" s="83"/>
      <c r="UZF244" s="82"/>
      <c r="UZG244" s="84"/>
      <c r="UZH244" s="84"/>
      <c r="UZI244" s="82"/>
      <c r="UZJ244" s="83"/>
      <c r="UZK244" s="82"/>
      <c r="UZL244" s="84"/>
      <c r="UZM244" s="84"/>
      <c r="UZN244" s="82"/>
      <c r="UZO244" s="83"/>
      <c r="UZP244" s="82"/>
      <c r="UZQ244" s="84"/>
      <c r="UZR244" s="84"/>
      <c r="UZS244" s="82"/>
      <c r="UZT244" s="83"/>
      <c r="UZU244" s="82"/>
      <c r="UZV244" s="84"/>
      <c r="UZW244" s="84"/>
      <c r="UZX244" s="82"/>
      <c r="UZY244" s="83"/>
      <c r="UZZ244" s="82"/>
      <c r="VAA244" s="84"/>
      <c r="VAB244" s="84"/>
      <c r="VAC244" s="82"/>
      <c r="VAD244" s="83"/>
      <c r="VAE244" s="82"/>
      <c r="VAF244" s="84"/>
      <c r="VAG244" s="84"/>
      <c r="VAH244" s="82"/>
      <c r="VAI244" s="83"/>
      <c r="VAJ244" s="82"/>
      <c r="VAK244" s="84"/>
      <c r="VAL244" s="84"/>
      <c r="VAM244" s="82"/>
      <c r="VAN244" s="83"/>
      <c r="VAO244" s="82"/>
      <c r="VAP244" s="84"/>
      <c r="VAQ244" s="84"/>
      <c r="VAR244" s="82"/>
      <c r="VAS244" s="83"/>
      <c r="VAT244" s="82"/>
      <c r="VAU244" s="84"/>
      <c r="VAV244" s="84"/>
      <c r="VAW244" s="82"/>
      <c r="VAX244" s="83"/>
      <c r="VAY244" s="82"/>
      <c r="VAZ244" s="84"/>
      <c r="VBA244" s="84"/>
      <c r="VBB244" s="82"/>
      <c r="VBC244" s="83"/>
      <c r="VBD244" s="82"/>
      <c r="VBE244" s="84"/>
      <c r="VBF244" s="84"/>
      <c r="VBG244" s="82"/>
      <c r="VBH244" s="83"/>
      <c r="VBI244" s="82"/>
      <c r="VBJ244" s="84"/>
      <c r="VBK244" s="84"/>
      <c r="VBL244" s="82"/>
      <c r="VBM244" s="83"/>
      <c r="VBN244" s="82"/>
      <c r="VBO244" s="84"/>
      <c r="VBP244" s="84"/>
      <c r="VBQ244" s="82"/>
      <c r="VBR244" s="83"/>
      <c r="VBS244" s="82"/>
      <c r="VBT244" s="84"/>
      <c r="VBU244" s="84"/>
      <c r="VBV244" s="82"/>
      <c r="VBW244" s="83"/>
      <c r="VBX244" s="82"/>
      <c r="VBY244" s="84"/>
      <c r="VBZ244" s="84"/>
      <c r="VCA244" s="82"/>
      <c r="VCB244" s="83"/>
      <c r="VCC244" s="82"/>
      <c r="VCD244" s="84"/>
      <c r="VCE244" s="84"/>
      <c r="VCF244" s="82"/>
      <c r="VCG244" s="83"/>
      <c r="VCH244" s="82"/>
      <c r="VCI244" s="84"/>
      <c r="VCJ244" s="84"/>
      <c r="VCK244" s="82"/>
      <c r="VCL244" s="83"/>
      <c r="VCM244" s="82"/>
      <c r="VCN244" s="84"/>
      <c r="VCO244" s="84"/>
      <c r="VCP244" s="82"/>
      <c r="VCQ244" s="83"/>
      <c r="VCR244" s="82"/>
      <c r="VCS244" s="84"/>
      <c r="VCT244" s="84"/>
      <c r="VCU244" s="82"/>
      <c r="VCV244" s="83"/>
      <c r="VCW244" s="82"/>
      <c r="VCX244" s="84"/>
      <c r="VCY244" s="84"/>
      <c r="VCZ244" s="82"/>
      <c r="VDA244" s="83"/>
      <c r="VDB244" s="82"/>
      <c r="VDC244" s="84"/>
      <c r="VDD244" s="84"/>
      <c r="VDE244" s="82"/>
      <c r="VDF244" s="83"/>
      <c r="VDG244" s="82"/>
      <c r="VDH244" s="84"/>
      <c r="VDI244" s="84"/>
      <c r="VDJ244" s="82"/>
      <c r="VDK244" s="83"/>
      <c r="VDL244" s="82"/>
      <c r="VDM244" s="84"/>
      <c r="VDN244" s="84"/>
      <c r="VDO244" s="82"/>
      <c r="VDP244" s="83"/>
      <c r="VDQ244" s="82"/>
      <c r="VDR244" s="84"/>
      <c r="VDS244" s="84"/>
      <c r="VDT244" s="82"/>
      <c r="VDU244" s="83"/>
      <c r="VDV244" s="82"/>
      <c r="VDW244" s="84"/>
      <c r="VDX244" s="84"/>
      <c r="VDY244" s="82"/>
      <c r="VDZ244" s="83"/>
      <c r="VEA244" s="82"/>
      <c r="VEB244" s="84"/>
      <c r="VEC244" s="84"/>
      <c r="VED244" s="82"/>
      <c r="VEE244" s="83"/>
      <c r="VEF244" s="82"/>
      <c r="VEG244" s="84"/>
      <c r="VEH244" s="84"/>
      <c r="VEI244" s="82"/>
      <c r="VEJ244" s="83"/>
      <c r="VEK244" s="82"/>
      <c r="VEL244" s="84"/>
      <c r="VEM244" s="84"/>
      <c r="VEN244" s="82"/>
      <c r="VEO244" s="83"/>
      <c r="VEP244" s="82"/>
      <c r="VEQ244" s="84"/>
      <c r="VER244" s="84"/>
      <c r="VES244" s="82"/>
      <c r="VET244" s="83"/>
      <c r="VEU244" s="82"/>
      <c r="VEV244" s="84"/>
      <c r="VEW244" s="84"/>
      <c r="VEX244" s="82"/>
      <c r="VEY244" s="83"/>
      <c r="VEZ244" s="82"/>
      <c r="VFA244" s="84"/>
      <c r="VFB244" s="84"/>
      <c r="VFC244" s="82"/>
      <c r="VFD244" s="83"/>
      <c r="VFE244" s="82"/>
      <c r="VFF244" s="84"/>
      <c r="VFG244" s="84"/>
      <c r="VFH244" s="82"/>
      <c r="VFI244" s="83"/>
      <c r="VFJ244" s="82"/>
      <c r="VFK244" s="84"/>
      <c r="VFL244" s="84"/>
      <c r="VFM244" s="82"/>
      <c r="VFN244" s="83"/>
      <c r="VFO244" s="82"/>
      <c r="VFP244" s="84"/>
      <c r="VFQ244" s="84"/>
      <c r="VFR244" s="82"/>
      <c r="VFS244" s="83"/>
      <c r="VFT244" s="82"/>
      <c r="VFU244" s="84"/>
      <c r="VFV244" s="84"/>
      <c r="VFW244" s="82"/>
      <c r="VFX244" s="83"/>
      <c r="VFY244" s="82"/>
      <c r="VFZ244" s="84"/>
      <c r="VGA244" s="84"/>
      <c r="VGB244" s="82"/>
      <c r="VGC244" s="83"/>
      <c r="VGD244" s="82"/>
      <c r="VGE244" s="84"/>
      <c r="VGF244" s="84"/>
      <c r="VGG244" s="82"/>
      <c r="VGH244" s="83"/>
      <c r="VGI244" s="82"/>
      <c r="VGJ244" s="84"/>
      <c r="VGK244" s="84"/>
      <c r="VGL244" s="82"/>
      <c r="VGM244" s="83"/>
      <c r="VGN244" s="82"/>
      <c r="VGO244" s="84"/>
      <c r="VGP244" s="84"/>
      <c r="VGQ244" s="82"/>
      <c r="VGR244" s="83"/>
      <c r="VGS244" s="82"/>
      <c r="VGT244" s="84"/>
      <c r="VGU244" s="84"/>
      <c r="VGV244" s="82"/>
      <c r="VGW244" s="83"/>
      <c r="VGX244" s="82"/>
      <c r="VGY244" s="84"/>
      <c r="VGZ244" s="84"/>
      <c r="VHA244" s="82"/>
      <c r="VHB244" s="83"/>
      <c r="VHC244" s="82"/>
      <c r="VHD244" s="84"/>
      <c r="VHE244" s="84"/>
      <c r="VHF244" s="82"/>
      <c r="VHG244" s="83"/>
      <c r="VHH244" s="82"/>
      <c r="VHI244" s="84"/>
      <c r="VHJ244" s="84"/>
      <c r="VHK244" s="82"/>
      <c r="VHL244" s="83"/>
      <c r="VHM244" s="82"/>
      <c r="VHN244" s="84"/>
      <c r="VHO244" s="84"/>
      <c r="VHP244" s="82"/>
      <c r="VHQ244" s="83"/>
      <c r="VHR244" s="82"/>
      <c r="VHS244" s="84"/>
      <c r="VHT244" s="84"/>
      <c r="VHU244" s="82"/>
      <c r="VHV244" s="83"/>
      <c r="VHW244" s="82"/>
      <c r="VHX244" s="84"/>
      <c r="VHY244" s="84"/>
      <c r="VHZ244" s="82"/>
      <c r="VIA244" s="83"/>
      <c r="VIB244" s="82"/>
      <c r="VIC244" s="84"/>
      <c r="VID244" s="84"/>
      <c r="VIE244" s="82"/>
      <c r="VIF244" s="83"/>
      <c r="VIG244" s="82"/>
      <c r="VIH244" s="84"/>
      <c r="VII244" s="84"/>
      <c r="VIJ244" s="82"/>
      <c r="VIK244" s="83"/>
      <c r="VIL244" s="82"/>
      <c r="VIM244" s="84"/>
      <c r="VIN244" s="84"/>
      <c r="VIO244" s="82"/>
      <c r="VIP244" s="83"/>
      <c r="VIQ244" s="82"/>
      <c r="VIR244" s="84"/>
      <c r="VIS244" s="84"/>
      <c r="VIT244" s="82"/>
      <c r="VIU244" s="83"/>
      <c r="VIV244" s="82"/>
      <c r="VIW244" s="84"/>
      <c r="VIX244" s="84"/>
      <c r="VIY244" s="82"/>
      <c r="VIZ244" s="83"/>
      <c r="VJA244" s="82"/>
      <c r="VJB244" s="84"/>
      <c r="VJC244" s="84"/>
      <c r="VJD244" s="82"/>
      <c r="VJE244" s="83"/>
      <c r="VJF244" s="82"/>
      <c r="VJG244" s="84"/>
      <c r="VJH244" s="84"/>
      <c r="VJI244" s="82"/>
      <c r="VJJ244" s="83"/>
      <c r="VJK244" s="82"/>
      <c r="VJL244" s="84"/>
      <c r="VJM244" s="84"/>
      <c r="VJN244" s="82"/>
      <c r="VJO244" s="83"/>
      <c r="VJP244" s="82"/>
      <c r="VJQ244" s="84"/>
      <c r="VJR244" s="84"/>
      <c r="VJS244" s="82"/>
      <c r="VJT244" s="83"/>
      <c r="VJU244" s="82"/>
      <c r="VJV244" s="84"/>
      <c r="VJW244" s="84"/>
      <c r="VJX244" s="82"/>
      <c r="VJY244" s="83"/>
      <c r="VJZ244" s="82"/>
      <c r="VKA244" s="84"/>
      <c r="VKB244" s="84"/>
      <c r="VKC244" s="82"/>
      <c r="VKD244" s="83"/>
      <c r="VKE244" s="82"/>
      <c r="VKF244" s="84"/>
      <c r="VKG244" s="84"/>
      <c r="VKH244" s="82"/>
      <c r="VKI244" s="83"/>
      <c r="VKJ244" s="82"/>
      <c r="VKK244" s="84"/>
      <c r="VKL244" s="84"/>
      <c r="VKM244" s="82"/>
      <c r="VKN244" s="83"/>
      <c r="VKO244" s="82"/>
      <c r="VKP244" s="84"/>
      <c r="VKQ244" s="84"/>
      <c r="VKR244" s="82"/>
      <c r="VKS244" s="83"/>
      <c r="VKT244" s="82"/>
      <c r="VKU244" s="84"/>
      <c r="VKV244" s="84"/>
      <c r="VKW244" s="82"/>
      <c r="VKX244" s="83"/>
      <c r="VKY244" s="82"/>
      <c r="VKZ244" s="84"/>
      <c r="VLA244" s="84"/>
      <c r="VLB244" s="82"/>
      <c r="VLC244" s="83"/>
      <c r="VLD244" s="82"/>
      <c r="VLE244" s="84"/>
      <c r="VLF244" s="84"/>
      <c r="VLG244" s="82"/>
      <c r="VLH244" s="83"/>
      <c r="VLI244" s="82"/>
      <c r="VLJ244" s="84"/>
      <c r="VLK244" s="84"/>
      <c r="VLL244" s="82"/>
      <c r="VLM244" s="83"/>
      <c r="VLN244" s="82"/>
      <c r="VLO244" s="84"/>
      <c r="VLP244" s="84"/>
      <c r="VLQ244" s="82"/>
      <c r="VLR244" s="83"/>
      <c r="VLS244" s="82"/>
      <c r="VLT244" s="84"/>
      <c r="VLU244" s="84"/>
      <c r="VLV244" s="82"/>
      <c r="VLW244" s="83"/>
      <c r="VLX244" s="82"/>
      <c r="VLY244" s="84"/>
      <c r="VLZ244" s="84"/>
      <c r="VMA244" s="82"/>
      <c r="VMB244" s="83"/>
      <c r="VMC244" s="82"/>
      <c r="VMD244" s="84"/>
      <c r="VME244" s="84"/>
      <c r="VMF244" s="82"/>
      <c r="VMG244" s="83"/>
      <c r="VMH244" s="82"/>
      <c r="VMI244" s="84"/>
      <c r="VMJ244" s="84"/>
      <c r="VMK244" s="82"/>
      <c r="VML244" s="83"/>
      <c r="VMM244" s="82"/>
      <c r="VMN244" s="84"/>
      <c r="VMO244" s="84"/>
      <c r="VMP244" s="82"/>
      <c r="VMQ244" s="83"/>
      <c r="VMR244" s="82"/>
      <c r="VMS244" s="84"/>
      <c r="VMT244" s="84"/>
      <c r="VMU244" s="82"/>
      <c r="VMV244" s="83"/>
      <c r="VMW244" s="82"/>
      <c r="VMX244" s="84"/>
      <c r="VMY244" s="84"/>
      <c r="VMZ244" s="82"/>
      <c r="VNA244" s="83"/>
      <c r="VNB244" s="82"/>
      <c r="VNC244" s="84"/>
      <c r="VND244" s="84"/>
      <c r="VNE244" s="82"/>
      <c r="VNF244" s="83"/>
      <c r="VNG244" s="82"/>
      <c r="VNH244" s="84"/>
      <c r="VNI244" s="84"/>
      <c r="VNJ244" s="82"/>
      <c r="VNK244" s="83"/>
      <c r="VNL244" s="82"/>
      <c r="VNM244" s="84"/>
      <c r="VNN244" s="84"/>
      <c r="VNO244" s="82"/>
      <c r="VNP244" s="83"/>
      <c r="VNQ244" s="82"/>
      <c r="VNR244" s="84"/>
      <c r="VNS244" s="84"/>
      <c r="VNT244" s="82"/>
      <c r="VNU244" s="83"/>
      <c r="VNV244" s="82"/>
      <c r="VNW244" s="84"/>
      <c r="VNX244" s="84"/>
      <c r="VNY244" s="82"/>
      <c r="VNZ244" s="83"/>
      <c r="VOA244" s="82"/>
      <c r="VOB244" s="84"/>
      <c r="VOC244" s="84"/>
      <c r="VOD244" s="82"/>
      <c r="VOE244" s="83"/>
      <c r="VOF244" s="82"/>
      <c r="VOG244" s="84"/>
      <c r="VOH244" s="84"/>
      <c r="VOI244" s="82"/>
      <c r="VOJ244" s="83"/>
      <c r="VOK244" s="82"/>
      <c r="VOL244" s="84"/>
      <c r="VOM244" s="84"/>
      <c r="VON244" s="82"/>
      <c r="VOO244" s="83"/>
      <c r="VOP244" s="82"/>
      <c r="VOQ244" s="84"/>
      <c r="VOR244" s="84"/>
      <c r="VOS244" s="82"/>
      <c r="VOT244" s="83"/>
      <c r="VOU244" s="82"/>
      <c r="VOV244" s="84"/>
      <c r="VOW244" s="84"/>
      <c r="VOX244" s="82"/>
      <c r="VOY244" s="83"/>
      <c r="VOZ244" s="82"/>
      <c r="VPA244" s="84"/>
      <c r="VPB244" s="84"/>
      <c r="VPC244" s="82"/>
      <c r="VPD244" s="83"/>
      <c r="VPE244" s="82"/>
      <c r="VPF244" s="84"/>
      <c r="VPG244" s="84"/>
      <c r="VPH244" s="82"/>
      <c r="VPI244" s="83"/>
      <c r="VPJ244" s="82"/>
      <c r="VPK244" s="84"/>
      <c r="VPL244" s="84"/>
      <c r="VPM244" s="82"/>
      <c r="VPN244" s="83"/>
      <c r="VPO244" s="82"/>
      <c r="VPP244" s="84"/>
      <c r="VPQ244" s="84"/>
      <c r="VPR244" s="82"/>
      <c r="VPS244" s="83"/>
      <c r="VPT244" s="82"/>
      <c r="VPU244" s="84"/>
      <c r="VPV244" s="84"/>
      <c r="VPW244" s="82"/>
      <c r="VPX244" s="83"/>
      <c r="VPY244" s="82"/>
      <c r="VPZ244" s="84"/>
      <c r="VQA244" s="84"/>
      <c r="VQB244" s="82"/>
      <c r="VQC244" s="83"/>
      <c r="VQD244" s="82"/>
      <c r="VQE244" s="84"/>
      <c r="VQF244" s="84"/>
      <c r="VQG244" s="82"/>
      <c r="VQH244" s="83"/>
      <c r="VQI244" s="82"/>
      <c r="VQJ244" s="84"/>
      <c r="VQK244" s="84"/>
      <c r="VQL244" s="82"/>
      <c r="VQM244" s="83"/>
      <c r="VQN244" s="82"/>
      <c r="VQO244" s="84"/>
      <c r="VQP244" s="84"/>
      <c r="VQQ244" s="82"/>
      <c r="VQR244" s="83"/>
      <c r="VQS244" s="82"/>
      <c r="VQT244" s="84"/>
      <c r="VQU244" s="84"/>
      <c r="VQV244" s="82"/>
      <c r="VQW244" s="83"/>
      <c r="VQX244" s="82"/>
      <c r="VQY244" s="84"/>
      <c r="VQZ244" s="84"/>
      <c r="VRA244" s="82"/>
      <c r="VRB244" s="83"/>
      <c r="VRC244" s="82"/>
      <c r="VRD244" s="84"/>
      <c r="VRE244" s="84"/>
      <c r="VRF244" s="82"/>
      <c r="VRG244" s="83"/>
      <c r="VRH244" s="82"/>
      <c r="VRI244" s="84"/>
      <c r="VRJ244" s="84"/>
      <c r="VRK244" s="82"/>
      <c r="VRL244" s="83"/>
      <c r="VRM244" s="82"/>
      <c r="VRN244" s="84"/>
      <c r="VRO244" s="84"/>
      <c r="VRP244" s="82"/>
      <c r="VRQ244" s="83"/>
      <c r="VRR244" s="82"/>
      <c r="VRS244" s="84"/>
      <c r="VRT244" s="84"/>
      <c r="VRU244" s="82"/>
      <c r="VRV244" s="83"/>
      <c r="VRW244" s="82"/>
      <c r="VRX244" s="84"/>
      <c r="VRY244" s="84"/>
      <c r="VRZ244" s="82"/>
      <c r="VSA244" s="83"/>
      <c r="VSB244" s="82"/>
      <c r="VSC244" s="84"/>
      <c r="VSD244" s="84"/>
      <c r="VSE244" s="82"/>
      <c r="VSF244" s="83"/>
      <c r="VSG244" s="82"/>
      <c r="VSH244" s="84"/>
      <c r="VSI244" s="84"/>
      <c r="VSJ244" s="82"/>
      <c r="VSK244" s="83"/>
      <c r="VSL244" s="82"/>
      <c r="VSM244" s="84"/>
      <c r="VSN244" s="84"/>
      <c r="VSO244" s="82"/>
      <c r="VSP244" s="83"/>
      <c r="VSQ244" s="82"/>
      <c r="VSR244" s="84"/>
      <c r="VSS244" s="84"/>
      <c r="VST244" s="82"/>
      <c r="VSU244" s="83"/>
      <c r="VSV244" s="82"/>
      <c r="VSW244" s="84"/>
      <c r="VSX244" s="84"/>
      <c r="VSY244" s="82"/>
      <c r="VSZ244" s="83"/>
      <c r="VTA244" s="82"/>
      <c r="VTB244" s="84"/>
      <c r="VTC244" s="84"/>
      <c r="VTD244" s="82"/>
      <c r="VTE244" s="83"/>
      <c r="VTF244" s="82"/>
      <c r="VTG244" s="84"/>
      <c r="VTH244" s="84"/>
      <c r="VTI244" s="82"/>
      <c r="VTJ244" s="83"/>
      <c r="VTK244" s="82"/>
      <c r="VTL244" s="84"/>
      <c r="VTM244" s="84"/>
      <c r="VTN244" s="82"/>
      <c r="VTO244" s="83"/>
      <c r="VTP244" s="82"/>
      <c r="VTQ244" s="84"/>
      <c r="VTR244" s="84"/>
      <c r="VTS244" s="82"/>
      <c r="VTT244" s="83"/>
      <c r="VTU244" s="82"/>
      <c r="VTV244" s="84"/>
      <c r="VTW244" s="84"/>
      <c r="VTX244" s="82"/>
      <c r="VTY244" s="83"/>
      <c r="VTZ244" s="82"/>
      <c r="VUA244" s="84"/>
      <c r="VUB244" s="84"/>
      <c r="VUC244" s="82"/>
      <c r="VUD244" s="83"/>
      <c r="VUE244" s="82"/>
      <c r="VUF244" s="84"/>
      <c r="VUG244" s="84"/>
      <c r="VUH244" s="82"/>
      <c r="VUI244" s="83"/>
      <c r="VUJ244" s="82"/>
      <c r="VUK244" s="84"/>
      <c r="VUL244" s="84"/>
      <c r="VUM244" s="82"/>
      <c r="VUN244" s="83"/>
      <c r="VUO244" s="82"/>
      <c r="VUP244" s="84"/>
      <c r="VUQ244" s="84"/>
      <c r="VUR244" s="82"/>
      <c r="VUS244" s="83"/>
      <c r="VUT244" s="82"/>
      <c r="VUU244" s="84"/>
      <c r="VUV244" s="84"/>
      <c r="VUW244" s="82"/>
      <c r="VUX244" s="83"/>
      <c r="VUY244" s="82"/>
      <c r="VUZ244" s="84"/>
      <c r="VVA244" s="84"/>
      <c r="VVB244" s="82"/>
      <c r="VVC244" s="83"/>
      <c r="VVD244" s="82"/>
      <c r="VVE244" s="84"/>
      <c r="VVF244" s="84"/>
      <c r="VVG244" s="82"/>
      <c r="VVH244" s="83"/>
      <c r="VVI244" s="82"/>
      <c r="VVJ244" s="84"/>
      <c r="VVK244" s="84"/>
      <c r="VVL244" s="82"/>
      <c r="VVM244" s="83"/>
      <c r="VVN244" s="82"/>
      <c r="VVO244" s="84"/>
      <c r="VVP244" s="84"/>
      <c r="VVQ244" s="82"/>
      <c r="VVR244" s="83"/>
      <c r="VVS244" s="82"/>
      <c r="VVT244" s="84"/>
      <c r="VVU244" s="84"/>
      <c r="VVV244" s="82"/>
      <c r="VVW244" s="83"/>
      <c r="VVX244" s="82"/>
      <c r="VVY244" s="84"/>
      <c r="VVZ244" s="84"/>
      <c r="VWA244" s="82"/>
      <c r="VWB244" s="83"/>
      <c r="VWC244" s="82"/>
      <c r="VWD244" s="84"/>
      <c r="VWE244" s="84"/>
      <c r="VWF244" s="82"/>
      <c r="VWG244" s="83"/>
      <c r="VWH244" s="82"/>
      <c r="VWI244" s="84"/>
      <c r="VWJ244" s="84"/>
      <c r="VWK244" s="82"/>
      <c r="VWL244" s="83"/>
      <c r="VWM244" s="82"/>
      <c r="VWN244" s="84"/>
      <c r="VWO244" s="84"/>
      <c r="VWP244" s="82"/>
      <c r="VWQ244" s="83"/>
      <c r="VWR244" s="82"/>
      <c r="VWS244" s="84"/>
      <c r="VWT244" s="84"/>
      <c r="VWU244" s="82"/>
      <c r="VWV244" s="83"/>
      <c r="VWW244" s="82"/>
      <c r="VWX244" s="84"/>
      <c r="VWY244" s="84"/>
      <c r="VWZ244" s="82"/>
      <c r="VXA244" s="83"/>
      <c r="VXB244" s="82"/>
      <c r="VXC244" s="84"/>
      <c r="VXD244" s="84"/>
      <c r="VXE244" s="82"/>
      <c r="VXF244" s="83"/>
      <c r="VXG244" s="82"/>
      <c r="VXH244" s="84"/>
      <c r="VXI244" s="84"/>
      <c r="VXJ244" s="82"/>
      <c r="VXK244" s="83"/>
      <c r="VXL244" s="82"/>
      <c r="VXM244" s="84"/>
      <c r="VXN244" s="84"/>
      <c r="VXO244" s="82"/>
      <c r="VXP244" s="83"/>
      <c r="VXQ244" s="82"/>
      <c r="VXR244" s="84"/>
      <c r="VXS244" s="84"/>
      <c r="VXT244" s="82"/>
      <c r="VXU244" s="83"/>
      <c r="VXV244" s="82"/>
      <c r="VXW244" s="84"/>
      <c r="VXX244" s="84"/>
      <c r="VXY244" s="82"/>
      <c r="VXZ244" s="83"/>
      <c r="VYA244" s="82"/>
      <c r="VYB244" s="84"/>
      <c r="VYC244" s="84"/>
      <c r="VYD244" s="82"/>
      <c r="VYE244" s="83"/>
      <c r="VYF244" s="82"/>
      <c r="VYG244" s="84"/>
      <c r="VYH244" s="84"/>
      <c r="VYI244" s="82"/>
      <c r="VYJ244" s="83"/>
      <c r="VYK244" s="82"/>
      <c r="VYL244" s="84"/>
      <c r="VYM244" s="84"/>
      <c r="VYN244" s="82"/>
      <c r="VYO244" s="83"/>
      <c r="VYP244" s="82"/>
      <c r="VYQ244" s="84"/>
      <c r="VYR244" s="84"/>
      <c r="VYS244" s="82"/>
      <c r="VYT244" s="83"/>
      <c r="VYU244" s="82"/>
      <c r="VYV244" s="84"/>
      <c r="VYW244" s="84"/>
      <c r="VYX244" s="82"/>
      <c r="VYY244" s="83"/>
      <c r="VYZ244" s="82"/>
      <c r="VZA244" s="84"/>
      <c r="VZB244" s="84"/>
      <c r="VZC244" s="82"/>
      <c r="VZD244" s="83"/>
      <c r="VZE244" s="82"/>
      <c r="VZF244" s="84"/>
      <c r="VZG244" s="84"/>
      <c r="VZH244" s="82"/>
      <c r="VZI244" s="83"/>
      <c r="VZJ244" s="82"/>
      <c r="VZK244" s="84"/>
      <c r="VZL244" s="84"/>
      <c r="VZM244" s="82"/>
      <c r="VZN244" s="83"/>
      <c r="VZO244" s="82"/>
      <c r="VZP244" s="84"/>
      <c r="VZQ244" s="84"/>
      <c r="VZR244" s="82"/>
      <c r="VZS244" s="83"/>
      <c r="VZT244" s="82"/>
      <c r="VZU244" s="84"/>
      <c r="VZV244" s="84"/>
      <c r="VZW244" s="82"/>
      <c r="VZX244" s="83"/>
      <c r="VZY244" s="82"/>
      <c r="VZZ244" s="84"/>
      <c r="WAA244" s="84"/>
      <c r="WAB244" s="82"/>
      <c r="WAC244" s="83"/>
      <c r="WAD244" s="82"/>
      <c r="WAE244" s="84"/>
      <c r="WAF244" s="84"/>
      <c r="WAG244" s="82"/>
      <c r="WAH244" s="83"/>
      <c r="WAI244" s="82"/>
      <c r="WAJ244" s="84"/>
      <c r="WAK244" s="84"/>
      <c r="WAL244" s="82"/>
      <c r="WAM244" s="83"/>
      <c r="WAN244" s="82"/>
      <c r="WAO244" s="84"/>
      <c r="WAP244" s="84"/>
      <c r="WAQ244" s="82"/>
      <c r="WAR244" s="83"/>
      <c r="WAS244" s="82"/>
      <c r="WAT244" s="84"/>
      <c r="WAU244" s="84"/>
      <c r="WAV244" s="82"/>
      <c r="WAW244" s="83"/>
      <c r="WAX244" s="82"/>
      <c r="WAY244" s="84"/>
      <c r="WAZ244" s="84"/>
      <c r="WBA244" s="82"/>
      <c r="WBB244" s="83"/>
      <c r="WBC244" s="82"/>
      <c r="WBD244" s="84"/>
      <c r="WBE244" s="84"/>
      <c r="WBF244" s="82"/>
      <c r="WBG244" s="83"/>
      <c r="WBH244" s="82"/>
      <c r="WBI244" s="84"/>
      <c r="WBJ244" s="84"/>
      <c r="WBK244" s="82"/>
      <c r="WBL244" s="83"/>
      <c r="WBM244" s="82"/>
      <c r="WBN244" s="84"/>
      <c r="WBO244" s="84"/>
      <c r="WBP244" s="82"/>
      <c r="WBQ244" s="83"/>
      <c r="WBR244" s="82"/>
      <c r="WBS244" s="84"/>
      <c r="WBT244" s="84"/>
      <c r="WBU244" s="82"/>
      <c r="WBV244" s="83"/>
      <c r="WBW244" s="82"/>
      <c r="WBX244" s="84"/>
      <c r="WBY244" s="84"/>
      <c r="WBZ244" s="82"/>
      <c r="WCA244" s="83"/>
      <c r="WCB244" s="82"/>
      <c r="WCC244" s="84"/>
      <c r="WCD244" s="84"/>
      <c r="WCE244" s="82"/>
      <c r="WCF244" s="83"/>
      <c r="WCG244" s="82"/>
      <c r="WCH244" s="84"/>
      <c r="WCI244" s="84"/>
      <c r="WCJ244" s="82"/>
      <c r="WCK244" s="83"/>
      <c r="WCL244" s="82"/>
      <c r="WCM244" s="84"/>
      <c r="WCN244" s="84"/>
      <c r="WCO244" s="82"/>
      <c r="WCP244" s="83"/>
      <c r="WCQ244" s="82"/>
      <c r="WCR244" s="84"/>
      <c r="WCS244" s="84"/>
      <c r="WCT244" s="82"/>
      <c r="WCU244" s="83"/>
      <c r="WCV244" s="82"/>
      <c r="WCW244" s="84"/>
      <c r="WCX244" s="84"/>
      <c r="WCY244" s="82"/>
      <c r="WCZ244" s="83"/>
      <c r="WDA244" s="82"/>
      <c r="WDB244" s="84"/>
      <c r="WDC244" s="84"/>
      <c r="WDD244" s="82"/>
      <c r="WDE244" s="83"/>
      <c r="WDF244" s="82"/>
      <c r="WDG244" s="84"/>
      <c r="WDH244" s="84"/>
      <c r="WDI244" s="82"/>
      <c r="WDJ244" s="83"/>
      <c r="WDK244" s="82"/>
      <c r="WDL244" s="84"/>
      <c r="WDM244" s="84"/>
      <c r="WDN244" s="82"/>
      <c r="WDO244" s="83"/>
      <c r="WDP244" s="82"/>
      <c r="WDQ244" s="84"/>
      <c r="WDR244" s="84"/>
      <c r="WDS244" s="82"/>
      <c r="WDT244" s="83"/>
      <c r="WDU244" s="82"/>
      <c r="WDV244" s="84"/>
      <c r="WDW244" s="84"/>
      <c r="WDX244" s="82"/>
      <c r="WDY244" s="83"/>
      <c r="WDZ244" s="82"/>
      <c r="WEA244" s="84"/>
      <c r="WEB244" s="84"/>
      <c r="WEC244" s="82"/>
      <c r="WED244" s="83"/>
      <c r="WEE244" s="82"/>
      <c r="WEF244" s="84"/>
      <c r="WEG244" s="84"/>
      <c r="WEH244" s="82"/>
      <c r="WEI244" s="83"/>
      <c r="WEJ244" s="82"/>
      <c r="WEK244" s="84"/>
      <c r="WEL244" s="84"/>
      <c r="WEM244" s="82"/>
      <c r="WEN244" s="83"/>
      <c r="WEO244" s="82"/>
      <c r="WEP244" s="84"/>
      <c r="WEQ244" s="84"/>
      <c r="WER244" s="82"/>
      <c r="WES244" s="83"/>
      <c r="WET244" s="82"/>
      <c r="WEU244" s="84"/>
      <c r="WEV244" s="84"/>
      <c r="WEW244" s="82"/>
      <c r="WEX244" s="83"/>
      <c r="WEY244" s="82"/>
      <c r="WEZ244" s="84"/>
      <c r="WFA244" s="84"/>
      <c r="WFB244" s="82"/>
      <c r="WFC244" s="83"/>
      <c r="WFD244" s="82"/>
      <c r="WFE244" s="84"/>
      <c r="WFF244" s="84"/>
      <c r="WFG244" s="82"/>
      <c r="WFH244" s="83"/>
      <c r="WFI244" s="82"/>
      <c r="WFJ244" s="84"/>
      <c r="WFK244" s="84"/>
      <c r="WFL244" s="82"/>
      <c r="WFM244" s="83"/>
      <c r="WFN244" s="82"/>
      <c r="WFO244" s="84"/>
      <c r="WFP244" s="84"/>
      <c r="WFQ244" s="82"/>
      <c r="WFR244" s="83"/>
      <c r="WFS244" s="82"/>
      <c r="WFT244" s="84"/>
      <c r="WFU244" s="84"/>
      <c r="WFV244" s="82"/>
      <c r="WFW244" s="83"/>
      <c r="WFX244" s="82"/>
      <c r="WFY244" s="84"/>
      <c r="WFZ244" s="84"/>
      <c r="WGA244" s="82"/>
      <c r="WGB244" s="83"/>
      <c r="WGC244" s="82"/>
      <c r="WGD244" s="84"/>
      <c r="WGE244" s="84"/>
      <c r="WGF244" s="82"/>
      <c r="WGG244" s="83"/>
      <c r="WGH244" s="82"/>
      <c r="WGI244" s="84"/>
      <c r="WGJ244" s="84"/>
      <c r="WGK244" s="82"/>
      <c r="WGL244" s="83"/>
      <c r="WGM244" s="82"/>
      <c r="WGN244" s="84"/>
      <c r="WGO244" s="84"/>
      <c r="WGP244" s="82"/>
      <c r="WGQ244" s="83"/>
      <c r="WGR244" s="82"/>
      <c r="WGS244" s="84"/>
      <c r="WGT244" s="84"/>
      <c r="WGU244" s="82"/>
      <c r="WGV244" s="83"/>
      <c r="WGW244" s="82"/>
      <c r="WGX244" s="84"/>
      <c r="WGY244" s="84"/>
      <c r="WGZ244" s="82"/>
      <c r="WHA244" s="83"/>
      <c r="WHB244" s="82"/>
      <c r="WHC244" s="84"/>
      <c r="WHD244" s="84"/>
      <c r="WHE244" s="82"/>
      <c r="WHF244" s="83"/>
      <c r="WHG244" s="82"/>
      <c r="WHH244" s="84"/>
      <c r="WHI244" s="84"/>
      <c r="WHJ244" s="82"/>
      <c r="WHK244" s="83"/>
      <c r="WHL244" s="82"/>
      <c r="WHM244" s="84"/>
      <c r="WHN244" s="84"/>
      <c r="WHO244" s="82"/>
      <c r="WHP244" s="83"/>
      <c r="WHQ244" s="82"/>
      <c r="WHR244" s="84"/>
      <c r="WHS244" s="84"/>
      <c r="WHT244" s="82"/>
      <c r="WHU244" s="83"/>
      <c r="WHV244" s="82"/>
      <c r="WHW244" s="84"/>
      <c r="WHX244" s="84"/>
      <c r="WHY244" s="82"/>
      <c r="WHZ244" s="83"/>
      <c r="WIA244" s="82"/>
      <c r="WIB244" s="84"/>
      <c r="WIC244" s="84"/>
      <c r="WID244" s="82"/>
      <c r="WIE244" s="83"/>
      <c r="WIF244" s="82"/>
      <c r="WIG244" s="84"/>
      <c r="WIH244" s="84"/>
      <c r="WII244" s="82"/>
      <c r="WIJ244" s="83"/>
      <c r="WIK244" s="82"/>
      <c r="WIL244" s="84"/>
      <c r="WIM244" s="84"/>
      <c r="WIN244" s="82"/>
      <c r="WIO244" s="83"/>
      <c r="WIP244" s="82"/>
      <c r="WIQ244" s="84"/>
      <c r="WIR244" s="84"/>
      <c r="WIS244" s="82"/>
      <c r="WIT244" s="83"/>
      <c r="WIU244" s="82"/>
      <c r="WIV244" s="84"/>
      <c r="WIW244" s="84"/>
      <c r="WIX244" s="82"/>
      <c r="WIY244" s="83"/>
      <c r="WIZ244" s="82"/>
      <c r="WJA244" s="84"/>
      <c r="WJB244" s="84"/>
      <c r="WJC244" s="82"/>
      <c r="WJD244" s="83"/>
      <c r="WJE244" s="82"/>
      <c r="WJF244" s="84"/>
      <c r="WJG244" s="84"/>
      <c r="WJH244" s="82"/>
      <c r="WJI244" s="83"/>
      <c r="WJJ244" s="82"/>
      <c r="WJK244" s="84"/>
      <c r="WJL244" s="84"/>
      <c r="WJM244" s="82"/>
      <c r="WJN244" s="83"/>
      <c r="WJO244" s="82"/>
      <c r="WJP244" s="84"/>
      <c r="WJQ244" s="84"/>
      <c r="WJR244" s="82"/>
      <c r="WJS244" s="83"/>
      <c r="WJT244" s="82"/>
      <c r="WJU244" s="84"/>
      <c r="WJV244" s="84"/>
      <c r="WJW244" s="82"/>
      <c r="WJX244" s="83"/>
      <c r="WJY244" s="82"/>
      <c r="WJZ244" s="84"/>
      <c r="WKA244" s="84"/>
      <c r="WKB244" s="82"/>
      <c r="WKC244" s="83"/>
      <c r="WKD244" s="82"/>
      <c r="WKE244" s="84"/>
      <c r="WKF244" s="84"/>
      <c r="WKG244" s="82"/>
      <c r="WKH244" s="83"/>
      <c r="WKI244" s="82"/>
      <c r="WKJ244" s="84"/>
      <c r="WKK244" s="84"/>
      <c r="WKL244" s="82"/>
      <c r="WKM244" s="83"/>
      <c r="WKN244" s="82"/>
      <c r="WKO244" s="84"/>
      <c r="WKP244" s="84"/>
      <c r="WKQ244" s="82"/>
      <c r="WKR244" s="83"/>
      <c r="WKS244" s="82"/>
      <c r="WKT244" s="84"/>
      <c r="WKU244" s="84"/>
      <c r="WKV244" s="82"/>
      <c r="WKW244" s="83"/>
      <c r="WKX244" s="82"/>
      <c r="WKY244" s="84"/>
      <c r="WKZ244" s="84"/>
      <c r="WLA244" s="82"/>
      <c r="WLB244" s="83"/>
      <c r="WLC244" s="82"/>
      <c r="WLD244" s="84"/>
      <c r="WLE244" s="84"/>
      <c r="WLF244" s="82"/>
      <c r="WLG244" s="83"/>
      <c r="WLH244" s="82"/>
      <c r="WLI244" s="84"/>
      <c r="WLJ244" s="84"/>
      <c r="WLK244" s="82"/>
      <c r="WLL244" s="83"/>
      <c r="WLM244" s="82"/>
      <c r="WLN244" s="84"/>
      <c r="WLO244" s="84"/>
      <c r="WLP244" s="82"/>
      <c r="WLQ244" s="83"/>
      <c r="WLR244" s="82"/>
      <c r="WLS244" s="84"/>
      <c r="WLT244" s="84"/>
      <c r="WLU244" s="82"/>
      <c r="WLV244" s="83"/>
      <c r="WLW244" s="82"/>
      <c r="WLX244" s="84"/>
      <c r="WLY244" s="84"/>
      <c r="WLZ244" s="82"/>
      <c r="WMA244" s="83"/>
      <c r="WMB244" s="82"/>
      <c r="WMC244" s="84"/>
      <c r="WMD244" s="84"/>
      <c r="WME244" s="82"/>
      <c r="WMF244" s="83"/>
      <c r="WMG244" s="82"/>
      <c r="WMH244" s="84"/>
      <c r="WMI244" s="84"/>
      <c r="WMJ244" s="82"/>
      <c r="WMK244" s="83"/>
      <c r="WML244" s="82"/>
      <c r="WMM244" s="84"/>
      <c r="WMN244" s="84"/>
      <c r="WMO244" s="82"/>
      <c r="WMP244" s="83"/>
      <c r="WMQ244" s="82"/>
      <c r="WMR244" s="84"/>
      <c r="WMS244" s="84"/>
      <c r="WMT244" s="82"/>
      <c r="WMU244" s="83"/>
      <c r="WMV244" s="82"/>
      <c r="WMW244" s="84"/>
      <c r="WMX244" s="84"/>
      <c r="WMY244" s="82"/>
      <c r="WMZ244" s="83"/>
      <c r="WNA244" s="82"/>
      <c r="WNB244" s="84"/>
      <c r="WNC244" s="84"/>
      <c r="WND244" s="82"/>
      <c r="WNE244" s="83"/>
      <c r="WNF244" s="82"/>
      <c r="WNG244" s="84"/>
      <c r="WNH244" s="84"/>
      <c r="WNI244" s="82"/>
      <c r="WNJ244" s="83"/>
      <c r="WNK244" s="82"/>
      <c r="WNL244" s="84"/>
      <c r="WNM244" s="84"/>
      <c r="WNN244" s="82"/>
      <c r="WNO244" s="83"/>
      <c r="WNP244" s="82"/>
      <c r="WNQ244" s="84"/>
      <c r="WNR244" s="84"/>
      <c r="WNS244" s="82"/>
      <c r="WNT244" s="83"/>
      <c r="WNU244" s="82"/>
      <c r="WNV244" s="84"/>
      <c r="WNW244" s="84"/>
      <c r="WNX244" s="82"/>
      <c r="WNY244" s="83"/>
      <c r="WNZ244" s="82"/>
      <c r="WOA244" s="84"/>
      <c r="WOB244" s="84"/>
      <c r="WOC244" s="82"/>
      <c r="WOD244" s="83"/>
      <c r="WOE244" s="82"/>
      <c r="WOF244" s="84"/>
      <c r="WOG244" s="84"/>
      <c r="WOH244" s="82"/>
      <c r="WOI244" s="83"/>
      <c r="WOJ244" s="82"/>
      <c r="WOK244" s="84"/>
      <c r="WOL244" s="84"/>
      <c r="WOM244" s="82"/>
      <c r="WON244" s="83"/>
      <c r="WOO244" s="82"/>
      <c r="WOP244" s="84"/>
      <c r="WOQ244" s="84"/>
      <c r="WOR244" s="82"/>
      <c r="WOS244" s="83"/>
      <c r="WOT244" s="82"/>
      <c r="WOU244" s="84"/>
      <c r="WOV244" s="84"/>
      <c r="WOW244" s="82"/>
      <c r="WOX244" s="83"/>
      <c r="WOY244" s="82"/>
      <c r="WOZ244" s="84"/>
      <c r="WPA244" s="84"/>
      <c r="WPB244" s="82"/>
      <c r="WPC244" s="83"/>
      <c r="WPD244" s="82"/>
      <c r="WPE244" s="84"/>
      <c r="WPF244" s="84"/>
      <c r="WPG244" s="82"/>
      <c r="WPH244" s="83"/>
      <c r="WPI244" s="82"/>
      <c r="WPJ244" s="84"/>
      <c r="WPK244" s="84"/>
      <c r="WPL244" s="82"/>
      <c r="WPM244" s="83"/>
      <c r="WPN244" s="82"/>
      <c r="WPO244" s="84"/>
      <c r="WPP244" s="84"/>
      <c r="WPQ244" s="82"/>
      <c r="WPR244" s="83"/>
      <c r="WPS244" s="82"/>
      <c r="WPT244" s="84"/>
      <c r="WPU244" s="84"/>
      <c r="WPV244" s="82"/>
      <c r="WPW244" s="83"/>
      <c r="WPX244" s="82"/>
      <c r="WPY244" s="84"/>
      <c r="WPZ244" s="84"/>
      <c r="WQA244" s="82"/>
      <c r="WQB244" s="83"/>
      <c r="WQC244" s="82"/>
      <c r="WQD244" s="84"/>
      <c r="WQE244" s="84"/>
      <c r="WQF244" s="82"/>
      <c r="WQG244" s="83"/>
      <c r="WQH244" s="82"/>
      <c r="WQI244" s="84"/>
      <c r="WQJ244" s="84"/>
      <c r="WQK244" s="82"/>
      <c r="WQL244" s="83"/>
      <c r="WQM244" s="82"/>
      <c r="WQN244" s="84"/>
      <c r="WQO244" s="84"/>
      <c r="WQP244" s="82"/>
      <c r="WQQ244" s="83"/>
      <c r="WQR244" s="82"/>
      <c r="WQS244" s="84"/>
      <c r="WQT244" s="84"/>
      <c r="WQU244" s="82"/>
      <c r="WQV244" s="83"/>
      <c r="WQW244" s="82"/>
      <c r="WQX244" s="84"/>
      <c r="WQY244" s="84"/>
      <c r="WQZ244" s="82"/>
      <c r="WRA244" s="83"/>
      <c r="WRB244" s="82"/>
      <c r="WRC244" s="84"/>
      <c r="WRD244" s="84"/>
      <c r="WRE244" s="82"/>
      <c r="WRF244" s="83"/>
      <c r="WRG244" s="82"/>
      <c r="WRH244" s="84"/>
      <c r="WRI244" s="84"/>
      <c r="WRJ244" s="82"/>
      <c r="WRK244" s="83"/>
      <c r="WRL244" s="82"/>
      <c r="WRM244" s="84"/>
      <c r="WRN244" s="84"/>
      <c r="WRO244" s="82"/>
      <c r="WRP244" s="83"/>
      <c r="WRQ244" s="82"/>
      <c r="WRR244" s="84"/>
      <c r="WRS244" s="84"/>
      <c r="WRT244" s="82"/>
      <c r="WRU244" s="83"/>
      <c r="WRV244" s="82"/>
      <c r="WRW244" s="84"/>
      <c r="WRX244" s="84"/>
      <c r="WRY244" s="82"/>
      <c r="WRZ244" s="83"/>
      <c r="WSA244" s="82"/>
      <c r="WSB244" s="84"/>
      <c r="WSC244" s="84"/>
      <c r="WSD244" s="82"/>
      <c r="WSE244" s="83"/>
      <c r="WSF244" s="82"/>
      <c r="WSG244" s="84"/>
      <c r="WSH244" s="84"/>
      <c r="WSI244" s="82"/>
      <c r="WSJ244" s="83"/>
      <c r="WSK244" s="82"/>
      <c r="WSL244" s="84"/>
      <c r="WSM244" s="84"/>
      <c r="WSN244" s="82"/>
      <c r="WSO244" s="83"/>
      <c r="WSP244" s="82"/>
      <c r="WSQ244" s="84"/>
      <c r="WSR244" s="84"/>
      <c r="WSS244" s="82"/>
      <c r="WST244" s="83"/>
      <c r="WSU244" s="82"/>
      <c r="WSV244" s="84"/>
      <c r="WSW244" s="84"/>
      <c r="WSX244" s="82"/>
      <c r="WSY244" s="83"/>
      <c r="WSZ244" s="82"/>
      <c r="WTA244" s="84"/>
      <c r="WTB244" s="84"/>
      <c r="WTC244" s="82"/>
      <c r="WTD244" s="83"/>
      <c r="WTE244" s="82"/>
      <c r="WTF244" s="84"/>
      <c r="WTG244" s="84"/>
      <c r="WTH244" s="82"/>
      <c r="WTI244" s="83"/>
      <c r="WTJ244" s="82"/>
      <c r="WTK244" s="84"/>
      <c r="WTL244" s="84"/>
      <c r="WTM244" s="82"/>
      <c r="WTN244" s="83"/>
      <c r="WTO244" s="82"/>
      <c r="WTP244" s="84"/>
      <c r="WTQ244" s="84"/>
      <c r="WTR244" s="82"/>
      <c r="WTS244" s="83"/>
      <c r="WTT244" s="82"/>
      <c r="WTU244" s="84"/>
      <c r="WTV244" s="84"/>
      <c r="WTW244" s="82"/>
      <c r="WTX244" s="83"/>
      <c r="WTY244" s="82"/>
      <c r="WTZ244" s="84"/>
      <c r="WUA244" s="84"/>
      <c r="WUB244" s="82"/>
      <c r="WUC244" s="83"/>
      <c r="WUD244" s="82"/>
      <c r="WUE244" s="84"/>
      <c r="WUF244" s="84"/>
      <c r="WUG244" s="82"/>
      <c r="WUH244" s="83"/>
      <c r="WUI244" s="82"/>
      <c r="WUJ244" s="84"/>
      <c r="WUK244" s="84"/>
      <c r="WUL244" s="82"/>
      <c r="WUM244" s="83"/>
      <c r="WUN244" s="82"/>
      <c r="WUO244" s="84"/>
      <c r="WUP244" s="84"/>
      <c r="WUQ244" s="82"/>
      <c r="WUR244" s="83"/>
      <c r="WUS244" s="82"/>
      <c r="WUT244" s="84"/>
      <c r="WUU244" s="84"/>
      <c r="WUV244" s="82"/>
      <c r="WUW244" s="83"/>
      <c r="WUX244" s="82"/>
      <c r="WUY244" s="84"/>
      <c r="WUZ244" s="84"/>
      <c r="WVA244" s="82"/>
      <c r="WVB244" s="83"/>
      <c r="WVC244" s="82"/>
      <c r="WVD244" s="84"/>
      <c r="WVE244" s="84"/>
      <c r="WVF244" s="82"/>
      <c r="WVG244" s="83"/>
      <c r="WVH244" s="82"/>
      <c r="WVI244" s="84"/>
      <c r="WVJ244" s="84"/>
      <c r="WVK244" s="82"/>
      <c r="WVL244" s="83"/>
      <c r="WVM244" s="82"/>
      <c r="WVN244" s="84"/>
      <c r="WVO244" s="84"/>
      <c r="WVP244" s="82"/>
      <c r="WVQ244" s="83"/>
      <c r="WVR244" s="82"/>
      <c r="WVS244" s="84"/>
      <c r="WVT244" s="84"/>
      <c r="WVU244" s="82"/>
      <c r="WVV244" s="83"/>
      <c r="WVW244" s="82"/>
      <c r="WVX244" s="84"/>
      <c r="WVY244" s="84"/>
      <c r="WVZ244" s="82"/>
      <c r="WWA244" s="83"/>
      <c r="WWB244" s="82"/>
      <c r="WWC244" s="84"/>
      <c r="WWD244" s="84"/>
      <c r="WWE244" s="82"/>
      <c r="WWF244" s="83"/>
      <c r="WWG244" s="82"/>
      <c r="WWH244" s="84"/>
      <c r="WWI244" s="84"/>
      <c r="WWJ244" s="82"/>
      <c r="WWK244" s="83"/>
      <c r="WWL244" s="82"/>
      <c r="WWM244" s="84"/>
      <c r="WWN244" s="84"/>
      <c r="WWO244" s="82"/>
      <c r="WWP244" s="83"/>
      <c r="WWQ244" s="82"/>
      <c r="WWR244" s="84"/>
      <c r="WWS244" s="84"/>
      <c r="WWT244" s="82"/>
      <c r="WWU244" s="83"/>
      <c r="WWV244" s="82"/>
      <c r="WWW244" s="84"/>
      <c r="WWX244" s="84"/>
      <c r="WWY244" s="82"/>
      <c r="WWZ244" s="83"/>
      <c r="WXA244" s="82"/>
      <c r="WXB244" s="84"/>
      <c r="WXC244" s="84"/>
      <c r="WXD244" s="82"/>
      <c r="WXE244" s="83"/>
      <c r="WXF244" s="82"/>
      <c r="WXG244" s="84"/>
      <c r="WXH244" s="84"/>
      <c r="WXI244" s="82"/>
      <c r="WXJ244" s="83"/>
      <c r="WXK244" s="82"/>
      <c r="WXL244" s="84"/>
      <c r="WXM244" s="84"/>
      <c r="WXN244" s="82"/>
      <c r="WXO244" s="83"/>
      <c r="WXP244" s="82"/>
      <c r="WXQ244" s="84"/>
      <c r="WXR244" s="84"/>
      <c r="WXS244" s="82"/>
      <c r="WXT244" s="83"/>
      <c r="WXU244" s="82"/>
      <c r="WXV244" s="84"/>
      <c r="WXW244" s="84"/>
      <c r="WXX244" s="82"/>
      <c r="WXY244" s="83"/>
      <c r="WXZ244" s="82"/>
      <c r="WYA244" s="84"/>
      <c r="WYB244" s="84"/>
      <c r="WYC244" s="82"/>
      <c r="WYD244" s="83"/>
      <c r="WYE244" s="82"/>
      <c r="WYF244" s="84"/>
      <c r="WYG244" s="84"/>
      <c r="WYH244" s="82"/>
      <c r="WYI244" s="83"/>
      <c r="WYJ244" s="82"/>
      <c r="WYK244" s="84"/>
      <c r="WYL244" s="84"/>
      <c r="WYM244" s="82"/>
      <c r="WYN244" s="83"/>
      <c r="WYO244" s="82"/>
      <c r="WYP244" s="84"/>
      <c r="WYQ244" s="84"/>
      <c r="WYR244" s="82"/>
      <c r="WYS244" s="83"/>
      <c r="WYT244" s="82"/>
      <c r="WYU244" s="84"/>
      <c r="WYV244" s="84"/>
      <c r="WYW244" s="82"/>
      <c r="WYX244" s="83"/>
      <c r="WYY244" s="82"/>
      <c r="WYZ244" s="84"/>
      <c r="WZA244" s="84"/>
      <c r="WZB244" s="82"/>
      <c r="WZC244" s="83"/>
      <c r="WZD244" s="82"/>
      <c r="WZE244" s="84"/>
      <c r="WZF244" s="84"/>
      <c r="WZG244" s="82"/>
      <c r="WZH244" s="83"/>
      <c r="WZI244" s="82"/>
      <c r="WZJ244" s="84"/>
      <c r="WZK244" s="84"/>
      <c r="WZL244" s="82"/>
      <c r="WZM244" s="83"/>
      <c r="WZN244" s="82"/>
      <c r="WZO244" s="84"/>
      <c r="WZP244" s="84"/>
      <c r="WZQ244" s="82"/>
      <c r="WZR244" s="83"/>
      <c r="WZS244" s="82"/>
      <c r="WZT244" s="84"/>
      <c r="WZU244" s="84"/>
      <c r="WZV244" s="82"/>
      <c r="WZW244" s="83"/>
      <c r="WZX244" s="82"/>
      <c r="WZY244" s="84"/>
      <c r="WZZ244" s="84"/>
      <c r="XAA244" s="82"/>
      <c r="XAB244" s="83"/>
      <c r="XAC244" s="82"/>
      <c r="XAD244" s="84"/>
      <c r="XAE244" s="84"/>
      <c r="XAF244" s="82"/>
      <c r="XAG244" s="83"/>
      <c r="XAH244" s="82"/>
      <c r="XAI244" s="84"/>
      <c r="XAJ244" s="84"/>
      <c r="XAK244" s="82"/>
      <c r="XAL244" s="83"/>
      <c r="XAM244" s="82"/>
      <c r="XAN244" s="84"/>
      <c r="XAO244" s="84"/>
      <c r="XAP244" s="82"/>
      <c r="XAQ244" s="83"/>
      <c r="XAR244" s="82"/>
      <c r="XAS244" s="84"/>
      <c r="XAT244" s="84"/>
      <c r="XAU244" s="82"/>
      <c r="XAV244" s="83"/>
      <c r="XAW244" s="82"/>
      <c r="XAX244" s="84"/>
      <c r="XAY244" s="84"/>
      <c r="XAZ244" s="82"/>
      <c r="XBA244" s="83"/>
      <c r="XBB244" s="82"/>
      <c r="XBC244" s="84"/>
      <c r="XBD244" s="84"/>
      <c r="XBE244" s="82"/>
      <c r="XBF244" s="83"/>
      <c r="XBG244" s="82"/>
      <c r="XBH244" s="84"/>
      <c r="XBI244" s="84"/>
      <c r="XBJ244" s="82"/>
      <c r="XBK244" s="83"/>
      <c r="XBL244" s="82"/>
      <c r="XBM244" s="84"/>
      <c r="XBN244" s="84"/>
      <c r="XBO244" s="82"/>
      <c r="XBP244" s="83"/>
      <c r="XBQ244" s="82"/>
      <c r="XBR244" s="84"/>
      <c r="XBS244" s="84"/>
      <c r="XBT244" s="82"/>
      <c r="XBU244" s="83"/>
      <c r="XBV244" s="82"/>
      <c r="XBW244" s="84"/>
      <c r="XBX244" s="84"/>
      <c r="XBY244" s="82"/>
      <c r="XBZ244" s="83"/>
      <c r="XCA244" s="82"/>
      <c r="XCB244" s="84"/>
      <c r="XCC244" s="84"/>
      <c r="XCD244" s="82"/>
      <c r="XCE244" s="83"/>
      <c r="XCF244" s="82"/>
      <c r="XCG244" s="84"/>
      <c r="XCH244" s="84"/>
      <c r="XCI244" s="82"/>
      <c r="XCJ244" s="83"/>
      <c r="XCK244" s="82"/>
      <c r="XCL244" s="84"/>
      <c r="XCM244" s="84"/>
      <c r="XCN244" s="82"/>
      <c r="XCO244" s="83"/>
      <c r="XCP244" s="82"/>
      <c r="XCQ244" s="84"/>
      <c r="XCR244" s="84"/>
      <c r="XCS244" s="82"/>
      <c r="XCT244" s="83"/>
      <c r="XCU244" s="82"/>
      <c r="XCV244" s="84"/>
      <c r="XCW244" s="84"/>
      <c r="XCX244" s="82"/>
      <c r="XCY244" s="83"/>
      <c r="XCZ244" s="82"/>
      <c r="XDA244" s="84"/>
      <c r="XDB244" s="84"/>
      <c r="XDC244" s="82"/>
      <c r="XDD244" s="83"/>
      <c r="XDE244" s="82"/>
      <c r="XDF244" s="84"/>
      <c r="XDG244" s="84"/>
      <c r="XDH244" s="82"/>
      <c r="XDI244" s="83"/>
      <c r="XDJ244" s="82"/>
      <c r="XDK244" s="84"/>
      <c r="XDL244" s="84"/>
      <c r="XDM244" s="82"/>
      <c r="XDN244" s="83"/>
      <c r="XDO244" s="82"/>
      <c r="XDP244" s="84"/>
      <c r="XDQ244" s="84"/>
      <c r="XDR244" s="82"/>
      <c r="XDS244" s="83"/>
      <c r="XDT244" s="82"/>
      <c r="XDU244" s="84"/>
      <c r="XDV244" s="84"/>
      <c r="XDW244" s="82"/>
      <c r="XDX244" s="83"/>
      <c r="XDY244" s="82"/>
      <c r="XDZ244" s="84"/>
      <c r="XEA244" s="84"/>
      <c r="XEB244" s="82"/>
      <c r="XEC244" s="83"/>
      <c r="XED244" s="82"/>
      <c r="XEE244" s="84"/>
      <c r="XEF244" s="84"/>
      <c r="XEG244" s="82"/>
      <c r="XEH244" s="83"/>
      <c r="XEI244" s="82"/>
      <c r="XEJ244" s="84"/>
      <c r="XEK244" s="84"/>
      <c r="XEL244" s="82"/>
      <c r="XEM244" s="83"/>
      <c r="XEN244" s="82"/>
      <c r="XEO244" s="84"/>
      <c r="XEP244" s="84"/>
      <c r="XEQ244" s="82"/>
      <c r="XER244" s="83"/>
      <c r="XES244" s="82"/>
      <c r="XET244" s="84"/>
      <c r="XEU244" s="84"/>
      <c r="XEV244" s="82"/>
      <c r="XEW244" s="83"/>
      <c r="XEX244" s="82"/>
      <c r="XEY244" s="84"/>
      <c r="XEZ244" s="84"/>
      <c r="XFA244" s="82"/>
      <c r="XFB244" s="83"/>
      <c r="XFC244" s="82"/>
      <c r="XFD244" s="84"/>
    </row>
    <row r="245" spans="1:16384" x14ac:dyDescent="0.25">
      <c r="A245" s="90"/>
      <c r="B245" s="91"/>
      <c r="C245" s="90"/>
      <c r="D245" s="85"/>
      <c r="E245" s="85"/>
    </row>
    <row r="246" spans="1:16384" x14ac:dyDescent="0.25">
      <c r="A246" s="96" t="s">
        <v>142</v>
      </c>
      <c r="B246" s="77"/>
      <c r="C246" s="76"/>
      <c r="D246" s="78"/>
      <c r="E246" s="78"/>
    </row>
    <row r="247" spans="1:16384" x14ac:dyDescent="0.25">
      <c r="A247" s="97" t="s">
        <v>7</v>
      </c>
      <c r="B247" s="98" t="s">
        <v>8</v>
      </c>
      <c r="C247" s="97" t="s">
        <v>9</v>
      </c>
      <c r="D247" s="99" t="s">
        <v>12</v>
      </c>
      <c r="E247" s="99" t="s">
        <v>86</v>
      </c>
    </row>
    <row r="248" spans="1:16384" x14ac:dyDescent="0.25">
      <c r="A248" s="79" t="str">
        <f>'[1]6'!A59</f>
        <v>MKN 100-109</v>
      </c>
      <c r="B248" s="80" t="str">
        <f>'[1]6'!B59</f>
        <v>Thru 5 1/2" OD</v>
      </c>
      <c r="C248" s="79" t="s">
        <v>178</v>
      </c>
      <c r="D248" s="81">
        <f>'[1]6'!D59</f>
        <v>250</v>
      </c>
      <c r="E248" s="81">
        <f>'[1]6'!E59</f>
        <v>110</v>
      </c>
    </row>
    <row r="249" spans="1:16384" x14ac:dyDescent="0.25">
      <c r="A249" s="79" t="str">
        <f>'[1]6'!A60</f>
        <v>MKN 100-110</v>
      </c>
      <c r="B249" s="80" t="str">
        <f>'[1]6'!B60</f>
        <v>Thru 9 1/4" OD</v>
      </c>
      <c r="C249" s="79" t="s">
        <v>178</v>
      </c>
      <c r="D249" s="81">
        <f>'[1]6'!D60</f>
        <v>350</v>
      </c>
      <c r="E249" s="81">
        <f>'[1]6'!E60</f>
        <v>145</v>
      </c>
    </row>
    <row r="250" spans="1:16384" x14ac:dyDescent="0.25">
      <c r="A250" s="82" t="str">
        <f>'[1]6'!A61</f>
        <v>MKN 100-111</v>
      </c>
      <c r="B250" s="83" t="str">
        <f>'[1]6'!B61</f>
        <v>Thru 10 3/4" OD</v>
      </c>
      <c r="C250" s="82" t="s">
        <v>178</v>
      </c>
      <c r="D250" s="84">
        <f>'[1]6'!D61</f>
        <v>500</v>
      </c>
      <c r="E250" s="84">
        <f>'[1]6'!E61</f>
        <v>195</v>
      </c>
    </row>
    <row r="251" spans="1:16384" ht="18" customHeight="1" x14ac:dyDescent="0.25">
      <c r="A251" s="79" t="str">
        <f>'[1]6'!A62</f>
        <v>MKN 100-112</v>
      </c>
      <c r="B251" s="80" t="str">
        <f>'[1]6'!B62</f>
        <v>Thru 13 3/8" OD</v>
      </c>
      <c r="C251" s="79" t="s">
        <v>178</v>
      </c>
      <c r="D251" s="81">
        <f>'[1]6'!D62</f>
        <v>445</v>
      </c>
      <c r="E251" s="81">
        <f>'[1]6'!E62</f>
        <v>300</v>
      </c>
    </row>
    <row r="252" spans="1:16384" x14ac:dyDescent="0.25">
      <c r="A252" s="57" t="str">
        <f>'[1]6'!A63</f>
        <v>MKN 100-113</v>
      </c>
      <c r="B252" s="100" t="str">
        <f>'[1]6'!B63</f>
        <v>Thru 16" OD</v>
      </c>
      <c r="C252" s="57" t="s">
        <v>178</v>
      </c>
      <c r="D252" s="101">
        <f>'[1]6'!D63</f>
        <v>1020</v>
      </c>
      <c r="E252" s="101">
        <f>'[1]6'!E63</f>
        <v>470</v>
      </c>
    </row>
    <row r="253" spans="1:16384" x14ac:dyDescent="0.25">
      <c r="A253" s="57" t="str">
        <f>'[1]6'!A64</f>
        <v>MKN 100-114</v>
      </c>
      <c r="B253" s="100" t="str">
        <f>'[1]6'!B64</f>
        <v>Thru 20" OD</v>
      </c>
      <c r="C253" s="57" t="s">
        <v>178</v>
      </c>
      <c r="D253" s="101">
        <f>'[1]6'!D64</f>
        <v>1130</v>
      </c>
      <c r="E253" s="101">
        <f>'[1]6'!E64</f>
        <v>480</v>
      </c>
    </row>
    <row r="254" spans="1:16384" x14ac:dyDescent="0.25">
      <c r="A254" s="57"/>
      <c r="B254" s="100"/>
      <c r="C254" s="57"/>
      <c r="D254" s="101"/>
      <c r="E254" s="101"/>
    </row>
    <row r="255" spans="1:16384" x14ac:dyDescent="0.25">
      <c r="A255" s="92" t="s">
        <v>249</v>
      </c>
      <c r="B255" s="80"/>
      <c r="C255" s="79"/>
      <c r="D255" s="81"/>
      <c r="E255" s="81"/>
    </row>
    <row r="256" spans="1:16384" x14ac:dyDescent="0.25">
      <c r="A256" s="97" t="s">
        <v>7</v>
      </c>
      <c r="B256" s="98" t="s">
        <v>8</v>
      </c>
      <c r="C256" s="97" t="s">
        <v>9</v>
      </c>
      <c r="D256" s="99" t="s">
        <v>75</v>
      </c>
      <c r="E256" s="81"/>
    </row>
    <row r="257" spans="1:6" x14ac:dyDescent="0.25">
      <c r="A257" s="79" t="str">
        <f>'[1]6'!A69</f>
        <v>MKN 100-115</v>
      </c>
      <c r="B257" s="80" t="s">
        <v>250</v>
      </c>
      <c r="C257" s="79" t="s">
        <v>162</v>
      </c>
      <c r="D257" s="81">
        <f>'[1]6'!D69</f>
        <v>40</v>
      </c>
      <c r="E257" s="81"/>
    </row>
    <row r="258" spans="1:6" x14ac:dyDescent="0.25">
      <c r="A258" s="79" t="str">
        <f>'[1]6'!A70</f>
        <v>MKN 100-116</v>
      </c>
      <c r="B258" s="80" t="s">
        <v>251</v>
      </c>
      <c r="C258" s="79" t="s">
        <v>162</v>
      </c>
      <c r="D258" s="81">
        <f>'[1]6'!D70</f>
        <v>45</v>
      </c>
      <c r="E258" s="81"/>
    </row>
    <row r="259" spans="1:6" x14ac:dyDescent="0.25">
      <c r="A259" s="79" t="str">
        <f>'[1]6'!A71</f>
        <v>MKN 100-117</v>
      </c>
      <c r="B259" s="80" t="s">
        <v>252</v>
      </c>
      <c r="C259" s="79" t="s">
        <v>162</v>
      </c>
      <c r="D259" s="81">
        <f>'[1]6'!D71</f>
        <v>45</v>
      </c>
      <c r="E259" s="81"/>
    </row>
    <row r="260" spans="1:6" x14ac:dyDescent="0.25">
      <c r="A260" s="79" t="str">
        <f>'[1]6'!A72</f>
        <v>MKN 100-118</v>
      </c>
      <c r="B260" s="80" t="s">
        <v>253</v>
      </c>
      <c r="C260" s="79" t="s">
        <v>162</v>
      </c>
      <c r="D260" s="81">
        <f>'[1]6'!D72</f>
        <v>80</v>
      </c>
      <c r="E260" s="81"/>
    </row>
    <row r="261" spans="1:6" x14ac:dyDescent="0.25">
      <c r="A261" s="79" t="str">
        <f>'[1]6'!A74</f>
        <v>MKN 100-119</v>
      </c>
      <c r="B261" s="80" t="s">
        <v>254</v>
      </c>
      <c r="C261" s="79" t="s">
        <v>162</v>
      </c>
      <c r="D261" s="81">
        <f>'[1]6'!D74</f>
        <v>17</v>
      </c>
      <c r="E261" s="81"/>
    </row>
    <row r="262" spans="1:6" x14ac:dyDescent="0.25">
      <c r="A262" s="79" t="str">
        <f>'[1]6'!A75</f>
        <v>MKN 100-120</v>
      </c>
      <c r="B262" s="80" t="s">
        <v>255</v>
      </c>
      <c r="C262" s="79" t="s">
        <v>162</v>
      </c>
      <c r="D262" s="81">
        <f>'[1]6'!D75</f>
        <v>30</v>
      </c>
      <c r="E262" s="81"/>
    </row>
    <row r="263" spans="1:6" x14ac:dyDescent="0.25">
      <c r="A263" s="79" t="str">
        <f>'[1]6'!A76</f>
        <v>MKN 100-121</v>
      </c>
      <c r="B263" s="80" t="s">
        <v>256</v>
      </c>
      <c r="C263" s="79" t="s">
        <v>162</v>
      </c>
      <c r="D263" s="81">
        <f>'[1]6'!D76</f>
        <v>45</v>
      </c>
      <c r="E263" s="81"/>
    </row>
    <row r="264" spans="1:6" x14ac:dyDescent="0.25">
      <c r="A264" s="82"/>
      <c r="B264" s="83"/>
      <c r="C264" s="82"/>
      <c r="D264" s="84"/>
      <c r="E264" s="84"/>
    </row>
    <row r="265" spans="1:6" ht="24" customHeight="1" thickBot="1" x14ac:dyDescent="0.3">
      <c r="A265" s="62" t="s">
        <v>257</v>
      </c>
      <c r="B265" s="63"/>
      <c r="C265" s="64"/>
      <c r="D265" s="65"/>
      <c r="E265" s="65"/>
      <c r="F265" s="66" t="s">
        <v>5</v>
      </c>
    </row>
    <row r="266" spans="1:6" ht="15.75" thickTop="1" x14ac:dyDescent="0.25">
      <c r="A266" s="67"/>
      <c r="B266" s="68"/>
      <c r="C266" s="67"/>
      <c r="D266" s="69"/>
      <c r="E266" s="69"/>
    </row>
    <row r="267" spans="1:6" ht="18" customHeight="1" x14ac:dyDescent="0.25">
      <c r="A267" s="42" t="s">
        <v>258</v>
      </c>
      <c r="B267" s="70"/>
      <c r="C267" s="71"/>
      <c r="D267" s="72"/>
      <c r="E267" s="72"/>
    </row>
    <row r="268" spans="1:6" x14ac:dyDescent="0.25">
      <c r="A268" s="73" t="s">
        <v>7</v>
      </c>
      <c r="B268" s="74" t="s">
        <v>8</v>
      </c>
      <c r="C268" s="73" t="s">
        <v>9</v>
      </c>
      <c r="D268" s="75" t="s">
        <v>75</v>
      </c>
      <c r="E268" s="85"/>
    </row>
    <row r="269" spans="1:6" ht="30" x14ac:dyDescent="0.25">
      <c r="A269" s="76" t="str">
        <f>'[1]7'!A9</f>
        <v>MKN 100-0122</v>
      </c>
      <c r="B269" s="77" t="s">
        <v>259</v>
      </c>
      <c r="C269" s="76" t="s">
        <v>170</v>
      </c>
      <c r="D269" s="78">
        <f>'[1]7'!D9</f>
        <v>280</v>
      </c>
      <c r="E269" s="78"/>
    </row>
    <row r="270" spans="1:6" ht="30" x14ac:dyDescent="0.25">
      <c r="A270" s="79" t="str">
        <f>'[1]7'!A10</f>
        <v>MKN 100-0123</v>
      </c>
      <c r="B270" s="80" t="s">
        <v>260</v>
      </c>
      <c r="C270" s="79" t="s">
        <v>170</v>
      </c>
      <c r="D270" s="81">
        <f>'[1]7'!D10</f>
        <v>320</v>
      </c>
      <c r="E270" s="81"/>
    </row>
    <row r="271" spans="1:6" ht="30" x14ac:dyDescent="0.25">
      <c r="A271" s="79" t="str">
        <f>'[1]7'!A11</f>
        <v>MKN 100-0124</v>
      </c>
      <c r="B271" s="80" t="s">
        <v>261</v>
      </c>
      <c r="C271" s="79" t="s">
        <v>170</v>
      </c>
      <c r="D271" s="81">
        <f>'[1]7'!D11</f>
        <v>670</v>
      </c>
      <c r="E271" s="81"/>
    </row>
    <row r="272" spans="1:6" x14ac:dyDescent="0.25">
      <c r="A272" s="79" t="str">
        <f>'[1]7'!A13</f>
        <v>MKN 100-0125</v>
      </c>
      <c r="B272" s="80" t="s">
        <v>262</v>
      </c>
      <c r="C272" s="79" t="s">
        <v>191</v>
      </c>
      <c r="D272" s="81">
        <f>'[1]7'!D13</f>
        <v>650</v>
      </c>
      <c r="E272" s="81"/>
    </row>
    <row r="273" spans="1:5" x14ac:dyDescent="0.25">
      <c r="A273" s="79" t="str">
        <f>'[1]7'!A15</f>
        <v>MKN 100-0126</v>
      </c>
      <c r="B273" s="80" t="s">
        <v>263</v>
      </c>
      <c r="C273" s="79" t="s">
        <v>171</v>
      </c>
      <c r="D273" s="81">
        <f>'[1]7'!D15</f>
        <v>495</v>
      </c>
      <c r="E273" s="81"/>
    </row>
    <row r="274" spans="1:5" x14ac:dyDescent="0.25">
      <c r="A274" s="79" t="str">
        <f>'[1]7'!A16</f>
        <v>MKN 100-0127</v>
      </c>
      <c r="B274" s="80" t="s">
        <v>264</v>
      </c>
      <c r="C274" s="79" t="s">
        <v>171</v>
      </c>
      <c r="D274" s="81">
        <f>'[1]7'!D16</f>
        <v>580</v>
      </c>
      <c r="E274" s="81"/>
    </row>
    <row r="275" spans="1:5" x14ac:dyDescent="0.25">
      <c r="A275" s="79" t="str">
        <f>'[1]7'!A17</f>
        <v>MKN 100-0128</v>
      </c>
      <c r="B275" s="80" t="s">
        <v>265</v>
      </c>
      <c r="C275" s="79" t="s">
        <v>171</v>
      </c>
      <c r="D275" s="81">
        <f>'[1]7'!D17</f>
        <v>780</v>
      </c>
      <c r="E275" s="81"/>
    </row>
    <row r="276" spans="1:5" x14ac:dyDescent="0.25">
      <c r="A276" s="79" t="str">
        <f>'[1]7'!A18</f>
        <v>MKN 100-0129</v>
      </c>
      <c r="B276" s="80" t="s">
        <v>266</v>
      </c>
      <c r="C276" s="79" t="s">
        <v>171</v>
      </c>
      <c r="D276" s="81">
        <f>'[1]7'!D18</f>
        <v>1150</v>
      </c>
      <c r="E276" s="81"/>
    </row>
    <row r="277" spans="1:5" x14ac:dyDescent="0.25">
      <c r="A277" s="79" t="str">
        <f>'[1]7'!A19</f>
        <v>MKN 100-0130</v>
      </c>
      <c r="B277" s="80" t="s">
        <v>267</v>
      </c>
      <c r="C277" s="79" t="s">
        <v>171</v>
      </c>
      <c r="D277" s="81">
        <f>'[1]7'!D19</f>
        <v>1450</v>
      </c>
      <c r="E277" s="81"/>
    </row>
    <row r="278" spans="1:5" x14ac:dyDescent="0.25">
      <c r="A278" s="79" t="str">
        <f>'[1]7'!A20</f>
        <v>MKN 100-0131</v>
      </c>
      <c r="B278" s="80" t="s">
        <v>268</v>
      </c>
      <c r="C278" s="79" t="s">
        <v>171</v>
      </c>
      <c r="D278" s="81">
        <f>'[1]7'!D20</f>
        <v>1720</v>
      </c>
      <c r="E278" s="81"/>
    </row>
    <row r="279" spans="1:5" x14ac:dyDescent="0.25">
      <c r="A279" s="79" t="str">
        <f>'[1]7'!A21</f>
        <v>MKN 100-0132</v>
      </c>
      <c r="B279" s="80" t="s">
        <v>269</v>
      </c>
      <c r="C279" s="79" t="s">
        <v>171</v>
      </c>
      <c r="D279" s="81">
        <f>'[1]7'!D21</f>
        <v>1950</v>
      </c>
      <c r="E279" s="81"/>
    </row>
    <row r="280" spans="1:5" ht="30" x14ac:dyDescent="0.25">
      <c r="A280" s="79" t="str">
        <f>'[1]7'!A24</f>
        <v>MKN 105-0133</v>
      </c>
      <c r="B280" s="80" t="s">
        <v>270</v>
      </c>
      <c r="C280" s="79" t="s">
        <v>170</v>
      </c>
      <c r="D280" s="81">
        <f>'[1]7'!D24</f>
        <v>210</v>
      </c>
      <c r="E280" s="81"/>
    </row>
    <row r="281" spans="1:5" ht="30" x14ac:dyDescent="0.25">
      <c r="A281" s="79" t="str">
        <f>'[1]7'!A25</f>
        <v>MKN 105-0134</v>
      </c>
      <c r="B281" s="80" t="s">
        <v>271</v>
      </c>
      <c r="C281" s="79" t="s">
        <v>170</v>
      </c>
      <c r="D281" s="81">
        <f>'[1]7'!D25</f>
        <v>280</v>
      </c>
      <c r="E281" s="81"/>
    </row>
    <row r="282" spans="1:5" x14ac:dyDescent="0.25">
      <c r="A282" s="82"/>
      <c r="B282" s="83"/>
      <c r="C282" s="82"/>
      <c r="D282" s="84"/>
      <c r="E282" s="84"/>
    </row>
    <row r="283" spans="1:5" ht="18" customHeight="1" x14ac:dyDescent="0.25">
      <c r="A283" s="42" t="s">
        <v>272</v>
      </c>
      <c r="B283" s="70"/>
      <c r="C283" s="71"/>
      <c r="D283" s="72"/>
      <c r="E283" s="72"/>
    </row>
    <row r="284" spans="1:5" x14ac:dyDescent="0.25">
      <c r="A284" s="73" t="s">
        <v>7</v>
      </c>
      <c r="B284" s="74" t="s">
        <v>8</v>
      </c>
      <c r="C284" s="73" t="s">
        <v>9</v>
      </c>
      <c r="D284" s="75" t="s">
        <v>12</v>
      </c>
      <c r="E284" s="75" t="s">
        <v>86</v>
      </c>
    </row>
    <row r="285" spans="1:5" x14ac:dyDescent="0.25">
      <c r="A285" s="76" t="str">
        <f>'[1]7'!A32</f>
        <v>MKN 100-0135</v>
      </c>
      <c r="B285" s="77" t="str">
        <f>'[1]7'!B32</f>
        <v>Thru 4-1/2" OD Casing</v>
      </c>
      <c r="C285" s="76" t="s">
        <v>178</v>
      </c>
      <c r="D285" s="78">
        <f>'[1]7'!D32</f>
        <v>950</v>
      </c>
      <c r="E285" s="78">
        <f>'[1]7'!E32</f>
        <v>500</v>
      </c>
    </row>
    <row r="286" spans="1:5" x14ac:dyDescent="0.25">
      <c r="A286" s="79" t="str">
        <f>'[1]7'!A33</f>
        <v>MKN 100-0136</v>
      </c>
      <c r="B286" s="80" t="str">
        <f>'[1]7'!B33</f>
        <v>Thru 5-1/2" OD Casing</v>
      </c>
      <c r="C286" s="79" t="s">
        <v>178</v>
      </c>
      <c r="D286" s="81">
        <f>'[1]7'!D33</f>
        <v>1120</v>
      </c>
      <c r="E286" s="81">
        <f>'[1]7'!E33</f>
        <v>530</v>
      </c>
    </row>
    <row r="287" spans="1:5" x14ac:dyDescent="0.25">
      <c r="A287" s="79" t="str">
        <f>'[1]7'!A34</f>
        <v>MKN 100-0137</v>
      </c>
      <c r="B287" s="80" t="str">
        <f>'[1]7'!B34</f>
        <v>Thru 7-5/8" OD Casing</v>
      </c>
      <c r="C287" s="79" t="s">
        <v>178</v>
      </c>
      <c r="D287" s="81">
        <f>'[1]7'!D34</f>
        <v>1200</v>
      </c>
      <c r="E287" s="81">
        <f>'[1]7'!E34</f>
        <v>600</v>
      </c>
    </row>
    <row r="288" spans="1:5" x14ac:dyDescent="0.25">
      <c r="A288" s="79" t="str">
        <f>'[1]7'!A35</f>
        <v>MKN 100-0138</v>
      </c>
      <c r="B288" s="80" t="str">
        <f>'[1]7'!B35</f>
        <v>Thru 9-5/8" OD Casing</v>
      </c>
      <c r="C288" s="79" t="s">
        <v>178</v>
      </c>
      <c r="D288" s="81">
        <f>'[1]7'!D35</f>
        <v>1590</v>
      </c>
      <c r="E288" s="81">
        <f>'[1]7'!E35</f>
        <v>815</v>
      </c>
    </row>
    <row r="289" spans="1:6" x14ac:dyDescent="0.25">
      <c r="A289" s="79" t="str">
        <f>'[1]7'!A36</f>
        <v>MKN 100-0139</v>
      </c>
      <c r="B289" s="80" t="str">
        <f>'[1]7'!B36</f>
        <v>Thru 10 3/4" OD Casing</v>
      </c>
      <c r="C289" s="79" t="s">
        <v>178</v>
      </c>
      <c r="D289" s="81">
        <f>'[1]7'!D36</f>
        <v>1690</v>
      </c>
      <c r="E289" s="81">
        <f>'[1]7'!E36</f>
        <v>850</v>
      </c>
    </row>
    <row r="290" spans="1:6" x14ac:dyDescent="0.25">
      <c r="A290" s="79" t="str">
        <f>'[1]7'!A37</f>
        <v>MKN 100-0140</v>
      </c>
      <c r="B290" s="80" t="str">
        <f>'[1]7'!B37</f>
        <v>Thru 11 3/4" OD Casing</v>
      </c>
      <c r="C290" s="79" t="s">
        <v>178</v>
      </c>
      <c r="D290" s="81">
        <f>'[1]7'!D37</f>
        <v>1850</v>
      </c>
      <c r="E290" s="81">
        <f>'[1]7'!E37</f>
        <v>900</v>
      </c>
    </row>
    <row r="291" spans="1:6" x14ac:dyDescent="0.25">
      <c r="A291" s="79" t="str">
        <f>'[1]7'!A38</f>
        <v>MKN 100-0141</v>
      </c>
      <c r="B291" s="80" t="str">
        <f>'[1]7'!B38</f>
        <v>Thru 13-3/8" OD Casing</v>
      </c>
      <c r="C291" s="79" t="s">
        <v>178</v>
      </c>
      <c r="D291" s="81">
        <f>'[1]7'!D38</f>
        <v>1850</v>
      </c>
      <c r="E291" s="81">
        <f>'[1]7'!E38</f>
        <v>920</v>
      </c>
    </row>
    <row r="292" spans="1:6" x14ac:dyDescent="0.25">
      <c r="A292" s="82"/>
      <c r="B292" s="83"/>
      <c r="C292" s="82"/>
      <c r="D292" s="84"/>
      <c r="E292" s="84"/>
    </row>
    <row r="293" spans="1:6" ht="24" customHeight="1" thickBot="1" x14ac:dyDescent="0.3">
      <c r="A293" s="62" t="s">
        <v>273</v>
      </c>
      <c r="B293" s="63"/>
      <c r="C293" s="64"/>
      <c r="D293" s="65"/>
      <c r="E293" s="65"/>
      <c r="F293" s="66" t="s">
        <v>5</v>
      </c>
    </row>
    <row r="294" spans="1:6" ht="15.75" thickTop="1" x14ac:dyDescent="0.25">
      <c r="A294" s="67"/>
      <c r="B294" s="68"/>
      <c r="C294" s="67"/>
      <c r="D294" s="69"/>
      <c r="E294" s="69"/>
    </row>
    <row r="295" spans="1:6" ht="18" customHeight="1" x14ac:dyDescent="0.25">
      <c r="A295" s="42" t="s">
        <v>274</v>
      </c>
      <c r="B295" s="70"/>
      <c r="C295" s="71"/>
      <c r="D295" s="72"/>
      <c r="E295" s="72"/>
    </row>
    <row r="296" spans="1:6" x14ac:dyDescent="0.25">
      <c r="A296" s="73" t="s">
        <v>7</v>
      </c>
      <c r="B296" s="74" t="s">
        <v>8</v>
      </c>
      <c r="C296" s="73" t="s">
        <v>9</v>
      </c>
      <c r="D296" s="75" t="s">
        <v>12</v>
      </c>
      <c r="E296" s="75" t="s">
        <v>86</v>
      </c>
    </row>
    <row r="297" spans="1:6" x14ac:dyDescent="0.25">
      <c r="A297" s="76" t="str">
        <f>'[1]7'!A43</f>
        <v>MKN 100-0142</v>
      </c>
      <c r="B297" s="77" t="str">
        <f>'[1]7'!B43</f>
        <v>4 3/4" OD</v>
      </c>
      <c r="C297" s="76" t="s">
        <v>178</v>
      </c>
      <c r="D297" s="78">
        <f>'[1]7'!D43</f>
        <v>1300</v>
      </c>
      <c r="E297" s="78">
        <f>'[1]7'!E43</f>
        <v>340</v>
      </c>
    </row>
    <row r="298" spans="1:6" x14ac:dyDescent="0.25">
      <c r="A298" s="79" t="str">
        <f>'[1]7'!A44</f>
        <v>MKN 100-0143</v>
      </c>
      <c r="B298" s="80" t="str">
        <f>'[1]7'!B44</f>
        <v>6 1/2" OD</v>
      </c>
      <c r="C298" s="79" t="s">
        <v>178</v>
      </c>
      <c r="D298" s="81">
        <f>'[1]7'!D44</f>
        <v>1300</v>
      </c>
      <c r="E298" s="81">
        <f>'[1]7'!E44</f>
        <v>340</v>
      </c>
    </row>
    <row r="299" spans="1:6" x14ac:dyDescent="0.25">
      <c r="A299" s="79" t="str">
        <f>'[1]7'!A45</f>
        <v>MKN 100-0144</v>
      </c>
      <c r="B299" s="80" t="str">
        <f>'[1]7'!B45</f>
        <v>8" OD</v>
      </c>
      <c r="C299" s="79" t="s">
        <v>178</v>
      </c>
      <c r="D299" s="81">
        <f>'[1]7'!D45</f>
        <v>1300</v>
      </c>
      <c r="E299" s="81">
        <f>'[1]7'!E45</f>
        <v>340</v>
      </c>
    </row>
    <row r="300" spans="1:6" x14ac:dyDescent="0.25">
      <c r="A300" s="79" t="str">
        <f>'[1]7'!A46</f>
        <v>MKN 100-0145</v>
      </c>
      <c r="B300" s="80" t="str">
        <f>'[1]7'!B46</f>
        <v>9 1/2" OD</v>
      </c>
      <c r="C300" s="79" t="s">
        <v>178</v>
      </c>
      <c r="D300" s="81">
        <f>'[1]7'!D46</f>
        <v>1300</v>
      </c>
      <c r="E300" s="81">
        <f>'[1]7'!E46</f>
        <v>340</v>
      </c>
    </row>
    <row r="301" spans="1:6" x14ac:dyDescent="0.25">
      <c r="A301" s="82"/>
      <c r="B301" s="83"/>
      <c r="C301" s="82"/>
      <c r="D301" s="84"/>
      <c r="E301" s="84"/>
    </row>
    <row r="302" spans="1:6" ht="18" customHeight="1" x14ac:dyDescent="0.25">
      <c r="A302" s="42" t="s">
        <v>275</v>
      </c>
      <c r="B302" s="70"/>
      <c r="C302" s="71"/>
      <c r="D302" s="72"/>
      <c r="E302" s="72"/>
    </row>
    <row r="303" spans="1:6" x14ac:dyDescent="0.25">
      <c r="A303" s="73" t="s">
        <v>7</v>
      </c>
      <c r="B303" s="74" t="s">
        <v>8</v>
      </c>
      <c r="C303" s="73" t="s">
        <v>9</v>
      </c>
      <c r="D303" s="75" t="s">
        <v>75</v>
      </c>
      <c r="E303" s="85"/>
    </row>
    <row r="304" spans="1:6" x14ac:dyDescent="0.25">
      <c r="A304" s="76" t="str">
        <f>'[1]7'!A51</f>
        <v>MKN 100-0146</v>
      </c>
      <c r="B304" s="77" t="s">
        <v>276</v>
      </c>
      <c r="C304" s="76" t="s">
        <v>162</v>
      </c>
      <c r="D304" s="78">
        <f>'[1]7'!D51</f>
        <v>100</v>
      </c>
      <c r="E304" s="78"/>
    </row>
    <row r="305" spans="1:6" x14ac:dyDescent="0.25">
      <c r="A305" s="79" t="str">
        <f>'[1]7'!A52</f>
        <v>MKN 100-0147</v>
      </c>
      <c r="B305" s="80" t="s">
        <v>277</v>
      </c>
      <c r="C305" s="79" t="s">
        <v>162</v>
      </c>
      <c r="D305" s="81">
        <f>'[1]7'!D52</f>
        <v>210</v>
      </c>
      <c r="E305" s="81"/>
    </row>
    <row r="306" spans="1:6" x14ac:dyDescent="0.25">
      <c r="A306" s="79" t="str">
        <f>'[1]7'!A53</f>
        <v>MKN 100-0148</v>
      </c>
      <c r="B306" s="80" t="s">
        <v>278</v>
      </c>
      <c r="C306" s="79" t="s">
        <v>162</v>
      </c>
      <c r="D306" s="81">
        <f>'[1]7'!D53</f>
        <v>300</v>
      </c>
      <c r="E306" s="81"/>
    </row>
    <row r="307" spans="1:6" x14ac:dyDescent="0.25">
      <c r="A307" s="79" t="str">
        <f>'[1]7'!A54</f>
        <v>MKN 100-0149</v>
      </c>
      <c r="B307" s="80" t="s">
        <v>279</v>
      </c>
      <c r="C307" s="79" t="s">
        <v>162</v>
      </c>
      <c r="D307" s="81">
        <f>'[1]7'!D54</f>
        <v>420</v>
      </c>
      <c r="E307" s="81"/>
    </row>
    <row r="308" spans="1:6" x14ac:dyDescent="0.25">
      <c r="A308" s="79" t="str">
        <f>'[1]7'!A55</f>
        <v>MKN 100-0150</v>
      </c>
      <c r="B308" s="80" t="s">
        <v>280</v>
      </c>
      <c r="C308" s="79" t="s">
        <v>162</v>
      </c>
      <c r="D308" s="81">
        <f>'[1]7'!D55</f>
        <v>420</v>
      </c>
      <c r="E308" s="81"/>
    </row>
    <row r="309" spans="1:6" x14ac:dyDescent="0.25">
      <c r="A309" s="79" t="str">
        <f>'[1]7'!A56</f>
        <v>MKN 100-0151</v>
      </c>
      <c r="B309" s="80" t="s">
        <v>281</v>
      </c>
      <c r="C309" s="79" t="s">
        <v>162</v>
      </c>
      <c r="D309" s="81">
        <f>'[1]7'!D56</f>
        <v>420</v>
      </c>
      <c r="E309" s="81"/>
    </row>
    <row r="310" spans="1:6" x14ac:dyDescent="0.25">
      <c r="A310" s="79" t="str">
        <f>'[1]7'!A57</f>
        <v>MKN 100-0152</v>
      </c>
      <c r="B310" s="80" t="s">
        <v>282</v>
      </c>
      <c r="C310" s="79" t="s">
        <v>162</v>
      </c>
      <c r="D310" s="81">
        <f>'[1]7'!D57</f>
        <v>450</v>
      </c>
      <c r="E310" s="81"/>
    </row>
    <row r="311" spans="1:6" x14ac:dyDescent="0.25">
      <c r="A311" s="79" t="str">
        <f>'[1]7'!A59</f>
        <v>MKN 100-0153</v>
      </c>
      <c r="B311" s="80" t="s">
        <v>283</v>
      </c>
      <c r="C311" s="79" t="s">
        <v>162</v>
      </c>
      <c r="D311" s="81">
        <f>'[1]7'!D59</f>
        <v>360</v>
      </c>
      <c r="E311" s="81"/>
    </row>
    <row r="312" spans="1:6" x14ac:dyDescent="0.25">
      <c r="A312" s="79" t="str">
        <f>'[1]7'!A60</f>
        <v>MKN 100-0154</v>
      </c>
      <c r="B312" s="80" t="s">
        <v>284</v>
      </c>
      <c r="C312" s="79" t="s">
        <v>162</v>
      </c>
      <c r="D312" s="81">
        <f>'[1]7'!D60</f>
        <v>500</v>
      </c>
      <c r="E312" s="81"/>
    </row>
    <row r="313" spans="1:6" x14ac:dyDescent="0.25">
      <c r="A313" s="79" t="str">
        <f>'[1]7'!A61</f>
        <v>MKN 100-0155</v>
      </c>
      <c r="B313" s="80" t="s">
        <v>285</v>
      </c>
      <c r="C313" s="79" t="s">
        <v>162</v>
      </c>
      <c r="D313" s="81">
        <f>'[1]7'!D61</f>
        <v>650</v>
      </c>
      <c r="E313" s="81"/>
    </row>
    <row r="314" spans="1:6" x14ac:dyDescent="0.25">
      <c r="A314" s="79" t="str">
        <f>'[1]7'!A62</f>
        <v>MKN 100-0156</v>
      </c>
      <c r="B314" s="80" t="s">
        <v>286</v>
      </c>
      <c r="C314" s="79" t="s">
        <v>162</v>
      </c>
      <c r="D314" s="81">
        <f>'[1]7'!D62</f>
        <v>870</v>
      </c>
      <c r="E314" s="81"/>
    </row>
    <row r="315" spans="1:6" x14ac:dyDescent="0.25">
      <c r="A315" s="79" t="str">
        <f>'[1]7'!A63</f>
        <v>MKN 100-0157</v>
      </c>
      <c r="B315" s="80" t="s">
        <v>287</v>
      </c>
      <c r="C315" s="79" t="s">
        <v>162</v>
      </c>
      <c r="D315" s="81">
        <f>'[1]7'!D63</f>
        <v>1300</v>
      </c>
      <c r="E315" s="81"/>
    </row>
    <row r="316" spans="1:6" x14ac:dyDescent="0.25">
      <c r="A316" s="79" t="str">
        <f>'[1]7'!A64</f>
        <v>MKN 100-0158</v>
      </c>
      <c r="B316" s="80" t="s">
        <v>288</v>
      </c>
      <c r="C316" s="79" t="s">
        <v>162</v>
      </c>
      <c r="D316" s="81">
        <f>'[1]7'!D64</f>
        <v>2100</v>
      </c>
      <c r="E316" s="81"/>
    </row>
    <row r="317" spans="1:6" x14ac:dyDescent="0.25">
      <c r="A317" s="79" t="str">
        <f>'[1]7'!A65</f>
        <v>MKN 100-0159</v>
      </c>
      <c r="B317" s="80" t="s">
        <v>289</v>
      </c>
      <c r="C317" s="79" t="s">
        <v>162</v>
      </c>
      <c r="D317" s="81">
        <f>'[1]7'!D65</f>
        <v>2600</v>
      </c>
      <c r="E317" s="81"/>
    </row>
    <row r="318" spans="1:6" x14ac:dyDescent="0.25">
      <c r="A318" s="79" t="str">
        <f>'[1]7'!A66</f>
        <v>MKN 100-0160</v>
      </c>
      <c r="B318" s="80" t="s">
        <v>290</v>
      </c>
      <c r="C318" s="79" t="s">
        <v>162</v>
      </c>
      <c r="D318" s="81">
        <f>'[1]7'!D66</f>
        <v>1580</v>
      </c>
      <c r="E318" s="81"/>
    </row>
    <row r="319" spans="1:6" x14ac:dyDescent="0.25">
      <c r="A319" s="82"/>
      <c r="B319" s="83"/>
      <c r="C319" s="82"/>
      <c r="D319" s="84"/>
      <c r="E319" s="84"/>
    </row>
    <row r="320" spans="1:6" ht="24" customHeight="1" thickBot="1" x14ac:dyDescent="0.3">
      <c r="A320" s="62" t="s">
        <v>291</v>
      </c>
      <c r="B320" s="63"/>
      <c r="C320" s="64"/>
      <c r="D320" s="65"/>
      <c r="E320" s="65"/>
      <c r="F320" s="66" t="s">
        <v>5</v>
      </c>
    </row>
    <row r="321" spans="1:5" ht="15.75" thickTop="1" x14ac:dyDescent="0.25">
      <c r="A321" s="67"/>
      <c r="B321" s="68"/>
      <c r="C321" s="67"/>
      <c r="D321" s="69"/>
      <c r="E321" s="69"/>
    </row>
    <row r="322" spans="1:5" ht="18" customHeight="1" x14ac:dyDescent="0.25">
      <c r="A322" s="42" t="s">
        <v>292</v>
      </c>
      <c r="B322" s="70"/>
      <c r="C322" s="71"/>
      <c r="D322" s="72"/>
      <c r="E322" s="72"/>
    </row>
    <row r="323" spans="1:5" x14ac:dyDescent="0.25">
      <c r="A323" s="73" t="s">
        <v>7</v>
      </c>
      <c r="B323" s="74" t="s">
        <v>8</v>
      </c>
      <c r="C323" s="73" t="s">
        <v>9</v>
      </c>
      <c r="D323" s="75" t="s">
        <v>75</v>
      </c>
      <c r="E323" s="85"/>
    </row>
    <row r="324" spans="1:5" x14ac:dyDescent="0.25">
      <c r="A324" s="76" t="str">
        <f>'[1]8'!A8</f>
        <v>MKN 100-0161</v>
      </c>
      <c r="B324" s="77" t="s">
        <v>293</v>
      </c>
      <c r="C324" s="76" t="s">
        <v>162</v>
      </c>
      <c r="D324" s="78">
        <f>'[1]8'!D8</f>
        <v>75</v>
      </c>
      <c r="E324" s="78"/>
    </row>
    <row r="325" spans="1:5" x14ac:dyDescent="0.25">
      <c r="A325" s="79" t="str">
        <f>'[1]8'!A9</f>
        <v>MKN 100-0162</v>
      </c>
      <c r="B325" s="80" t="s">
        <v>294</v>
      </c>
      <c r="C325" s="79" t="s">
        <v>162</v>
      </c>
      <c r="D325" s="81">
        <f>'[1]8'!D9</f>
        <v>75</v>
      </c>
      <c r="E325" s="81"/>
    </row>
    <row r="326" spans="1:5" x14ac:dyDescent="0.25">
      <c r="A326" s="79" t="str">
        <f>'[1]8'!A10</f>
        <v>MKN 100-0163</v>
      </c>
      <c r="B326" s="80" t="s">
        <v>295</v>
      </c>
      <c r="C326" s="79" t="s">
        <v>162</v>
      </c>
      <c r="D326" s="81">
        <f>'[1]8'!D10</f>
        <v>95</v>
      </c>
      <c r="E326" s="81"/>
    </row>
    <row r="327" spans="1:5" x14ac:dyDescent="0.25">
      <c r="A327" s="79" t="str">
        <f>'[1]8'!A11</f>
        <v>MKN 100-0164</v>
      </c>
      <c r="B327" s="80" t="s">
        <v>296</v>
      </c>
      <c r="C327" s="79" t="s">
        <v>162</v>
      </c>
      <c r="D327" s="81">
        <f>'[1]8'!D11</f>
        <v>95</v>
      </c>
      <c r="E327" s="81"/>
    </row>
    <row r="328" spans="1:5" x14ac:dyDescent="0.25">
      <c r="A328" s="79" t="str">
        <f>'[1]8'!A13</f>
        <v>MKN 100-0165</v>
      </c>
      <c r="B328" s="80" t="s">
        <v>297</v>
      </c>
      <c r="C328" s="79" t="s">
        <v>162</v>
      </c>
      <c r="D328" s="81">
        <f>'[1]8'!D13</f>
        <v>140</v>
      </c>
      <c r="E328" s="81"/>
    </row>
    <row r="329" spans="1:5" x14ac:dyDescent="0.25">
      <c r="A329" s="79" t="str">
        <f>'[1]8'!A14</f>
        <v>MKN 100-0166</v>
      </c>
      <c r="B329" s="80" t="s">
        <v>298</v>
      </c>
      <c r="C329" s="79" t="s">
        <v>162</v>
      </c>
      <c r="D329" s="81">
        <f>'[1]8'!D14</f>
        <v>230</v>
      </c>
      <c r="E329" s="81"/>
    </row>
    <row r="330" spans="1:5" x14ac:dyDescent="0.25">
      <c r="A330" s="79" t="str">
        <f>'[1]8'!A15</f>
        <v>MKN 100-0167</v>
      </c>
      <c r="B330" s="80" t="s">
        <v>299</v>
      </c>
      <c r="C330" s="79" t="s">
        <v>162</v>
      </c>
      <c r="D330" s="81">
        <f>'[1]8'!D15</f>
        <v>340</v>
      </c>
      <c r="E330" s="81"/>
    </row>
    <row r="331" spans="1:5" x14ac:dyDescent="0.25">
      <c r="A331" s="79" t="str">
        <f>'[1]8'!A16</f>
        <v>MKN 100-0168</v>
      </c>
      <c r="B331" s="80" t="s">
        <v>300</v>
      </c>
      <c r="C331" s="79" t="s">
        <v>162</v>
      </c>
      <c r="D331" s="81">
        <f>'[1]8'!D16</f>
        <v>340</v>
      </c>
      <c r="E331" s="81"/>
    </row>
    <row r="332" spans="1:5" x14ac:dyDescent="0.25">
      <c r="A332" s="79" t="str">
        <f>'[1]8'!A17</f>
        <v>MKN 100-0169</v>
      </c>
      <c r="B332" s="80" t="s">
        <v>301</v>
      </c>
      <c r="C332" s="79" t="s">
        <v>162</v>
      </c>
      <c r="D332" s="81">
        <f>'[1]8'!D17</f>
        <v>400</v>
      </c>
      <c r="E332" s="81"/>
    </row>
    <row r="333" spans="1:5" x14ac:dyDescent="0.25">
      <c r="A333" s="79" t="str">
        <f>'[1]8'!A18</f>
        <v>MKN 100-0170</v>
      </c>
      <c r="B333" s="80" t="s">
        <v>302</v>
      </c>
      <c r="C333" s="79" t="s">
        <v>162</v>
      </c>
      <c r="D333" s="81">
        <f>'[1]8'!D18</f>
        <v>720</v>
      </c>
      <c r="E333" s="81"/>
    </row>
    <row r="334" spans="1:5" x14ac:dyDescent="0.25">
      <c r="A334" s="79" t="str">
        <f>'[1]8'!A19</f>
        <v>MKN 100-0171</v>
      </c>
      <c r="B334" s="80" t="s">
        <v>303</v>
      </c>
      <c r="C334" s="79" t="s">
        <v>162</v>
      </c>
      <c r="D334" s="81">
        <f>'[1]8'!D19</f>
        <v>900</v>
      </c>
      <c r="E334" s="81"/>
    </row>
    <row r="335" spans="1:5" x14ac:dyDescent="0.25">
      <c r="A335" s="82"/>
      <c r="B335" s="83"/>
      <c r="C335" s="82"/>
      <c r="D335" s="84"/>
      <c r="E335" s="84"/>
    </row>
    <row r="336" spans="1:5" ht="18" customHeight="1" x14ac:dyDescent="0.25">
      <c r="A336" s="42" t="s">
        <v>304</v>
      </c>
      <c r="B336" s="70"/>
      <c r="C336" s="71"/>
      <c r="D336" s="72"/>
      <c r="E336" s="72"/>
    </row>
    <row r="337" spans="1:6" x14ac:dyDescent="0.25">
      <c r="A337" s="73" t="s">
        <v>7</v>
      </c>
      <c r="B337" s="74" t="s">
        <v>8</v>
      </c>
      <c r="C337" s="73" t="s">
        <v>9</v>
      </c>
      <c r="D337" s="75" t="s">
        <v>12</v>
      </c>
      <c r="E337" s="75" t="s">
        <v>86</v>
      </c>
    </row>
    <row r="338" spans="1:6" x14ac:dyDescent="0.25">
      <c r="A338" s="76" t="str">
        <f>'[1]8'!A23</f>
        <v>MKN 100-0172</v>
      </c>
      <c r="B338" s="77" t="s">
        <v>305</v>
      </c>
      <c r="C338" s="76" t="s">
        <v>178</v>
      </c>
      <c r="D338" s="78">
        <f>'[1]8'!D23</f>
        <v>75</v>
      </c>
      <c r="E338" s="78">
        <f>'[1]8'!E23</f>
        <v>15</v>
      </c>
    </row>
    <row r="339" spans="1:6" x14ac:dyDescent="0.25">
      <c r="A339" s="79" t="str">
        <f>'[1]8'!A24</f>
        <v>MKN 100-0173</v>
      </c>
      <c r="B339" s="80" t="s">
        <v>306</v>
      </c>
      <c r="C339" s="79" t="s">
        <v>178</v>
      </c>
      <c r="D339" s="81">
        <f>'[1]8'!D24</f>
        <v>100</v>
      </c>
      <c r="E339" s="81">
        <f>'[1]8'!E24</f>
        <v>25</v>
      </c>
    </row>
    <row r="340" spans="1:6" x14ac:dyDescent="0.25">
      <c r="A340" s="82"/>
      <c r="B340" s="83"/>
      <c r="C340" s="82"/>
      <c r="D340" s="84"/>
      <c r="E340" s="84"/>
    </row>
    <row r="341" spans="1:6" ht="18" customHeight="1" x14ac:dyDescent="0.25">
      <c r="A341" s="42" t="s">
        <v>307</v>
      </c>
      <c r="B341" s="70"/>
      <c r="C341" s="71"/>
      <c r="D341" s="72"/>
      <c r="E341" s="72"/>
    </row>
    <row r="342" spans="1:6" x14ac:dyDescent="0.25">
      <c r="A342" s="73" t="s">
        <v>7</v>
      </c>
      <c r="B342" s="74" t="s">
        <v>8</v>
      </c>
      <c r="C342" s="73" t="s">
        <v>9</v>
      </c>
      <c r="D342" s="75" t="s">
        <v>75</v>
      </c>
      <c r="E342" s="85"/>
    </row>
    <row r="343" spans="1:6" x14ac:dyDescent="0.25">
      <c r="A343" s="76" t="str">
        <f>'[1]8'!A29</f>
        <v>MKN 100-0174</v>
      </c>
      <c r="B343" s="77" t="s">
        <v>308</v>
      </c>
      <c r="C343" s="76" t="s">
        <v>162</v>
      </c>
      <c r="D343" s="78">
        <f>'[1]8'!D29</f>
        <v>70</v>
      </c>
      <c r="E343" s="78"/>
    </row>
    <row r="344" spans="1:6" x14ac:dyDescent="0.25">
      <c r="A344" s="79" t="str">
        <f>'[1]8'!A30</f>
        <v>MKN 100-0175</v>
      </c>
      <c r="B344" s="80" t="s">
        <v>309</v>
      </c>
      <c r="C344" s="79" t="s">
        <v>162</v>
      </c>
      <c r="D344" s="81">
        <f>'[1]8'!D30</f>
        <v>120</v>
      </c>
      <c r="E344" s="81"/>
    </row>
    <row r="345" spans="1:6" x14ac:dyDescent="0.25">
      <c r="A345" s="79" t="str">
        <f>'[1]8'!A31</f>
        <v>MKN 100-0176</v>
      </c>
      <c r="B345" s="80" t="s">
        <v>310</v>
      </c>
      <c r="C345" s="79" t="s">
        <v>162</v>
      </c>
      <c r="D345" s="81">
        <f>'[1]8'!D31</f>
        <v>300</v>
      </c>
      <c r="E345" s="81"/>
    </row>
    <row r="346" spans="1:6" x14ac:dyDescent="0.25">
      <c r="A346" s="79" t="str">
        <f>'[1]8'!A32</f>
        <v>MKN 100-0177</v>
      </c>
      <c r="B346" s="80" t="s">
        <v>311</v>
      </c>
      <c r="C346" s="79" t="s">
        <v>162</v>
      </c>
      <c r="D346" s="81">
        <f>'[1]8'!D32</f>
        <v>320</v>
      </c>
      <c r="E346" s="81"/>
    </row>
    <row r="347" spans="1:6" x14ac:dyDescent="0.25">
      <c r="A347" s="79" t="str">
        <f>'[1]8'!A33</f>
        <v>MKN 100-0178</v>
      </c>
      <c r="B347" s="80" t="s">
        <v>312</v>
      </c>
      <c r="C347" s="79" t="s">
        <v>162</v>
      </c>
      <c r="D347" s="81">
        <f>'[1]8'!D33</f>
        <v>480</v>
      </c>
      <c r="E347" s="81"/>
    </row>
    <row r="348" spans="1:6" ht="30" x14ac:dyDescent="0.25">
      <c r="A348" s="79" t="str">
        <f>'[1]8'!A36</f>
        <v>MKN 100-0179</v>
      </c>
      <c r="B348" s="80" t="s">
        <v>313</v>
      </c>
      <c r="C348" s="79" t="s">
        <v>170</v>
      </c>
      <c r="D348" s="81">
        <f>'[1]8'!D36</f>
        <v>70</v>
      </c>
      <c r="E348" s="81"/>
    </row>
    <row r="349" spans="1:6" ht="30" x14ac:dyDescent="0.25">
      <c r="A349" s="79" t="str">
        <f>'[1]8'!A37</f>
        <v>MKN 100-0180</v>
      </c>
      <c r="B349" s="80" t="s">
        <v>314</v>
      </c>
      <c r="C349" s="79" t="s">
        <v>170</v>
      </c>
      <c r="D349" s="81">
        <f>'[1]8'!D37</f>
        <v>80</v>
      </c>
      <c r="E349" s="81"/>
    </row>
    <row r="350" spans="1:6" x14ac:dyDescent="0.25">
      <c r="A350" s="79" t="str">
        <f>'[1]8'!A38</f>
        <v>MKN 100-0181</v>
      </c>
      <c r="B350" s="80" t="s">
        <v>315</v>
      </c>
      <c r="C350" s="79" t="s">
        <v>170</v>
      </c>
      <c r="D350" s="81">
        <f>'[1]8'!D38</f>
        <v>75</v>
      </c>
      <c r="E350" s="81"/>
    </row>
    <row r="351" spans="1:6" x14ac:dyDescent="0.25">
      <c r="A351" s="82"/>
      <c r="B351" s="83"/>
      <c r="C351" s="82"/>
      <c r="D351" s="84"/>
      <c r="E351" s="84"/>
    </row>
    <row r="352" spans="1:6" ht="24" customHeight="1" thickBot="1" x14ac:dyDescent="0.3">
      <c r="A352" s="62" t="s">
        <v>316</v>
      </c>
      <c r="B352" s="63"/>
      <c r="C352" s="64"/>
      <c r="D352" s="65"/>
      <c r="E352" s="65"/>
      <c r="F352" s="66" t="s">
        <v>5</v>
      </c>
    </row>
    <row r="353" spans="1:5" ht="15.75" thickTop="1" x14ac:dyDescent="0.25">
      <c r="A353" s="67"/>
      <c r="B353" s="68"/>
      <c r="C353" s="67"/>
      <c r="D353" s="69"/>
      <c r="E353" s="69"/>
    </row>
    <row r="354" spans="1:5" ht="18" customHeight="1" x14ac:dyDescent="0.25">
      <c r="A354" s="42" t="s">
        <v>317</v>
      </c>
      <c r="B354" s="70"/>
      <c r="C354" s="71"/>
      <c r="D354" s="72"/>
      <c r="E354" s="72"/>
    </row>
    <row r="355" spans="1:5" x14ac:dyDescent="0.25">
      <c r="A355" s="73" t="s">
        <v>7</v>
      </c>
      <c r="B355" s="74" t="s">
        <v>8</v>
      </c>
      <c r="C355" s="73" t="s">
        <v>9</v>
      </c>
      <c r="D355" s="75" t="s">
        <v>12</v>
      </c>
      <c r="E355" s="75" t="s">
        <v>86</v>
      </c>
    </row>
    <row r="356" spans="1:5" x14ac:dyDescent="0.25">
      <c r="A356" s="76" t="str">
        <f>'[1]8'!A45</f>
        <v>MKN 100-0182</v>
      </c>
      <c r="B356" s="77" t="s">
        <v>318</v>
      </c>
      <c r="C356" s="76" t="s">
        <v>178</v>
      </c>
      <c r="D356" s="78">
        <f>'[1]8'!D45</f>
        <v>20</v>
      </c>
      <c r="E356" s="78">
        <f>'[1]8'!E45</f>
        <v>7</v>
      </c>
    </row>
    <row r="357" spans="1:5" x14ac:dyDescent="0.25">
      <c r="A357" s="79" t="str">
        <f>'[1]8'!A46</f>
        <v>MKN 100-0183</v>
      </c>
      <c r="B357" s="80" t="s">
        <v>319</v>
      </c>
      <c r="C357" s="79" t="s">
        <v>178</v>
      </c>
      <c r="D357" s="81">
        <f>'[1]8'!D46</f>
        <v>35</v>
      </c>
      <c r="E357" s="81">
        <f>'[1]8'!E46</f>
        <v>15</v>
      </c>
    </row>
    <row r="358" spans="1:5" x14ac:dyDescent="0.25">
      <c r="A358" s="79" t="str">
        <f>'[1]8'!A47</f>
        <v>MKN 100-0184</v>
      </c>
      <c r="B358" s="80" t="s">
        <v>320</v>
      </c>
      <c r="C358" s="79" t="s">
        <v>178</v>
      </c>
      <c r="D358" s="81">
        <f>'[1]8'!D47</f>
        <v>35</v>
      </c>
      <c r="E358" s="81">
        <f>'[1]8'!E47</f>
        <v>15</v>
      </c>
    </row>
    <row r="359" spans="1:5" x14ac:dyDescent="0.25">
      <c r="A359" s="79" t="str">
        <f>'[1]8'!A48</f>
        <v>MKN 100-0185</v>
      </c>
      <c r="B359" s="80" t="s">
        <v>321</v>
      </c>
      <c r="C359" s="79" t="s">
        <v>178</v>
      </c>
      <c r="D359" s="81">
        <f>'[1]8'!D48</f>
        <v>40</v>
      </c>
      <c r="E359" s="81">
        <f>'[1]8'!E48</f>
        <v>18</v>
      </c>
    </row>
    <row r="360" spans="1:5" x14ac:dyDescent="0.25">
      <c r="A360" s="79" t="str">
        <f>'[1]8'!A49</f>
        <v>MKN 100-0186</v>
      </c>
      <c r="B360" s="80" t="s">
        <v>322</v>
      </c>
      <c r="C360" s="79" t="s">
        <v>178</v>
      </c>
      <c r="D360" s="81">
        <f>'[1]8'!D49</f>
        <v>85</v>
      </c>
      <c r="E360" s="81">
        <f>'[1]8'!E49</f>
        <v>20</v>
      </c>
    </row>
    <row r="361" spans="1:5" x14ac:dyDescent="0.25">
      <c r="A361" s="79" t="str">
        <f>'[1]8'!A50</f>
        <v>MKN 100-0187</v>
      </c>
      <c r="B361" s="80" t="s">
        <v>323</v>
      </c>
      <c r="C361" s="79" t="s">
        <v>178</v>
      </c>
      <c r="D361" s="81">
        <f>'[1]8'!D50</f>
        <v>85</v>
      </c>
      <c r="E361" s="81">
        <f>'[1]8'!E50</f>
        <v>20</v>
      </c>
    </row>
    <row r="362" spans="1:5" x14ac:dyDescent="0.25">
      <c r="A362" s="82"/>
      <c r="B362" s="83"/>
      <c r="C362" s="82"/>
      <c r="D362" s="84"/>
      <c r="E362" s="84"/>
    </row>
    <row r="363" spans="1:5" ht="18" customHeight="1" x14ac:dyDescent="0.25">
      <c r="A363" s="42" t="s">
        <v>324</v>
      </c>
      <c r="B363" s="70"/>
      <c r="C363" s="71"/>
      <c r="D363" s="72"/>
      <c r="E363" s="72"/>
    </row>
    <row r="364" spans="1:5" x14ac:dyDescent="0.25">
      <c r="A364" s="73" t="s">
        <v>7</v>
      </c>
      <c r="B364" s="74" t="s">
        <v>8</v>
      </c>
      <c r="C364" s="73" t="s">
        <v>9</v>
      </c>
      <c r="D364" s="75" t="s">
        <v>75</v>
      </c>
      <c r="E364" s="85"/>
    </row>
    <row r="365" spans="1:5" x14ac:dyDescent="0.25">
      <c r="A365" s="76" t="str">
        <f>'[1]8'!A55</f>
        <v>MKN 100-0188</v>
      </c>
      <c r="B365" s="77" t="s">
        <v>325</v>
      </c>
      <c r="C365" s="76" t="s">
        <v>162</v>
      </c>
      <c r="D365" s="78">
        <f>'[1]8'!D55</f>
        <v>55</v>
      </c>
      <c r="E365" s="78"/>
    </row>
    <row r="366" spans="1:5" x14ac:dyDescent="0.25">
      <c r="A366" s="79" t="str">
        <f>'[1]8'!A56</f>
        <v>MKN 100-0189</v>
      </c>
      <c r="B366" s="80" t="s">
        <v>326</v>
      </c>
      <c r="C366" s="79" t="s">
        <v>162</v>
      </c>
      <c r="D366" s="81">
        <f>'[1]8'!D56</f>
        <v>70</v>
      </c>
      <c r="E366" s="81"/>
    </row>
    <row r="367" spans="1:5" x14ac:dyDescent="0.25">
      <c r="A367" s="79" t="str">
        <f>'[1]8'!A57</f>
        <v>MKN 100-0190</v>
      </c>
      <c r="B367" s="80" t="s">
        <v>327</v>
      </c>
      <c r="C367" s="79" t="s">
        <v>162</v>
      </c>
      <c r="D367" s="81">
        <f>'[1]8'!D57</f>
        <v>70</v>
      </c>
      <c r="E367" s="81"/>
    </row>
    <row r="368" spans="1:5" x14ac:dyDescent="0.25">
      <c r="A368" s="79" t="str">
        <f>'[1]8'!A58</f>
        <v>MKN 100-0191</v>
      </c>
      <c r="B368" s="80" t="s">
        <v>328</v>
      </c>
      <c r="C368" s="79" t="s">
        <v>162</v>
      </c>
      <c r="D368" s="81">
        <f>'[1]8'!D58</f>
        <v>85</v>
      </c>
      <c r="E368" s="81"/>
    </row>
    <row r="369" spans="1:5" x14ac:dyDescent="0.25">
      <c r="A369" s="79" t="str">
        <f>'[1]8'!A59</f>
        <v>MKN 100-0192</v>
      </c>
      <c r="B369" s="80" t="s">
        <v>329</v>
      </c>
      <c r="C369" s="79" t="s">
        <v>162</v>
      </c>
      <c r="D369" s="81">
        <f>'[1]8'!D59</f>
        <v>85</v>
      </c>
      <c r="E369" s="81"/>
    </row>
    <row r="370" spans="1:5" x14ac:dyDescent="0.25">
      <c r="A370" s="79" t="str">
        <f>'[1]8'!A60</f>
        <v>MKN 100-0193</v>
      </c>
      <c r="B370" s="80" t="s">
        <v>330</v>
      </c>
      <c r="C370" s="79" t="s">
        <v>162</v>
      </c>
      <c r="D370" s="81">
        <f>'[1]8'!D60</f>
        <v>130</v>
      </c>
      <c r="E370" s="81"/>
    </row>
    <row r="371" spans="1:5" x14ac:dyDescent="0.25">
      <c r="A371" s="82"/>
      <c r="B371" s="83"/>
      <c r="C371" s="82"/>
      <c r="D371" s="84"/>
      <c r="E371" s="84"/>
    </row>
    <row r="372" spans="1:5" ht="18" customHeight="1" x14ac:dyDescent="0.25">
      <c r="A372" s="42" t="s">
        <v>331</v>
      </c>
      <c r="B372" s="70"/>
      <c r="C372" s="71"/>
      <c r="D372" s="72"/>
      <c r="E372" s="72"/>
    </row>
    <row r="373" spans="1:5" x14ac:dyDescent="0.25">
      <c r="A373" s="73" t="s">
        <v>7</v>
      </c>
      <c r="B373" s="74" t="s">
        <v>8</v>
      </c>
      <c r="C373" s="73" t="s">
        <v>9</v>
      </c>
      <c r="D373" s="75" t="s">
        <v>75</v>
      </c>
      <c r="E373" s="85"/>
    </row>
    <row r="374" spans="1:5" x14ac:dyDescent="0.25">
      <c r="A374" s="76" t="str">
        <f>'[1]8'!A65</f>
        <v>MKN 100-0194</v>
      </c>
      <c r="B374" s="77" t="s">
        <v>332</v>
      </c>
      <c r="C374" s="76" t="s">
        <v>171</v>
      </c>
      <c r="D374" s="78">
        <f>'[1]8'!D65</f>
        <v>110</v>
      </c>
      <c r="E374" s="78"/>
    </row>
    <row r="375" spans="1:5" x14ac:dyDescent="0.25">
      <c r="A375" s="79" t="str">
        <f>'[1]8'!A67</f>
        <v>MKN 100-0195</v>
      </c>
      <c r="B375" s="80" t="s">
        <v>333</v>
      </c>
      <c r="C375" s="79" t="s">
        <v>171</v>
      </c>
      <c r="D375" s="81">
        <f>'[1]8'!D67</f>
        <v>130</v>
      </c>
      <c r="E375" s="81"/>
    </row>
    <row r="376" spans="1:5" x14ac:dyDescent="0.25">
      <c r="A376" s="79" t="str">
        <f>'[1]8'!A68</f>
        <v>MKN 100-0196</v>
      </c>
      <c r="B376" s="80" t="s">
        <v>334</v>
      </c>
      <c r="C376" s="79" t="s">
        <v>171</v>
      </c>
      <c r="D376" s="81">
        <f>'[1]8'!D68</f>
        <v>330</v>
      </c>
      <c r="E376" s="81"/>
    </row>
    <row r="377" spans="1:5" x14ac:dyDescent="0.25">
      <c r="A377" s="79" t="str">
        <f>'[1]8'!A69</f>
        <v>MKN 100-0197</v>
      </c>
      <c r="B377" s="80" t="s">
        <v>335</v>
      </c>
      <c r="C377" s="79" t="s">
        <v>171</v>
      </c>
      <c r="D377" s="81">
        <f>'[1]8'!D69</f>
        <v>320</v>
      </c>
      <c r="E377" s="81"/>
    </row>
    <row r="378" spans="1:5" x14ac:dyDescent="0.25">
      <c r="A378" s="79" t="str">
        <f>'[1]8'!A70</f>
        <v>MKN 100-0198</v>
      </c>
      <c r="B378" s="80" t="s">
        <v>336</v>
      </c>
      <c r="C378" s="79" t="s">
        <v>171</v>
      </c>
      <c r="D378" s="81">
        <f>'[1]8'!D70</f>
        <v>500</v>
      </c>
      <c r="E378" s="81"/>
    </row>
    <row r="379" spans="1:5" x14ac:dyDescent="0.25">
      <c r="A379" s="79" t="str">
        <f>'[1]8'!A71</f>
        <v>MKN 100-0199</v>
      </c>
      <c r="B379" s="80" t="s">
        <v>337</v>
      </c>
      <c r="C379" s="79" t="s">
        <v>171</v>
      </c>
      <c r="D379" s="81">
        <f>'[1]8'!D71</f>
        <v>590</v>
      </c>
      <c r="E379" s="81"/>
    </row>
    <row r="380" spans="1:5" x14ac:dyDescent="0.25">
      <c r="A380" s="79" t="str">
        <f>'[1]8'!A72</f>
        <v>MKN 100-0200</v>
      </c>
      <c r="B380" s="80" t="s">
        <v>338</v>
      </c>
      <c r="C380" s="79" t="s">
        <v>171</v>
      </c>
      <c r="D380" s="81">
        <f>'[1]8'!D72</f>
        <v>850</v>
      </c>
      <c r="E380" s="81"/>
    </row>
    <row r="381" spans="1:5" x14ac:dyDescent="0.25">
      <c r="A381" s="79" t="str">
        <f>'[1]8'!A73</f>
        <v>MKN 100-0201</v>
      </c>
      <c r="B381" s="80" t="s">
        <v>339</v>
      </c>
      <c r="C381" s="79" t="s">
        <v>171</v>
      </c>
      <c r="D381" s="81">
        <f>'[1]8'!D73</f>
        <v>1010</v>
      </c>
      <c r="E381" s="81"/>
    </row>
    <row r="382" spans="1:5" x14ac:dyDescent="0.25">
      <c r="A382" s="82" t="str">
        <f>'[1]8'!A74</f>
        <v>MKN 100-0202</v>
      </c>
      <c r="B382" s="83" t="s">
        <v>340</v>
      </c>
      <c r="C382" s="82" t="s">
        <v>171</v>
      </c>
      <c r="D382" s="84">
        <f>'[1]8'!D74</f>
        <v>1500</v>
      </c>
      <c r="E382" s="84"/>
    </row>
    <row r="383" spans="1:5" x14ac:dyDescent="0.25">
      <c r="A383" s="57"/>
      <c r="B383" s="100"/>
      <c r="C383" s="57"/>
      <c r="D383" s="101"/>
      <c r="E383" s="101"/>
    </row>
    <row r="384" spans="1:5" ht="40.15" customHeight="1" x14ac:dyDescent="0.25">
      <c r="A384" s="461" t="s">
        <v>341</v>
      </c>
      <c r="B384" s="461"/>
      <c r="C384" s="461"/>
      <c r="D384" s="461"/>
      <c r="E384" s="461"/>
    </row>
  </sheetData>
  <mergeCells count="1">
    <mergeCell ref="A384:E384"/>
  </mergeCells>
  <hyperlinks>
    <hyperlink ref="F6" location="Contents!A1" tooltip="Back to Contents" display="← Contents" xr:uid="{2D278BFD-C812-428F-BD4B-6D2275934606}"/>
    <hyperlink ref="F16" location="Contents!A1" tooltip="Back to Contents" display="← Contents" xr:uid="{02D31979-9154-41A7-9287-D520ADB588FA}"/>
    <hyperlink ref="F44" location="Contents!A1" tooltip="Back to Contents" display="← Contents" xr:uid="{DA967145-DFC6-4690-9E4B-DD002C9CF11D}"/>
    <hyperlink ref="F55" location="Contents!A1" tooltip="Back to Contents" display="← Contents" xr:uid="{92847390-A761-4EDE-96E5-C4AEEBD1BCC4}"/>
    <hyperlink ref="F93" location="Contents!A1" tooltip="Back to Contents" display="← Contents" xr:uid="{EE4228C8-917C-43BE-AA44-1E42E9BA798B}"/>
    <hyperlink ref="F116" location="Contents!A1" tooltip="Back to Contents" display="← Contents" xr:uid="{004FF0FE-B6EB-4151-AD76-6B525CAB96D3}"/>
    <hyperlink ref="F139" location="Contents!A1" tooltip="Back to Contents" display="← Contents" xr:uid="{B0EE3B63-5962-4429-820B-6A36C861413D}"/>
    <hyperlink ref="F148" location="Contents!A1" tooltip="Back to Contents" display="← Contents" xr:uid="{ACF65598-CC0D-48A5-845C-19E8E2327842}"/>
    <hyperlink ref="F165" location="Contents!A1" tooltip="Back to Contents" display="← Contents" xr:uid="{C5EE10C5-9A5D-4DAE-A1BC-BA560928141D}"/>
    <hyperlink ref="F190" location="Contents!A1" tooltip="Back to Contents" display="← Contents" xr:uid="{F1681BF5-7A3C-4327-A146-5101645178F3}"/>
    <hyperlink ref="F235" location="Contents!A1" tooltip="Back to Contents" display="← Contents" xr:uid="{9DE61EBE-ED08-4EFB-9314-B9871A80F2D1}"/>
    <hyperlink ref="F265" location="Contents!A1" tooltip="Back to Contents" display="← Contents" xr:uid="{5DF5EAE9-AC31-4C5A-8389-24014A217968}"/>
    <hyperlink ref="F293" location="Contents!A1" tooltip="Back to Contents" display="← Contents" xr:uid="{C9F982C1-2571-440E-A3C3-9D34E9C111F4}"/>
    <hyperlink ref="F320" location="Contents!A1" tooltip="Back to Contents" display="← Contents" xr:uid="{345AB179-538C-4DC6-BE28-DB563D109734}"/>
    <hyperlink ref="F352" location="Contents!A1" tooltip="Back to Contents" display="← Contents" xr:uid="{57A168AC-6811-4962-9423-00685AF54156}"/>
  </hyperlinks>
  <pageMargins left="0.3888888888888889" right="0.3888888888888889" top="0.5" bottom="0.5" header="0.30000000000000004" footer="0.30000000000000004"/>
  <pageSetup fitToHeight="0" orientation="portrait" r:id="rId1"/>
  <rowBreaks count="7" manualBreakCount="7">
    <brk id="42" max="16383" man="1"/>
    <brk id="79" max="4" man="1"/>
    <brk id="114" max="16383" man="1"/>
    <brk id="188" max="16383" man="1"/>
    <brk id="223" max="16383" man="1"/>
    <brk id="300" max="16383" man="1"/>
    <brk id="33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64FA2-A22C-4C0A-A551-BA656AB08B3C}">
  <sheetPr>
    <pageSetUpPr fitToPage="1"/>
  </sheetPr>
  <dimension ref="A1:F772"/>
  <sheetViews>
    <sheetView showGridLines="0" zoomScale="85" zoomScaleNormal="85" workbookViewId="0">
      <pane ySplit="4" topLeftCell="A5" activePane="bottomLeft" state="frozen"/>
      <selection pane="bottomLeft" sqref="A1:XFD1"/>
    </sheetView>
  </sheetViews>
  <sheetFormatPr defaultRowHeight="15" x14ac:dyDescent="0.25"/>
  <cols>
    <col min="1" max="1" width="12.5703125" customWidth="1"/>
    <col min="2" max="2" width="40.5703125" customWidth="1"/>
    <col min="3" max="6" width="12.140625" customWidth="1"/>
  </cols>
  <sheetData>
    <row r="1" spans="1:6" ht="21" x14ac:dyDescent="0.25">
      <c r="A1" s="56" t="s">
        <v>2625</v>
      </c>
      <c r="B1" s="57"/>
      <c r="C1" s="57"/>
      <c r="D1" s="57"/>
      <c r="E1" s="57"/>
    </row>
    <row r="2" spans="1:6" x14ac:dyDescent="0.25">
      <c r="A2" s="104" t="s">
        <v>0</v>
      </c>
      <c r="B2" s="102"/>
      <c r="C2" s="103"/>
      <c r="D2" s="103"/>
      <c r="E2" s="103"/>
      <c r="F2" s="103"/>
    </row>
    <row r="3" spans="1:6" x14ac:dyDescent="0.25">
      <c r="A3" s="105" t="s">
        <v>342</v>
      </c>
      <c r="B3" s="102"/>
      <c r="C3" s="103"/>
      <c r="D3" s="103"/>
      <c r="E3" s="103"/>
      <c r="F3" s="103"/>
    </row>
    <row r="4" spans="1:6" x14ac:dyDescent="0.25">
      <c r="A4" s="106" t="s">
        <v>2</v>
      </c>
      <c r="B4" s="107"/>
      <c r="C4" s="108"/>
      <c r="D4" s="108" t="s">
        <v>3</v>
      </c>
      <c r="E4" s="109">
        <f ca="1">TODAY()</f>
        <v>46251</v>
      </c>
      <c r="F4" s="110"/>
    </row>
    <row r="5" spans="1:6" ht="24" customHeight="1" x14ac:dyDescent="0.25">
      <c r="A5" s="111"/>
      <c r="B5" s="102"/>
      <c r="C5" s="103"/>
      <c r="D5" s="103"/>
      <c r="E5" s="103"/>
      <c r="F5" s="103"/>
    </row>
    <row r="6" spans="1:6" ht="21.95" customHeight="1" thickBot="1" x14ac:dyDescent="0.3">
      <c r="A6" s="10" t="s">
        <v>4</v>
      </c>
      <c r="B6" s="11"/>
      <c r="C6" s="13"/>
      <c r="D6" s="13"/>
      <c r="E6" s="13"/>
      <c r="F6" s="14" t="s">
        <v>5</v>
      </c>
    </row>
    <row r="7" spans="1:6" ht="6" customHeight="1" thickTop="1" x14ac:dyDescent="0.25">
      <c r="A7" s="112"/>
      <c r="B7" s="113"/>
      <c r="C7" s="114"/>
      <c r="D7" s="114"/>
      <c r="E7" s="114"/>
      <c r="F7" s="114"/>
    </row>
    <row r="8" spans="1:6" ht="15.95" customHeight="1" x14ac:dyDescent="0.25">
      <c r="A8" s="115" t="s">
        <v>343</v>
      </c>
      <c r="B8" s="116"/>
      <c r="C8" s="117"/>
      <c r="D8" s="117"/>
      <c r="E8" s="117"/>
      <c r="F8" s="117"/>
    </row>
    <row r="9" spans="1:6" x14ac:dyDescent="0.25">
      <c r="A9" s="118" t="s">
        <v>7</v>
      </c>
      <c r="B9" s="118" t="s">
        <v>8</v>
      </c>
      <c r="C9" s="119" t="s">
        <v>9</v>
      </c>
      <c r="D9" s="119" t="s">
        <v>344</v>
      </c>
      <c r="E9" s="120"/>
      <c r="F9" s="120"/>
    </row>
    <row r="10" spans="1:6" x14ac:dyDescent="0.25">
      <c r="A10" s="22" t="str">
        <f>'[2]1'!A5</f>
        <v>MKN 100-203</v>
      </c>
      <c r="B10" s="23" t="str">
        <f>'[2]1'!B5</f>
        <v>Redress charge for fishing jar thru 6 ½” OD</v>
      </c>
      <c r="C10" s="25" t="str">
        <f>'[2]1'!C5</f>
        <v>Per run</v>
      </c>
      <c r="D10" s="25">
        <f>'[2]1'!D5</f>
        <v>800</v>
      </c>
      <c r="E10" s="114"/>
      <c r="F10" s="114"/>
    </row>
    <row r="11" spans="1:6" x14ac:dyDescent="0.25">
      <c r="A11" s="26" t="str">
        <f>'[2]1'!A6</f>
        <v>MKN 100-204</v>
      </c>
      <c r="B11" s="27" t="str">
        <f>'[2]1'!B6</f>
        <v>Redress charge for fishing jar thru 8 ¾” OD</v>
      </c>
      <c r="C11" s="29" t="str">
        <f>'[2]1'!C6</f>
        <v>Per run</v>
      </c>
      <c r="D11" s="29">
        <f>'[2]1'!D6</f>
        <v>900</v>
      </c>
      <c r="E11" s="114"/>
      <c r="F11" s="114"/>
    </row>
    <row r="12" spans="1:6" x14ac:dyDescent="0.25">
      <c r="A12" s="26" t="str">
        <f>'[2]1'!A7</f>
        <v>MKN 100-205</v>
      </c>
      <c r="B12" s="27" t="str">
        <f>'[2]1'!B7</f>
        <v>Redress charge for bumper sub thru 6 ¼” OD</v>
      </c>
      <c r="C12" s="29" t="str">
        <f>'[2]1'!C7</f>
        <v>Per run</v>
      </c>
      <c r="D12" s="29">
        <f>'[2]1'!D7</f>
        <v>600</v>
      </c>
      <c r="E12" s="114"/>
      <c r="F12" s="114"/>
    </row>
    <row r="13" spans="1:6" x14ac:dyDescent="0.25">
      <c r="A13" s="26" t="str">
        <f>'[2]1'!A8</f>
        <v>MKN 100-206</v>
      </c>
      <c r="B13" s="27" t="str">
        <f>'[2]1'!B8</f>
        <v>Redress charge for bumper sub thru 8 ¾” OD</v>
      </c>
      <c r="C13" s="29" t="str">
        <f>'[2]1'!C8</f>
        <v>Per run</v>
      </c>
      <c r="D13" s="29">
        <f>'[2]1'!D8</f>
        <v>700</v>
      </c>
      <c r="E13" s="114"/>
      <c r="F13" s="114"/>
    </row>
    <row r="14" spans="1:6" ht="6" customHeight="1" x14ac:dyDescent="0.25">
      <c r="A14" s="112"/>
      <c r="B14" s="113"/>
      <c r="C14" s="114"/>
      <c r="D14" s="114"/>
      <c r="E14" s="114"/>
      <c r="F14" s="114"/>
    </row>
    <row r="15" spans="1:6" ht="15.95" customHeight="1" x14ac:dyDescent="0.25">
      <c r="A15" s="115" t="s">
        <v>345</v>
      </c>
      <c r="B15" s="116"/>
      <c r="C15" s="117"/>
      <c r="D15" s="117"/>
      <c r="E15" s="117"/>
      <c r="F15" s="117"/>
    </row>
    <row r="16" spans="1:6" x14ac:dyDescent="0.25">
      <c r="A16" s="118" t="s">
        <v>7</v>
      </c>
      <c r="B16" s="118" t="s">
        <v>8</v>
      </c>
      <c r="C16" s="119" t="s">
        <v>9</v>
      </c>
      <c r="D16" s="119" t="s">
        <v>344</v>
      </c>
      <c r="E16" s="120"/>
      <c r="F16" s="120"/>
    </row>
    <row r="17" spans="1:6" x14ac:dyDescent="0.25">
      <c r="A17" s="22" t="str">
        <f>'[2]1'!A12</f>
        <v>MKN 100-207</v>
      </c>
      <c r="B17" s="23" t="str">
        <f>'[2]1'!B12</f>
        <v>Refill impression block thru 8” OD</v>
      </c>
      <c r="C17" s="25" t="str">
        <f>'[2]1'!C12</f>
        <v>Per run</v>
      </c>
      <c r="D17" s="25">
        <f>'[2]1'!D12</f>
        <v>910</v>
      </c>
      <c r="E17" s="114"/>
      <c r="F17" s="114"/>
    </row>
    <row r="18" spans="1:6" x14ac:dyDescent="0.25">
      <c r="A18" s="26" t="str">
        <f>'[2]1'!A13</f>
        <v>MKN 100-208</v>
      </c>
      <c r="B18" s="27" t="str">
        <f>'[2]1'!B13</f>
        <v>Refill impression block thru 13 3/8” OD</v>
      </c>
      <c r="C18" s="29" t="str">
        <f>'[2]1'!C13</f>
        <v>Per run</v>
      </c>
      <c r="D18" s="29">
        <f>'[2]1'!D13</f>
        <v>990</v>
      </c>
      <c r="E18" s="114"/>
      <c r="F18" s="114"/>
    </row>
    <row r="19" spans="1:6" ht="24" x14ac:dyDescent="0.25">
      <c r="A19" s="26" t="str">
        <f>'[2]1'!A14</f>
        <v>MKN 100-209</v>
      </c>
      <c r="B19" s="27" t="str">
        <f>'[2]1'!B14</f>
        <v>Redress junk basket with tungsten carbide thru 8 ¾” OD</v>
      </c>
      <c r="C19" s="29" t="str">
        <f>'[2]1'!C14</f>
        <v>Per run</v>
      </c>
      <c r="D19" s="29">
        <f>'[2]1'!D14</f>
        <v>760</v>
      </c>
      <c r="E19" s="114"/>
      <c r="F19" s="114"/>
    </row>
    <row r="20" spans="1:6" ht="24" x14ac:dyDescent="0.25">
      <c r="A20" s="26" t="str">
        <f>'[2]1'!A15</f>
        <v>MKN 100-210</v>
      </c>
      <c r="B20" s="27" t="str">
        <f>'[2]1'!B15</f>
        <v>Redress junk basket with tungsten carbide thru 13 3/8” OD</v>
      </c>
      <c r="C20" s="29" t="str">
        <f>'[2]1'!C15</f>
        <v>Per run</v>
      </c>
      <c r="D20" s="29">
        <f>'[2]1'!D15</f>
        <v>885</v>
      </c>
      <c r="E20" s="114"/>
      <c r="F20" s="114"/>
    </row>
    <row r="21" spans="1:6" x14ac:dyDescent="0.25">
      <c r="A21" s="26" t="str">
        <f>'[2]1'!A16</f>
        <v>MKN 100-211</v>
      </c>
      <c r="B21" s="27" t="str">
        <f>'[2]1'!B16</f>
        <v>Redress charge for washover pipe all sizes</v>
      </c>
      <c r="C21" s="121" t="str">
        <f>'[2]1'!C16</f>
        <v>…..</v>
      </c>
      <c r="D21" s="29">
        <f>'[2]1'!D16</f>
        <v>2750</v>
      </c>
      <c r="E21" s="114"/>
      <c r="F21" s="114"/>
    </row>
    <row r="22" spans="1:6" ht="6" customHeight="1" x14ac:dyDescent="0.25">
      <c r="A22" s="112"/>
      <c r="B22" s="113"/>
      <c r="C22" s="114"/>
      <c r="D22" s="114"/>
      <c r="E22" s="114"/>
      <c r="F22" s="114"/>
    </row>
    <row r="23" spans="1:6" ht="15.95" customHeight="1" x14ac:dyDescent="0.25">
      <c r="A23" s="115" t="s">
        <v>346</v>
      </c>
      <c r="B23" s="116"/>
      <c r="C23" s="117"/>
      <c r="D23" s="117"/>
      <c r="E23" s="117"/>
      <c r="F23" s="117"/>
    </row>
    <row r="24" spans="1:6" ht="23.25" x14ac:dyDescent="0.25">
      <c r="A24" s="118" t="s">
        <v>7</v>
      </c>
      <c r="B24" s="118" t="s">
        <v>8</v>
      </c>
      <c r="C24" s="119" t="s">
        <v>347</v>
      </c>
      <c r="D24" s="119" t="s">
        <v>348</v>
      </c>
      <c r="E24" s="120"/>
      <c r="F24" s="120"/>
    </row>
    <row r="25" spans="1:6" x14ac:dyDescent="0.25">
      <c r="A25" s="22" t="str">
        <f>'[2]1'!A21</f>
        <v>MKN 100-212</v>
      </c>
      <c r="B25" s="23" t="str">
        <f>'[2]1'!B21</f>
        <v>Skirted mill thru 8 ¾” OD</v>
      </c>
      <c r="C25" s="25">
        <f>'[2]1'!D21</f>
        <v>1350</v>
      </c>
      <c r="D25" s="25">
        <f>'[2]1'!E21</f>
        <v>500</v>
      </c>
      <c r="E25" s="114"/>
      <c r="F25" s="114"/>
    </row>
    <row r="26" spans="1:6" x14ac:dyDescent="0.25">
      <c r="A26" s="26" t="str">
        <f>'[2]1'!A22</f>
        <v>MKN 100-213</v>
      </c>
      <c r="B26" s="27" t="str">
        <f>'[2]1'!B22</f>
        <v>Skirted mill thru 13 3/8” OD</v>
      </c>
      <c r="C26" s="29">
        <f>'[2]1'!D22</f>
        <v>1550</v>
      </c>
      <c r="D26" s="29">
        <f>'[2]1'!E22</f>
        <v>600</v>
      </c>
      <c r="E26" s="114"/>
      <c r="F26" s="114"/>
    </row>
    <row r="27" spans="1:6" ht="24" x14ac:dyDescent="0.25">
      <c r="A27" s="26" t="str">
        <f>'[2]1'!A23</f>
        <v>MKN 100-214</v>
      </c>
      <c r="B27" s="27" t="str">
        <f>'[2]1'!B23</f>
        <v>Refill washover pipe dressed with crushed carbide for skirted mill all</v>
      </c>
      <c r="C27" s="29">
        <f>'[2]1'!D23</f>
        <v>1250</v>
      </c>
      <c r="D27" s="121"/>
      <c r="E27" s="114"/>
      <c r="F27" s="114"/>
    </row>
    <row r="28" spans="1:6" ht="24" x14ac:dyDescent="0.25">
      <c r="A28" s="26" t="str">
        <f>'[2]1'!A24</f>
        <v>MKN 100-215</v>
      </c>
      <c r="B28" s="27" t="str">
        <f>'[2]1'!B24</f>
        <v>Refill junk mill with crushed carbide for skirted mill all sizes</v>
      </c>
      <c r="C28" s="29">
        <f>'[2]1'!D24</f>
        <v>1350</v>
      </c>
      <c r="D28" s="121"/>
      <c r="E28" s="114"/>
      <c r="F28" s="114"/>
    </row>
    <row r="29" spans="1:6" x14ac:dyDescent="0.25">
      <c r="A29" s="26" t="str">
        <f>'[2]1'!A25</f>
        <v>MKN 100-216</v>
      </c>
      <c r="B29" s="27" t="str">
        <f>'[2]1'!B25</f>
        <v>Flat bottom Mill all size</v>
      </c>
      <c r="C29" s="29">
        <f>'[2]1'!D25</f>
        <v>385</v>
      </c>
      <c r="D29" s="121"/>
      <c r="E29" s="114"/>
      <c r="F29" s="114"/>
    </row>
    <row r="30" spans="1:6" x14ac:dyDescent="0.25">
      <c r="A30" s="26" t="str">
        <f>'[2]1'!A26</f>
        <v>MKN 100-217</v>
      </c>
      <c r="B30" s="27" t="str">
        <f>'[2]1'!B26</f>
        <v>Refill flat bottom mill all size</v>
      </c>
      <c r="C30" s="29">
        <f>'[2]1'!D26</f>
        <v>575</v>
      </c>
      <c r="D30" s="121"/>
      <c r="E30" s="114"/>
      <c r="F30" s="114"/>
    </row>
    <row r="31" spans="1:6" ht="6" customHeight="1" x14ac:dyDescent="0.25">
      <c r="A31" s="112"/>
      <c r="B31" s="113"/>
      <c r="C31" s="114"/>
      <c r="D31" s="114"/>
      <c r="E31" s="114"/>
      <c r="F31" s="114"/>
    </row>
    <row r="32" spans="1:6" ht="15.95" customHeight="1" x14ac:dyDescent="0.25">
      <c r="A32" s="115" t="s">
        <v>349</v>
      </c>
      <c r="B32" s="116"/>
      <c r="C32" s="117"/>
      <c r="D32" s="117"/>
      <c r="E32" s="117"/>
      <c r="F32" s="117"/>
    </row>
    <row r="33" spans="1:6" x14ac:dyDescent="0.25">
      <c r="A33" s="118" t="s">
        <v>7</v>
      </c>
      <c r="B33" s="118" t="s">
        <v>8</v>
      </c>
      <c r="C33" s="119" t="s">
        <v>9</v>
      </c>
      <c r="D33" s="119" t="s">
        <v>344</v>
      </c>
      <c r="E33" s="120"/>
      <c r="F33" s="120"/>
    </row>
    <row r="34" spans="1:6" x14ac:dyDescent="0.25">
      <c r="A34" s="22" t="str">
        <f>'[2]1'!A30</f>
        <v>MKN 100-218</v>
      </c>
      <c r="B34" s="23" t="str">
        <f>'[2]1'!B30</f>
        <v>Cable spear thru 8 ¾” OD</v>
      </c>
      <c r="C34" s="25" t="str">
        <f>'[2]1'!C30</f>
        <v>Per run</v>
      </c>
      <c r="D34" s="25">
        <f>'[2]1'!D30</f>
        <v>1650</v>
      </c>
      <c r="E34" s="114"/>
      <c r="F34" s="114"/>
    </row>
    <row r="35" spans="1:6" x14ac:dyDescent="0.25">
      <c r="A35" s="26" t="str">
        <f>'[2]1'!A31</f>
        <v>MKN 100-219</v>
      </c>
      <c r="B35" s="27" t="str">
        <f>'[2]1'!B31</f>
        <v>Cable spear thru 13 3/8” OD</v>
      </c>
      <c r="C35" s="29" t="str">
        <f>'[2]1'!C31</f>
        <v>Per run</v>
      </c>
      <c r="D35" s="29">
        <f>'[2]1'!D31</f>
        <v>1850</v>
      </c>
      <c r="E35" s="114"/>
      <c r="F35" s="114"/>
    </row>
    <row r="36" spans="1:6" x14ac:dyDescent="0.25">
      <c r="A36" s="26" t="str">
        <f>'[2]1'!A32</f>
        <v>MKN 100-220</v>
      </c>
      <c r="B36" s="27" t="str">
        <f>'[2]1'!B32</f>
        <v>Redress kit overshot wide range for all sizes</v>
      </c>
      <c r="C36" s="121"/>
      <c r="D36" s="29">
        <f>'[2]1'!D32</f>
        <v>2850</v>
      </c>
      <c r="E36" s="114"/>
      <c r="F36" s="114"/>
    </row>
    <row r="37" spans="1:6" ht="24" x14ac:dyDescent="0.25">
      <c r="A37" s="26" t="str">
        <f>'[2]1'!A33</f>
        <v>MKN 100-221</v>
      </c>
      <c r="B37" s="27" t="str">
        <f>'[2]1'!B33</f>
        <v>Inspection charge for all tools as per third party company invoice</v>
      </c>
      <c r="C37" s="29" t="str">
        <f>'[2]1'!C33</f>
        <v>Per tool</v>
      </c>
      <c r="D37" s="29"/>
      <c r="E37" s="114"/>
      <c r="F37" s="114"/>
    </row>
    <row r="38" spans="1:6" ht="6" customHeight="1" x14ac:dyDescent="0.25">
      <c r="A38" s="112"/>
      <c r="B38" s="113"/>
      <c r="C38" s="114"/>
      <c r="D38" s="114"/>
      <c r="E38" s="114"/>
      <c r="F38" s="114"/>
    </row>
    <row r="39" spans="1:6" ht="15.95" customHeight="1" x14ac:dyDescent="0.25">
      <c r="A39" s="115" t="s">
        <v>350</v>
      </c>
      <c r="B39" s="116"/>
      <c r="C39" s="117"/>
      <c r="D39" s="117"/>
      <c r="E39" s="117"/>
      <c r="F39" s="117"/>
    </row>
    <row r="40" spans="1:6" ht="23.25" x14ac:dyDescent="0.25">
      <c r="A40" s="118" t="s">
        <v>7</v>
      </c>
      <c r="B40" s="118" t="s">
        <v>8</v>
      </c>
      <c r="C40" s="119" t="s">
        <v>9</v>
      </c>
      <c r="D40" s="119" t="s">
        <v>347</v>
      </c>
      <c r="E40" s="119" t="s">
        <v>348</v>
      </c>
      <c r="F40" s="120"/>
    </row>
    <row r="41" spans="1:6" x14ac:dyDescent="0.25">
      <c r="A41" s="22" t="str">
        <f>'[2]2'!A6</f>
        <v>MKN 100-222</v>
      </c>
      <c r="B41" s="23" t="str">
        <f>'[2]2'!B6</f>
        <v>Bailer or sand pump all sizes</v>
      </c>
      <c r="C41" s="25" t="str">
        <f>'[2]2'!C6</f>
        <v>Per day</v>
      </c>
      <c r="D41" s="25">
        <f>'[2]2'!D6</f>
        <v>950</v>
      </c>
      <c r="E41" s="25">
        <f>'[2]2'!E6</f>
        <v>385</v>
      </c>
      <c r="F41" s="114"/>
    </row>
    <row r="42" spans="1:6" ht="24" x14ac:dyDescent="0.25">
      <c r="A42" s="26" t="str">
        <f>'[2]2'!A7</f>
        <v>MKN 100-223</v>
      </c>
      <c r="B42" s="27" t="str">
        <f>'[2]2'!B7</f>
        <v>Bailer or sand pump redress charge will be 50% from</v>
      </c>
      <c r="C42" s="29" t="str">
        <f>'[2]2'!C7</f>
        <v>50% F.Day</v>
      </c>
      <c r="D42" s="29">
        <f>'[2]2'!D7</f>
        <v>475</v>
      </c>
      <c r="E42" s="29"/>
      <c r="F42" s="114"/>
    </row>
    <row r="43" spans="1:6" x14ac:dyDescent="0.25">
      <c r="A43" s="26" t="str">
        <f>'[2]2'!A8</f>
        <v>MKN 100-224</v>
      </c>
      <c r="B43" s="27" t="str">
        <f>'[2]2'!B8</f>
        <v>Safety clamps all sizes</v>
      </c>
      <c r="C43" s="29" t="str">
        <f>'[2]2'!C8</f>
        <v>Per run</v>
      </c>
      <c r="D43" s="29">
        <f>'[2]2'!D8</f>
        <v>40</v>
      </c>
      <c r="E43" s="29"/>
      <c r="F43" s="114"/>
    </row>
    <row r="44" spans="1:6" x14ac:dyDescent="0.25">
      <c r="A44" s="26" t="str">
        <f>'[2]2'!A9</f>
        <v>MKN 100-225</v>
      </c>
      <c r="B44" s="27" t="str">
        <f>'[2]2'!B9</f>
        <v>Elevators charge all sizes</v>
      </c>
      <c r="C44" s="29" t="str">
        <f>'[2]2'!C9</f>
        <v>Per day</v>
      </c>
      <c r="D44" s="29">
        <f>'[2]2'!D9</f>
        <v>65</v>
      </c>
      <c r="E44" s="29"/>
      <c r="F44" s="114"/>
    </row>
    <row r="45" spans="1:6" x14ac:dyDescent="0.25">
      <c r="A45" s="26" t="str">
        <f>'[2]2'!A10</f>
        <v>MKN 100-226</v>
      </c>
      <c r="B45" s="27" t="str">
        <f>'[2]2'!B10</f>
        <v>Safety joint charge all sizes</v>
      </c>
      <c r="C45" s="29" t="str">
        <f>'[2]2'!C10</f>
        <v>Per run</v>
      </c>
      <c r="D45" s="29">
        <f>'[2]2'!D10</f>
        <v>1850</v>
      </c>
      <c r="E45" s="29"/>
      <c r="F45" s="114"/>
    </row>
    <row r="46" spans="1:6" x14ac:dyDescent="0.25">
      <c r="A46" s="26" t="str">
        <f>'[2]2'!A11</f>
        <v>MKN 100-227</v>
      </c>
      <c r="B46" s="27" t="str">
        <f>'[2]2'!B11</f>
        <v>Workshop redressing technician rate</v>
      </c>
      <c r="C46" s="29" t="str">
        <f>'[2]2'!C11</f>
        <v>Per day</v>
      </c>
      <c r="D46" s="29">
        <f>'[2]2'!D11</f>
        <v>750</v>
      </c>
      <c r="E46" s="29"/>
      <c r="F46" s="114"/>
    </row>
    <row r="47" spans="1:6" ht="6" customHeight="1" x14ac:dyDescent="0.25">
      <c r="A47" s="112"/>
      <c r="B47" s="113"/>
      <c r="C47" s="114"/>
      <c r="D47" s="114"/>
      <c r="E47" s="114"/>
      <c r="F47" s="114"/>
    </row>
    <row r="48" spans="1:6" ht="14.1" customHeight="1" x14ac:dyDescent="0.25">
      <c r="A48" s="462" t="str">
        <f>'[2]2'!D12</f>
        <v>(minimum 2days)</v>
      </c>
      <c r="B48" s="463"/>
      <c r="C48" s="463"/>
      <c r="D48" s="463"/>
      <c r="E48" s="463"/>
      <c r="F48" s="463"/>
    </row>
    <row r="49" spans="1:6" ht="6" customHeight="1" x14ac:dyDescent="0.25">
      <c r="A49" s="112"/>
      <c r="B49" s="113"/>
      <c r="C49" s="114"/>
      <c r="D49" s="114"/>
      <c r="E49" s="114"/>
      <c r="F49" s="114"/>
    </row>
    <row r="50" spans="1:6" ht="15.95" customHeight="1" x14ac:dyDescent="0.25">
      <c r="A50" s="115" t="s">
        <v>351</v>
      </c>
      <c r="B50" s="116"/>
      <c r="C50" s="117"/>
      <c r="D50" s="117"/>
      <c r="E50" s="117"/>
      <c r="F50" s="117"/>
    </row>
    <row r="51" spans="1:6" x14ac:dyDescent="0.25">
      <c r="A51" s="118" t="s">
        <v>7</v>
      </c>
      <c r="B51" s="118" t="s">
        <v>8</v>
      </c>
      <c r="C51" s="119" t="s">
        <v>9</v>
      </c>
      <c r="D51" s="119" t="s">
        <v>344</v>
      </c>
      <c r="E51" s="120"/>
      <c r="F51" s="120"/>
    </row>
    <row r="52" spans="1:6" x14ac:dyDescent="0.25">
      <c r="A52" s="22" t="str">
        <f>'[2]2'!A15</f>
        <v>MKN 100-228</v>
      </c>
      <c r="B52" s="23" t="str">
        <f>'[2]2'!B15</f>
        <v>Magnet Thru 4 ½” OD</v>
      </c>
      <c r="C52" s="25" t="str">
        <f>'[2]2'!C15</f>
        <v>Per run</v>
      </c>
      <c r="D52" s="25">
        <f>'[2]2'!D15</f>
        <v>1650</v>
      </c>
      <c r="E52" s="114"/>
      <c r="F52" s="114"/>
    </row>
    <row r="53" spans="1:6" x14ac:dyDescent="0.25">
      <c r="A53" s="26" t="str">
        <f>'[2]2'!A16</f>
        <v>MKN 100-229</v>
      </c>
      <c r="B53" s="27" t="str">
        <f>'[2]2'!B16</f>
        <v>Magnet Thru 9 ½” OD</v>
      </c>
      <c r="C53" s="29" t="str">
        <f>'[2]2'!C16</f>
        <v>Per run</v>
      </c>
      <c r="D53" s="29">
        <f>'[2]2'!D16</f>
        <v>1850</v>
      </c>
      <c r="E53" s="114"/>
      <c r="F53" s="114"/>
    </row>
    <row r="54" spans="1:6" x14ac:dyDescent="0.25">
      <c r="A54" s="26" t="str">
        <f>'[2]2'!A17</f>
        <v>MKN 100-230</v>
      </c>
      <c r="B54" s="27" t="str">
        <f>'[2]2'!B17</f>
        <v>Magnet Type Ditch</v>
      </c>
      <c r="C54" s="29" t="str">
        <f>'[2]2'!C17</f>
        <v>Per day</v>
      </c>
      <c r="D54" s="29">
        <f>'[2]2'!D17</f>
        <v>250</v>
      </c>
      <c r="E54" s="114"/>
      <c r="F54" s="114"/>
    </row>
    <row r="55" spans="1:6" ht="24" x14ac:dyDescent="0.25">
      <c r="A55" s="26" t="str">
        <f>'[2]2'!A18</f>
        <v>MKN 100-231</v>
      </c>
      <c r="B55" s="27" t="str">
        <f>'[2]2'!B18</f>
        <v>All grapples and controls for all sizes will be charged 50% from</v>
      </c>
      <c r="C55" s="29" t="str">
        <f>'[2]2'!C18</f>
        <v>50% F.Day</v>
      </c>
      <c r="D55" s="121"/>
      <c r="E55" s="114"/>
      <c r="F55" s="114"/>
    </row>
    <row r="56" spans="1:6" x14ac:dyDescent="0.25">
      <c r="A56" s="26" t="str">
        <f>'[2]2'!A19</f>
        <v>MKN 100-232</v>
      </c>
      <c r="B56" s="27" t="str">
        <f>'[2]2'!B19</f>
        <v>Near bit stabilizer thru 7”</v>
      </c>
      <c r="C56" s="29" t="str">
        <f>'[2]2'!C19</f>
        <v>Per run</v>
      </c>
      <c r="D56" s="29">
        <f>'[2]2'!D19</f>
        <v>2200</v>
      </c>
      <c r="E56" s="114"/>
      <c r="F56" s="114"/>
    </row>
    <row r="57" spans="1:6" x14ac:dyDescent="0.25">
      <c r="A57" s="26" t="str">
        <f>'[2]2'!A20</f>
        <v>MKN 100-233</v>
      </c>
      <c r="B57" s="27" t="str">
        <f>'[2]2'!B20</f>
        <v>Near bit stabilizer thru 9 5/8”</v>
      </c>
      <c r="C57" s="29" t="str">
        <f>'[2]2'!C20</f>
        <v>Per run</v>
      </c>
      <c r="D57" s="29">
        <f>'[2]2'!D20</f>
        <v>2500</v>
      </c>
      <c r="E57" s="114"/>
      <c r="F57" s="114"/>
    </row>
    <row r="58" spans="1:6" ht="6" customHeight="1" x14ac:dyDescent="0.25">
      <c r="A58" s="112"/>
      <c r="B58" s="113"/>
      <c r="C58" s="114"/>
      <c r="D58" s="114"/>
      <c r="E58" s="114"/>
      <c r="F58" s="114"/>
    </row>
    <row r="59" spans="1:6" ht="15.95" customHeight="1" x14ac:dyDescent="0.25">
      <c r="A59" s="115" t="s">
        <v>352</v>
      </c>
      <c r="B59" s="116"/>
      <c r="C59" s="117"/>
      <c r="D59" s="117"/>
      <c r="E59" s="117"/>
      <c r="F59" s="117"/>
    </row>
    <row r="60" spans="1:6" x14ac:dyDescent="0.25">
      <c r="A60" s="118" t="s">
        <v>7</v>
      </c>
      <c r="B60" s="118" t="s">
        <v>8</v>
      </c>
      <c r="C60" s="119" t="s">
        <v>9</v>
      </c>
      <c r="D60" s="119" t="s">
        <v>344</v>
      </c>
      <c r="E60" s="120"/>
      <c r="F60" s="120"/>
    </row>
    <row r="61" spans="1:6" x14ac:dyDescent="0.25">
      <c r="A61" s="22" t="str">
        <f>'[2]2'!A23</f>
        <v>MKN 100-234</v>
      </c>
      <c r="B61" s="23" t="str">
        <f>'[2]2'!B23</f>
        <v>Jar intensifier all size per day</v>
      </c>
      <c r="C61" s="25" t="str">
        <f>'[2]2'!C23</f>
        <v>Per day</v>
      </c>
      <c r="D61" s="25">
        <f>'[2]2'!D23</f>
        <v>750</v>
      </c>
      <c r="E61" s="114"/>
      <c r="F61" s="114"/>
    </row>
    <row r="62" spans="1:6" x14ac:dyDescent="0.25">
      <c r="A62" s="26" t="str">
        <f>'[2]2'!A24</f>
        <v>MKN 100-235</v>
      </c>
      <c r="B62" s="27" t="str">
        <f>'[2]2'!B24</f>
        <v>Releasing spear thru 7”</v>
      </c>
      <c r="C62" s="29" t="str">
        <f>'[2]2'!C24</f>
        <v>Per run</v>
      </c>
      <c r="D62" s="29">
        <f>'[2]2'!D24</f>
        <v>1900</v>
      </c>
      <c r="E62" s="114"/>
      <c r="F62" s="114"/>
    </row>
    <row r="63" spans="1:6" x14ac:dyDescent="0.25">
      <c r="A63" s="26" t="str">
        <f>'[2]2'!A25</f>
        <v>MKN 100-236</v>
      </c>
      <c r="B63" s="27" t="str">
        <f>'[2]2'!B25</f>
        <v>Releasing Spear thru 9 5/8”</v>
      </c>
      <c r="C63" s="29" t="str">
        <f>'[2]2'!C25</f>
        <v>Per run</v>
      </c>
      <c r="D63" s="29">
        <f>'[2]2'!D25</f>
        <v>2200</v>
      </c>
      <c r="E63" s="114"/>
      <c r="F63" s="114"/>
    </row>
    <row r="64" spans="1:6" x14ac:dyDescent="0.25">
      <c r="A64" s="26" t="str">
        <f>'[2]2'!A26</f>
        <v>MKN 100-237</v>
      </c>
      <c r="B64" s="27" t="str">
        <f>'[2]2'!B26</f>
        <v>Taper mill for thru 7”</v>
      </c>
      <c r="C64" s="29" t="str">
        <f>'[2]2'!C26</f>
        <v>Per day</v>
      </c>
      <c r="D64" s="29">
        <f>'[2]2'!D26</f>
        <v>500</v>
      </c>
      <c r="E64" s="114"/>
      <c r="F64" s="114"/>
    </row>
    <row r="65" spans="1:6" x14ac:dyDescent="0.25">
      <c r="A65" s="26" t="str">
        <f>'[2]2'!A27</f>
        <v>MKN 100-238</v>
      </c>
      <c r="B65" s="27" t="str">
        <f>'[2]2'!B27</f>
        <v>Taper mill thru 9 5/8”</v>
      </c>
      <c r="C65" s="29" t="str">
        <f>'[2]2'!C27</f>
        <v>Per day</v>
      </c>
      <c r="D65" s="29">
        <f>'[2]2'!D27</f>
        <v>650</v>
      </c>
      <c r="E65" s="114"/>
      <c r="F65" s="114"/>
    </row>
    <row r="66" spans="1:6" x14ac:dyDescent="0.25">
      <c r="A66" s="26" t="str">
        <f>'[2]2'!A28</f>
        <v>MKN 100-239</v>
      </c>
      <c r="B66" s="27" t="str">
        <f>'[2]2'!B28</f>
        <v>Refill taper mill for all size</v>
      </c>
      <c r="C66" s="29" t="str">
        <f>'[2]2'!C28</f>
        <v>Per job</v>
      </c>
      <c r="D66" s="29">
        <f>'[2]2'!D28</f>
        <v>1350</v>
      </c>
      <c r="E66" s="114"/>
      <c r="F66" s="114"/>
    </row>
    <row r="67" spans="1:6" ht="6" customHeight="1" x14ac:dyDescent="0.25">
      <c r="A67" s="112"/>
      <c r="B67" s="113"/>
      <c r="C67" s="114"/>
      <c r="D67" s="114"/>
      <c r="E67" s="114"/>
      <c r="F67" s="114"/>
    </row>
    <row r="68" spans="1:6" ht="15.95" customHeight="1" x14ac:dyDescent="0.25">
      <c r="A68" s="115" t="s">
        <v>353</v>
      </c>
      <c r="B68" s="116"/>
      <c r="C68" s="117"/>
      <c r="D68" s="117"/>
      <c r="E68" s="117"/>
      <c r="F68" s="117"/>
    </row>
    <row r="69" spans="1:6" x14ac:dyDescent="0.25">
      <c r="A69" s="118" t="s">
        <v>7</v>
      </c>
      <c r="B69" s="118" t="s">
        <v>8</v>
      </c>
      <c r="C69" s="119" t="s">
        <v>9</v>
      </c>
      <c r="D69" s="119" t="s">
        <v>344</v>
      </c>
      <c r="E69" s="120"/>
      <c r="F69" s="120"/>
    </row>
    <row r="70" spans="1:6" x14ac:dyDescent="0.25">
      <c r="A70" s="22" t="str">
        <f>'[2]3'!A5</f>
        <v>MKN 100-240</v>
      </c>
      <c r="B70" s="23" t="str">
        <f>'[2]3'!B5</f>
        <v>Completion Engineer</v>
      </c>
      <c r="C70" s="25" t="str">
        <f>'[2]3'!C5</f>
        <v>Per Day</v>
      </c>
      <c r="D70" s="25">
        <f>'[2]3'!D5</f>
        <v>1250</v>
      </c>
      <c r="E70" s="114"/>
      <c r="F70" s="114"/>
    </row>
    <row r="71" spans="1:6" x14ac:dyDescent="0.25">
      <c r="A71" s="26" t="str">
        <f>'[2]3'!A6</f>
        <v>MKN 100-241</v>
      </c>
      <c r="B71" s="27" t="str">
        <f>'[2]3'!B6</f>
        <v>Drilling Engineer</v>
      </c>
      <c r="C71" s="29" t="str">
        <f>'[2]3'!C6</f>
        <v>Per Day</v>
      </c>
      <c r="D71" s="29">
        <f>'[2]3'!D6</f>
        <v>1300</v>
      </c>
      <c r="E71" s="114"/>
      <c r="F71" s="114"/>
    </row>
    <row r="72" spans="1:6" x14ac:dyDescent="0.25">
      <c r="A72" s="26" t="str">
        <f>'[2]3'!A7</f>
        <v>MKN 100-242</v>
      </c>
      <c r="B72" s="27" t="str">
        <f>'[2]3'!B7</f>
        <v>Work over Engineers</v>
      </c>
      <c r="C72" s="29" t="str">
        <f>'[2]3'!C7</f>
        <v>Per Day</v>
      </c>
      <c r="D72" s="29">
        <f>'[2]3'!D7</f>
        <v>1200</v>
      </c>
      <c r="E72" s="114"/>
      <c r="F72" s="114"/>
    </row>
    <row r="73" spans="1:6" x14ac:dyDescent="0.25">
      <c r="A73" s="26" t="str">
        <f>'[2]3'!A8</f>
        <v>MKN 100-243</v>
      </c>
      <c r="B73" s="27" t="str">
        <f>'[2]3'!B8</f>
        <v>ESP completion Engineers</v>
      </c>
      <c r="C73" s="29" t="str">
        <f>'[2]3'!C8</f>
        <v>Per Day</v>
      </c>
      <c r="D73" s="29">
        <f>'[2]3'!D8</f>
        <v>1250</v>
      </c>
      <c r="E73" s="114"/>
      <c r="F73" s="114"/>
    </row>
    <row r="74" spans="1:6" x14ac:dyDescent="0.25">
      <c r="A74" s="26" t="str">
        <f>'[2]3'!A9</f>
        <v>MKN 100-244</v>
      </c>
      <c r="B74" s="27" t="str">
        <f>'[2]3'!B9</f>
        <v>Well site Geologist</v>
      </c>
      <c r="C74" s="29" t="str">
        <f>'[2]3'!C9</f>
        <v>Per Day</v>
      </c>
      <c r="D74" s="29">
        <f>'[2]3'!D9</f>
        <v>1300</v>
      </c>
      <c r="E74" s="114"/>
      <c r="F74" s="114"/>
    </row>
    <row r="75" spans="1:6" x14ac:dyDescent="0.25">
      <c r="A75" s="26" t="str">
        <f>'[2]3'!A10</f>
        <v>MKN 100-245</v>
      </c>
      <c r="B75" s="27" t="str">
        <f>'[2]3'!B10</f>
        <v>Open hole &amp; cased hole DST Engineers</v>
      </c>
      <c r="C75" s="29" t="str">
        <f>'[2]3'!C10</f>
        <v>Per Day</v>
      </c>
      <c r="D75" s="29">
        <f>'[2]3'!D10</f>
        <v>1150</v>
      </c>
      <c r="E75" s="114"/>
      <c r="F75" s="114"/>
    </row>
    <row r="76" spans="1:6" x14ac:dyDescent="0.25">
      <c r="A76" s="26" t="str">
        <f>'[2]3'!A11</f>
        <v>MKN 100-246</v>
      </c>
      <c r="B76" s="27" t="str">
        <f>'[2]3'!B11</f>
        <v>Petroleum Engineers</v>
      </c>
      <c r="C76" s="29" t="str">
        <f>'[2]3'!C11</f>
        <v>Per Day</v>
      </c>
      <c r="D76" s="29">
        <f>'[2]3'!D11</f>
        <v>1200</v>
      </c>
      <c r="E76" s="114"/>
      <c r="F76" s="114"/>
    </row>
    <row r="77" spans="1:6" x14ac:dyDescent="0.25">
      <c r="A77" s="26" t="str">
        <f>'[2]3'!A12</f>
        <v>MKN 100-247</v>
      </c>
      <c r="B77" s="27" t="str">
        <f>'[2]3'!B12</f>
        <v>Reservoir Engineers</v>
      </c>
      <c r="C77" s="29" t="str">
        <f>'[2]3'!C12</f>
        <v>Per Day</v>
      </c>
      <c r="D77" s="29">
        <f>'[2]3'!D12</f>
        <v>1200</v>
      </c>
      <c r="E77" s="114"/>
      <c r="F77" s="114"/>
    </row>
    <row r="78" spans="1:6" x14ac:dyDescent="0.25">
      <c r="A78" s="26" t="str">
        <f>'[2]3'!A13</f>
        <v>MKN 100-248</v>
      </c>
      <c r="B78" s="27" t="str">
        <f>'[2]3'!B13</f>
        <v>Petro physicists</v>
      </c>
      <c r="C78" s="29" t="str">
        <f>'[2]3'!C13</f>
        <v>Per Day</v>
      </c>
      <c r="D78" s="29">
        <f>'[2]3'!D13</f>
        <v>1200</v>
      </c>
      <c r="E78" s="114"/>
      <c r="F78" s="114"/>
    </row>
    <row r="79" spans="1:6" x14ac:dyDescent="0.25">
      <c r="A79" s="26" t="str">
        <f>'[2]3'!A14</f>
        <v>MKN 100-249</v>
      </c>
      <c r="B79" s="27" t="str">
        <f>'[2]3'!B14</f>
        <v>Coring engineer</v>
      </c>
      <c r="C79" s="29" t="str">
        <f>'[2]3'!C14</f>
        <v>Per Day</v>
      </c>
      <c r="D79" s="29">
        <f>'[2]3'!D14</f>
        <v>1100</v>
      </c>
      <c r="E79" s="114"/>
      <c r="F79" s="114"/>
    </row>
    <row r="80" spans="1:6" x14ac:dyDescent="0.25">
      <c r="A80" s="26" t="str">
        <f>'[2]3'!A15</f>
        <v>MKN 100-250</v>
      </c>
      <c r="B80" s="27" t="str">
        <f>'[2]3'!B15</f>
        <v>Logging Engineers</v>
      </c>
      <c r="C80" s="29" t="str">
        <f>'[2]3'!C15</f>
        <v>Per Day</v>
      </c>
      <c r="D80" s="29">
        <f>'[2]3'!D15</f>
        <v>1250</v>
      </c>
      <c r="E80" s="114"/>
      <c r="F80" s="114"/>
    </row>
    <row r="81" spans="1:6" x14ac:dyDescent="0.25">
      <c r="A81" s="26" t="str">
        <f>'[2]3'!A16</f>
        <v>MKN 100-251</v>
      </c>
      <c r="B81" s="27" t="str">
        <f>'[2]3'!B16</f>
        <v>MWD Engineers</v>
      </c>
      <c r="C81" s="29" t="str">
        <f>'[2]3'!C16</f>
        <v>Per Day</v>
      </c>
      <c r="D81" s="29">
        <f>'[2]3'!D16</f>
        <v>1400</v>
      </c>
      <c r="E81" s="114"/>
      <c r="F81" s="114"/>
    </row>
    <row r="82" spans="1:6" x14ac:dyDescent="0.25">
      <c r="A82" s="26" t="str">
        <f>'[2]3'!A17</f>
        <v>MKN 100-252</v>
      </c>
      <c r="B82" s="27" t="str">
        <f>'[2]3'!B17</f>
        <v>Company Man</v>
      </c>
      <c r="C82" s="29" t="str">
        <f>'[2]3'!C17</f>
        <v>Per Day</v>
      </c>
      <c r="D82" s="29">
        <f>'[2]3'!D17</f>
        <v>1350</v>
      </c>
      <c r="E82" s="114"/>
      <c r="F82" s="114"/>
    </row>
    <row r="83" spans="1:6" ht="6" customHeight="1" x14ac:dyDescent="0.25">
      <c r="A83" s="112"/>
      <c r="B83" s="113"/>
      <c r="C83" s="114"/>
      <c r="D83" s="114"/>
      <c r="E83" s="114"/>
      <c r="F83" s="114"/>
    </row>
    <row r="84" spans="1:6" ht="15.95" customHeight="1" x14ac:dyDescent="0.25">
      <c r="A84" s="115" t="s">
        <v>354</v>
      </c>
      <c r="B84" s="116"/>
      <c r="C84" s="117"/>
      <c r="D84" s="117"/>
      <c r="E84" s="117"/>
      <c r="F84" s="117"/>
    </row>
    <row r="85" spans="1:6" x14ac:dyDescent="0.25">
      <c r="A85" s="118" t="s">
        <v>7</v>
      </c>
      <c r="B85" s="118" t="s">
        <v>8</v>
      </c>
      <c r="C85" s="119" t="s">
        <v>9</v>
      </c>
      <c r="D85" s="119" t="s">
        <v>344</v>
      </c>
      <c r="E85" s="120"/>
      <c r="F85" s="120"/>
    </row>
    <row r="86" spans="1:6" x14ac:dyDescent="0.25">
      <c r="A86" s="22" t="str">
        <f>'[2]3'!A21</f>
        <v>MKN 100-253</v>
      </c>
      <c r="B86" s="23" t="str">
        <f>'[2]3'!B21</f>
        <v>Size 3 ½” Swab cup each</v>
      </c>
      <c r="C86" s="25" t="str">
        <f>'[2]3'!C21</f>
        <v>Each</v>
      </c>
      <c r="D86" s="25">
        <f>'[2]3'!D21</f>
        <v>58</v>
      </c>
      <c r="E86" s="114"/>
      <c r="F86" s="114"/>
    </row>
    <row r="87" spans="1:6" x14ac:dyDescent="0.25">
      <c r="A87" s="26" t="str">
        <f>'[2]3'!A22</f>
        <v>MKN 100-254</v>
      </c>
      <c r="B87" s="27" t="str">
        <f>'[2]3'!B22</f>
        <v>Size 2 3/8” -2 7/8” swab cup each</v>
      </c>
      <c r="C87" s="29" t="str">
        <f>'[2]3'!C22</f>
        <v>EACH</v>
      </c>
      <c r="D87" s="29">
        <f>'[2]3'!D22</f>
        <v>50</v>
      </c>
      <c r="E87" s="114"/>
      <c r="F87" s="114"/>
    </row>
    <row r="88" spans="1:6" x14ac:dyDescent="0.25">
      <c r="A88" s="26" t="str">
        <f>'[2]3'!A23</f>
        <v>MKN 100-255</v>
      </c>
      <c r="B88" s="27" t="str">
        <f>'[2]3'!B23</f>
        <v>Down hole redress charge for all size</v>
      </c>
      <c r="C88" s="29" t="str">
        <f>'[2]3'!C23</f>
        <v>Per Hour</v>
      </c>
      <c r="D88" s="29">
        <f>'[2]3'!D23</f>
        <v>60</v>
      </c>
      <c r="E88" s="114"/>
      <c r="F88" s="114"/>
    </row>
    <row r="89" spans="1:6" x14ac:dyDescent="0.25">
      <c r="A89" s="26" t="str">
        <f>'[2]3'!A24</f>
        <v>MKN 100-256</v>
      </c>
      <c r="B89" s="27" t="str">
        <f>'[2]3'!B24</f>
        <v>Breakout Machine Rental</v>
      </c>
      <c r="C89" s="29" t="str">
        <f>'[2]3'!C24</f>
        <v>Per Connection</v>
      </c>
      <c r="D89" s="29">
        <f>'[2]3'!D24</f>
        <v>115</v>
      </c>
      <c r="E89" s="114"/>
      <c r="F89" s="114"/>
    </row>
    <row r="90" spans="1:6" x14ac:dyDescent="0.25">
      <c r="A90" s="26" t="str">
        <f>'[2]3'!A25</f>
        <v>MKN 100-257</v>
      </c>
      <c r="B90" s="27" t="str">
        <f>'[2]3'!B25</f>
        <v>Grinding Machine</v>
      </c>
      <c r="C90" s="29" t="str">
        <f>'[2]3'!C25</f>
        <v>Per Hour</v>
      </c>
      <c r="D90" s="29">
        <f>'[2]3'!D25</f>
        <v>200</v>
      </c>
      <c r="E90" s="114"/>
      <c r="F90" s="114"/>
    </row>
    <row r="91" spans="1:6" x14ac:dyDescent="0.25">
      <c r="A91" s="26" t="str">
        <f>'[2]3'!A26</f>
        <v>MKN 100-258</v>
      </c>
      <c r="B91" s="27" t="str">
        <f>'[2]3'!B26</f>
        <v>Pipe dope CMPD</v>
      </c>
      <c r="C91" s="29" t="str">
        <f>'[2]3'!C26</f>
        <v>Per Rail</v>
      </c>
      <c r="D91" s="29">
        <f>'[2]3'!D26</f>
        <v>350</v>
      </c>
      <c r="E91" s="114"/>
      <c r="F91" s="114"/>
    </row>
    <row r="92" spans="1:6" x14ac:dyDescent="0.25">
      <c r="A92" s="26" t="str">
        <f>'[2]3'!A27</f>
        <v>MKN 100-259</v>
      </c>
      <c r="B92" s="27" t="str">
        <f>'[2]3'!B27</f>
        <v>Welding Machine</v>
      </c>
      <c r="C92" s="29" t="str">
        <f>'[2]3'!C27</f>
        <v>Per Hour</v>
      </c>
      <c r="D92" s="29">
        <f>'[2]3'!D27</f>
        <v>115</v>
      </c>
      <c r="E92" s="114"/>
      <c r="F92" s="114"/>
    </row>
    <row r="93" spans="1:6" x14ac:dyDescent="0.25">
      <c r="A93" s="26" t="str">
        <f>'[2]3'!A28</f>
        <v>MKN 100-260</v>
      </c>
      <c r="B93" s="27" t="str">
        <f>'[2]3'!B28</f>
        <v>Hydraulic jar test all size</v>
      </c>
      <c r="C93" s="29" t="str">
        <f>'[2]3'!C28</f>
        <v>Per Test</v>
      </c>
      <c r="D93" s="29">
        <f>'[2]3'!D28</f>
        <v>100</v>
      </c>
      <c r="E93" s="114"/>
      <c r="F93" s="114"/>
    </row>
    <row r="94" spans="1:6" ht="6" customHeight="1" x14ac:dyDescent="0.25">
      <c r="A94" s="112"/>
      <c r="B94" s="113"/>
      <c r="C94" s="114"/>
      <c r="D94" s="114"/>
      <c r="E94" s="114"/>
      <c r="F94" s="114"/>
    </row>
    <row r="95" spans="1:6" ht="21.95" customHeight="1" thickBot="1" x14ac:dyDescent="0.3">
      <c r="A95" s="10" t="s">
        <v>355</v>
      </c>
      <c r="B95" s="11"/>
      <c r="C95" s="13"/>
      <c r="D95" s="13"/>
      <c r="E95" s="13"/>
      <c r="F95" s="14" t="s">
        <v>5</v>
      </c>
    </row>
    <row r="96" spans="1:6" ht="6" customHeight="1" thickTop="1" x14ac:dyDescent="0.25">
      <c r="A96" s="112"/>
      <c r="B96" s="113"/>
      <c r="C96" s="114"/>
      <c r="D96" s="114"/>
      <c r="E96" s="114"/>
      <c r="F96" s="114"/>
    </row>
    <row r="97" spans="1:6" ht="15.95" customHeight="1" x14ac:dyDescent="0.25">
      <c r="A97" s="115" t="s">
        <v>356</v>
      </c>
      <c r="B97" s="116"/>
      <c r="C97" s="117"/>
      <c r="D97" s="117"/>
      <c r="E97" s="117"/>
      <c r="F97" s="117"/>
    </row>
    <row r="98" spans="1:6" ht="23.25" x14ac:dyDescent="0.25">
      <c r="A98" s="118" t="s">
        <v>7</v>
      </c>
      <c r="B98" s="118" t="s">
        <v>8</v>
      </c>
      <c r="C98" s="119" t="s">
        <v>357</v>
      </c>
      <c r="D98" s="119" t="s">
        <v>358</v>
      </c>
      <c r="E98" s="120"/>
      <c r="F98" s="120"/>
    </row>
    <row r="99" spans="1:6" x14ac:dyDescent="0.25">
      <c r="A99" s="22" t="str">
        <f>'[2]4'!A7</f>
        <v>MKN 100-261</v>
      </c>
      <c r="B99" s="23" t="str">
        <f>'[2]4'!B7</f>
        <v>Thru 4 3/4" OD</v>
      </c>
      <c r="C99" s="25">
        <f>'[2]4'!C7</f>
        <v>190</v>
      </c>
      <c r="D99" s="25">
        <f>'[2]4'!D7</f>
        <v>1950</v>
      </c>
      <c r="E99" s="114"/>
      <c r="F99" s="114"/>
    </row>
    <row r="100" spans="1:6" x14ac:dyDescent="0.25">
      <c r="A100" s="26" t="str">
        <f>'[2]4'!A8</f>
        <v>MKN 100-262</v>
      </c>
      <c r="B100" s="27" t="str">
        <f>'[2]4'!B8</f>
        <v>Thru 6 1/2" OD</v>
      </c>
      <c r="C100" s="29">
        <f>'[2]4'!C8</f>
        <v>220</v>
      </c>
      <c r="D100" s="29">
        <f>'[2]4'!D8</f>
        <v>2100</v>
      </c>
      <c r="E100" s="114"/>
      <c r="F100" s="114"/>
    </row>
    <row r="101" spans="1:6" x14ac:dyDescent="0.25">
      <c r="A101" s="26" t="str">
        <f>'[2]4'!A9</f>
        <v>MKN 100-263</v>
      </c>
      <c r="B101" s="27" t="str">
        <f>'[2]4'!B9</f>
        <v>Thru 8" OD</v>
      </c>
      <c r="C101" s="29">
        <f>'[2]4'!C9</f>
        <v>250</v>
      </c>
      <c r="D101" s="29">
        <f>'[2]4'!D9</f>
        <v>2100</v>
      </c>
      <c r="E101" s="114"/>
      <c r="F101" s="114"/>
    </row>
    <row r="102" spans="1:6" x14ac:dyDescent="0.25">
      <c r="A102" s="26" t="str">
        <f>'[2]4'!A10</f>
        <v>MKN 100-264</v>
      </c>
      <c r="B102" s="27" t="str">
        <f>'[2]4'!B10</f>
        <v>Thru 9 1/2" OD</v>
      </c>
      <c r="C102" s="29">
        <f>'[2]4'!C10</f>
        <v>260</v>
      </c>
      <c r="D102" s="29">
        <f>'[2]4'!D10</f>
        <v>2250</v>
      </c>
      <c r="E102" s="114"/>
      <c r="F102" s="114"/>
    </row>
    <row r="103" spans="1:6" ht="6" customHeight="1" x14ac:dyDescent="0.25">
      <c r="A103" s="112"/>
      <c r="B103" s="113"/>
      <c r="C103" s="114"/>
      <c r="D103" s="114"/>
      <c r="E103" s="114"/>
      <c r="F103" s="114"/>
    </row>
    <row r="104" spans="1:6" ht="15.95" customHeight="1" x14ac:dyDescent="0.25">
      <c r="A104" s="115" t="s">
        <v>359</v>
      </c>
      <c r="B104" s="116"/>
      <c r="C104" s="117"/>
      <c r="D104" s="117"/>
      <c r="E104" s="117"/>
      <c r="F104" s="117"/>
    </row>
    <row r="105" spans="1:6" ht="23.25" x14ac:dyDescent="0.25">
      <c r="A105" s="118" t="s">
        <v>7</v>
      </c>
      <c r="B105" s="118" t="s">
        <v>8</v>
      </c>
      <c r="C105" s="119" t="s">
        <v>360</v>
      </c>
      <c r="D105" s="119" t="s">
        <v>361</v>
      </c>
      <c r="E105" s="120"/>
      <c r="F105" s="120"/>
    </row>
    <row r="106" spans="1:6" x14ac:dyDescent="0.25">
      <c r="A106" s="22" t="str">
        <f>'[2]4'!A15</f>
        <v>MKN 100-265</v>
      </c>
      <c r="B106" s="23" t="str">
        <f>'[2]4'!B15</f>
        <v>Thru 6 1/2" OD</v>
      </c>
      <c r="C106" s="25">
        <f>'[2]4'!C15</f>
        <v>300</v>
      </c>
      <c r="D106" s="25">
        <f>'[2]4'!D15</f>
        <v>110</v>
      </c>
      <c r="E106" s="114"/>
      <c r="F106" s="114"/>
    </row>
    <row r="107" spans="1:6" x14ac:dyDescent="0.25">
      <c r="A107" s="26" t="str">
        <f>'[2]4'!A16</f>
        <v>MKN 100-266</v>
      </c>
      <c r="B107" s="27" t="str">
        <f>'[2]4'!B16</f>
        <v>Thru 8" OD</v>
      </c>
      <c r="C107" s="29">
        <f>'[2]4'!C16</f>
        <v>300</v>
      </c>
      <c r="D107" s="29">
        <f>'[2]4'!D16</f>
        <v>110</v>
      </c>
      <c r="E107" s="114"/>
      <c r="F107" s="114"/>
    </row>
    <row r="108" spans="1:6" x14ac:dyDescent="0.25">
      <c r="A108" s="26" t="str">
        <f>'[2]4'!A17</f>
        <v>MKN 100-267</v>
      </c>
      <c r="B108" s="27" t="str">
        <f>'[2]4'!B17</f>
        <v>Thru 9 1/2" OD</v>
      </c>
      <c r="C108" s="29">
        <f>'[2]4'!C17</f>
        <v>300</v>
      </c>
      <c r="D108" s="29">
        <f>'[2]4'!D17</f>
        <v>110</v>
      </c>
      <c r="E108" s="114"/>
      <c r="F108" s="114"/>
    </row>
    <row r="109" spans="1:6" ht="6" customHeight="1" x14ac:dyDescent="0.25">
      <c r="A109" s="112"/>
      <c r="B109" s="113"/>
      <c r="C109" s="114"/>
      <c r="D109" s="114"/>
      <c r="E109" s="114"/>
      <c r="F109" s="114"/>
    </row>
    <row r="110" spans="1:6" ht="15.95" customHeight="1" x14ac:dyDescent="0.25">
      <c r="A110" s="115" t="s">
        <v>362</v>
      </c>
      <c r="B110" s="116"/>
      <c r="C110" s="117"/>
      <c r="D110" s="117"/>
      <c r="E110" s="117"/>
      <c r="F110" s="117"/>
    </row>
    <row r="111" spans="1:6" ht="23.25" x14ac:dyDescent="0.25">
      <c r="A111" s="118" t="s">
        <v>7</v>
      </c>
      <c r="B111" s="118" t="s">
        <v>8</v>
      </c>
      <c r="C111" s="119" t="s">
        <v>363</v>
      </c>
      <c r="D111" s="119" t="s">
        <v>361</v>
      </c>
      <c r="E111" s="120"/>
      <c r="F111" s="120"/>
    </row>
    <row r="112" spans="1:6" x14ac:dyDescent="0.25">
      <c r="A112" s="22" t="str">
        <f>'[2]4'!A21</f>
        <v>MKN 100-268</v>
      </c>
      <c r="B112" s="23" t="str">
        <f>'[2]4'!B21</f>
        <v>12 1/4" OD</v>
      </c>
      <c r="C112" s="25">
        <f>'[2]4'!C21</f>
        <v>845</v>
      </c>
      <c r="D112" s="25">
        <f>'[2]4'!D21</f>
        <v>100</v>
      </c>
      <c r="E112" s="114"/>
      <c r="F112" s="114"/>
    </row>
    <row r="113" spans="1:6" x14ac:dyDescent="0.25">
      <c r="A113" s="26" t="str">
        <f>'[2]4'!A22</f>
        <v>MKN 100-269</v>
      </c>
      <c r="B113" s="27" t="str">
        <f>'[2]4'!B22</f>
        <v>17 1/2" OD</v>
      </c>
      <c r="C113" s="29">
        <f>'[2]4'!C22</f>
        <v>1170</v>
      </c>
      <c r="D113" s="29">
        <f>'[2]4'!D22</f>
        <v>100</v>
      </c>
      <c r="E113" s="114"/>
      <c r="F113" s="114"/>
    </row>
    <row r="114" spans="1:6" x14ac:dyDescent="0.25">
      <c r="A114" s="26" t="str">
        <f>'[2]4'!A23</f>
        <v>MKN 100-270</v>
      </c>
      <c r="B114" s="27" t="str">
        <f>'[2]4'!B23</f>
        <v>26" OD</v>
      </c>
      <c r="C114" s="29">
        <f>'[2]4'!C23</f>
        <v>1470</v>
      </c>
      <c r="D114" s="29">
        <f>'[2]4'!D23</f>
        <v>100</v>
      </c>
      <c r="E114" s="114"/>
      <c r="F114" s="114"/>
    </row>
    <row r="115" spans="1:6" x14ac:dyDescent="0.25">
      <c r="A115" s="26" t="str">
        <f>'[2]4'!A24</f>
        <v>MKN 100-271</v>
      </c>
      <c r="B115" s="27" t="str">
        <f>'[2]4'!B24</f>
        <v>36" OD</v>
      </c>
      <c r="C115" s="29">
        <f>'[2]4'!C24</f>
        <v>1920</v>
      </c>
      <c r="D115" s="29">
        <f>'[2]4'!D24</f>
        <v>100</v>
      </c>
      <c r="E115" s="114"/>
      <c r="F115" s="114"/>
    </row>
    <row r="116" spans="1:6" ht="6" customHeight="1" x14ac:dyDescent="0.25">
      <c r="A116" s="112"/>
      <c r="B116" s="113"/>
      <c r="C116" s="114"/>
      <c r="D116" s="114"/>
      <c r="E116" s="114"/>
      <c r="F116" s="114"/>
    </row>
    <row r="117" spans="1:6" ht="15.95" customHeight="1" x14ac:dyDescent="0.25">
      <c r="A117" s="115" t="s">
        <v>364</v>
      </c>
      <c r="B117" s="116"/>
      <c r="C117" s="117"/>
      <c r="D117" s="117"/>
      <c r="E117" s="117"/>
      <c r="F117" s="117"/>
    </row>
    <row r="118" spans="1:6" ht="23.25" x14ac:dyDescent="0.25">
      <c r="A118" s="118" t="s">
        <v>7</v>
      </c>
      <c r="B118" s="118" t="s">
        <v>8</v>
      </c>
      <c r="C118" s="119" t="s">
        <v>365</v>
      </c>
      <c r="D118" s="119" t="s">
        <v>361</v>
      </c>
      <c r="E118" s="120"/>
      <c r="F118" s="120"/>
    </row>
    <row r="119" spans="1:6" x14ac:dyDescent="0.25">
      <c r="A119" s="22" t="str">
        <f>'[2]4'!A29</f>
        <v>MKN 100-272</v>
      </c>
      <c r="B119" s="23" t="str">
        <f>'[2]4'!B29</f>
        <v>Through 6" OD</v>
      </c>
      <c r="C119" s="25">
        <f>'[2]4'!C29</f>
        <v>245</v>
      </c>
      <c r="D119" s="25">
        <f>'[2]4'!D29</f>
        <v>100</v>
      </c>
      <c r="E119" s="114"/>
      <c r="F119" s="114"/>
    </row>
    <row r="120" spans="1:6" x14ac:dyDescent="0.25">
      <c r="A120" s="26" t="str">
        <f>'[2]4'!A30</f>
        <v>MKN 100-273</v>
      </c>
      <c r="B120" s="27" t="str">
        <f>'[2]4'!B30</f>
        <v>Through 8 1/2" OD</v>
      </c>
      <c r="C120" s="29">
        <f>'[2]4'!C30</f>
        <v>245</v>
      </c>
      <c r="D120" s="29">
        <f>'[2]4'!D30</f>
        <v>100</v>
      </c>
      <c r="E120" s="114"/>
      <c r="F120" s="114"/>
    </row>
    <row r="121" spans="1:6" x14ac:dyDescent="0.25">
      <c r="A121" s="26" t="str">
        <f>'[2]4'!A31</f>
        <v>MKN 100-274</v>
      </c>
      <c r="B121" s="27" t="str">
        <f>'[2]4'!B31</f>
        <v>Through 12 1/4" OD</v>
      </c>
      <c r="C121" s="29">
        <f>'[2]4'!C31</f>
        <v>245</v>
      </c>
      <c r="D121" s="29">
        <f>'[2]4'!D31</f>
        <v>115</v>
      </c>
      <c r="E121" s="114"/>
      <c r="F121" s="114"/>
    </row>
    <row r="122" spans="1:6" x14ac:dyDescent="0.25">
      <c r="A122" s="26" t="str">
        <f>'[2]4'!A32</f>
        <v>MKN 100-275</v>
      </c>
      <c r="B122" s="27" t="str">
        <f>'[2]4'!B32</f>
        <v>Through 17 1/2" OD</v>
      </c>
      <c r="C122" s="29">
        <f>'[2]4'!C32</f>
        <v>445</v>
      </c>
      <c r="D122" s="29">
        <f>'[2]4'!D32</f>
        <v>215</v>
      </c>
      <c r="E122" s="114"/>
      <c r="F122" s="114"/>
    </row>
    <row r="123" spans="1:6" x14ac:dyDescent="0.25">
      <c r="A123" s="26" t="str">
        <f>'[2]4'!A33</f>
        <v>MKN 100-276</v>
      </c>
      <c r="B123" s="27" t="str">
        <f>'[2]4'!B33</f>
        <v>Through 26" OD</v>
      </c>
      <c r="C123" s="29">
        <f>'[2]4'!C33</f>
        <v>545</v>
      </c>
      <c r="D123" s="29">
        <f>'[2]4'!D33</f>
        <v>215</v>
      </c>
      <c r="E123" s="114"/>
      <c r="F123" s="114"/>
    </row>
    <row r="124" spans="1:6" ht="24" x14ac:dyDescent="0.25">
      <c r="A124" s="26" t="str">
        <f>'[2]4'!A34</f>
        <v>MKN 100-277</v>
      </c>
      <c r="B124" s="27" t="str">
        <f>'[2]4'!B34</f>
        <v>For stabilizers redress charge, as per machine shop + 20%</v>
      </c>
      <c r="C124" s="29"/>
      <c r="D124" s="29"/>
      <c r="E124" s="114"/>
      <c r="F124" s="114"/>
    </row>
    <row r="125" spans="1:6" ht="6" customHeight="1" x14ac:dyDescent="0.25">
      <c r="A125" s="112"/>
      <c r="B125" s="113"/>
      <c r="C125" s="114"/>
      <c r="D125" s="114"/>
      <c r="E125" s="114"/>
      <c r="F125" s="114"/>
    </row>
    <row r="126" spans="1:6" ht="15.95" customHeight="1" x14ac:dyDescent="0.25">
      <c r="A126" s="115" t="s">
        <v>366</v>
      </c>
      <c r="B126" s="116"/>
      <c r="C126" s="117"/>
      <c r="D126" s="117"/>
      <c r="E126" s="117"/>
      <c r="F126" s="117"/>
    </row>
    <row r="127" spans="1:6" ht="23.25" x14ac:dyDescent="0.25">
      <c r="A127" s="118" t="s">
        <v>7</v>
      </c>
      <c r="B127" s="118" t="s">
        <v>8</v>
      </c>
      <c r="C127" s="119" t="s">
        <v>365</v>
      </c>
      <c r="D127" s="119" t="s">
        <v>361</v>
      </c>
      <c r="E127" s="120"/>
      <c r="F127" s="120"/>
    </row>
    <row r="128" spans="1:6" x14ac:dyDescent="0.25">
      <c r="A128" s="22" t="str">
        <f>'[2]5'!A7</f>
        <v>MKN 100-278</v>
      </c>
      <c r="B128" s="23" t="str">
        <f>'[2]5'!B7</f>
        <v>Through 6” OD</v>
      </c>
      <c r="C128" s="25">
        <f>'[2]5'!C7</f>
        <v>380</v>
      </c>
      <c r="D128" s="25">
        <f>'[2]5'!D7</f>
        <v>140</v>
      </c>
      <c r="E128" s="114"/>
      <c r="F128" s="114"/>
    </row>
    <row r="129" spans="1:6" x14ac:dyDescent="0.25">
      <c r="A129" s="26" t="str">
        <f>'[2]5'!A8</f>
        <v>MKN 100-279</v>
      </c>
      <c r="B129" s="27" t="str">
        <f>'[2]5'!B8</f>
        <v>Through 8 1/2” OD</v>
      </c>
      <c r="C129" s="29">
        <f>'[2]5'!C8</f>
        <v>500</v>
      </c>
      <c r="D129" s="29">
        <f>'[2]5'!D8</f>
        <v>170</v>
      </c>
      <c r="E129" s="114"/>
      <c r="F129" s="114"/>
    </row>
    <row r="130" spans="1:6" x14ac:dyDescent="0.25">
      <c r="A130" s="26" t="str">
        <f>'[2]5'!A9</f>
        <v>MKN 100-280</v>
      </c>
      <c r="B130" s="27" t="str">
        <f>'[2]5'!B9</f>
        <v>Through 12 1/4” OD</v>
      </c>
      <c r="C130" s="29">
        <f>'[2]5'!C9</f>
        <v>600</v>
      </c>
      <c r="D130" s="29">
        <f>'[2]5'!D9</f>
        <v>225</v>
      </c>
      <c r="E130" s="114"/>
      <c r="F130" s="114"/>
    </row>
    <row r="131" spans="1:6" x14ac:dyDescent="0.25">
      <c r="A131" s="26" t="str">
        <f>'[2]5'!A10</f>
        <v>MKN 100-281</v>
      </c>
      <c r="B131" s="27" t="str">
        <f>'[2]5'!B10</f>
        <v>Through 17 1/2” OD</v>
      </c>
      <c r="C131" s="29">
        <f>'[2]5'!C10</f>
        <v>600</v>
      </c>
      <c r="D131" s="29">
        <f>'[2]5'!D10</f>
        <v>225</v>
      </c>
      <c r="E131" s="114"/>
      <c r="F131" s="114"/>
    </row>
    <row r="132" spans="1:6" ht="24" x14ac:dyDescent="0.25">
      <c r="A132" s="26" t="str">
        <f>'[2]5'!A11</f>
        <v>MKN 100-282</v>
      </c>
      <c r="B132" s="27" t="str">
        <f>'[2]5'!B11</f>
        <v>For stabilizers redress charge, as per machine shop + 20%</v>
      </c>
      <c r="C132" s="29"/>
      <c r="D132" s="29"/>
      <c r="E132" s="114"/>
      <c r="F132" s="114"/>
    </row>
    <row r="133" spans="1:6" ht="6" customHeight="1" x14ac:dyDescent="0.25">
      <c r="A133" s="112"/>
      <c r="B133" s="113"/>
      <c r="C133" s="114"/>
      <c r="D133" s="114"/>
      <c r="E133" s="114"/>
      <c r="F133" s="114"/>
    </row>
    <row r="134" spans="1:6" ht="15.95" customHeight="1" x14ac:dyDescent="0.25">
      <c r="A134" s="115" t="s">
        <v>367</v>
      </c>
      <c r="B134" s="116"/>
      <c r="C134" s="117"/>
      <c r="D134" s="117"/>
      <c r="E134" s="117"/>
      <c r="F134" s="117"/>
    </row>
    <row r="135" spans="1:6" ht="23.25" x14ac:dyDescent="0.25">
      <c r="A135" s="118" t="s">
        <v>7</v>
      </c>
      <c r="B135" s="118" t="s">
        <v>8</v>
      </c>
      <c r="C135" s="119" t="s">
        <v>365</v>
      </c>
      <c r="D135" s="119" t="s">
        <v>361</v>
      </c>
      <c r="E135" s="120"/>
      <c r="F135" s="120"/>
    </row>
    <row r="136" spans="1:6" x14ac:dyDescent="0.25">
      <c r="A136" s="22" t="str">
        <f>'[2]5'!A16</f>
        <v>MKN 100-283</v>
      </c>
      <c r="B136" s="23" t="str">
        <f>'[2]5'!B16</f>
        <v>2 3/8" Connection</v>
      </c>
      <c r="C136" s="25">
        <f>'[2]5'!C16</f>
        <v>30</v>
      </c>
      <c r="D136" s="25">
        <f>'[2]5'!D16</f>
        <v>10</v>
      </c>
      <c r="E136" s="114"/>
      <c r="F136" s="114"/>
    </row>
    <row r="137" spans="1:6" x14ac:dyDescent="0.25">
      <c r="A137" s="26" t="str">
        <f>'[2]5'!A17</f>
        <v>MKN 100-284</v>
      </c>
      <c r="B137" s="27" t="str">
        <f>'[2]5'!B17</f>
        <v>2 7/8" Connection</v>
      </c>
      <c r="C137" s="29">
        <f>'[2]5'!C17</f>
        <v>30</v>
      </c>
      <c r="D137" s="29">
        <f>'[2]5'!D17</f>
        <v>10</v>
      </c>
      <c r="E137" s="114"/>
      <c r="F137" s="114"/>
    </row>
    <row r="138" spans="1:6" x14ac:dyDescent="0.25">
      <c r="A138" s="26" t="str">
        <f>'[2]5'!A18</f>
        <v>MKN 100-285</v>
      </c>
      <c r="B138" s="27" t="str">
        <f>'[2]5'!B18</f>
        <v>3 1/2" Connection</v>
      </c>
      <c r="C138" s="29">
        <f>'[2]5'!C18</f>
        <v>30</v>
      </c>
      <c r="D138" s="29">
        <f>'[2]5'!D18</f>
        <v>10</v>
      </c>
      <c r="E138" s="114"/>
      <c r="F138" s="114"/>
    </row>
    <row r="139" spans="1:6" x14ac:dyDescent="0.25">
      <c r="A139" s="26" t="str">
        <f>'[2]5'!A19</f>
        <v>MKN 100-286</v>
      </c>
      <c r="B139" s="27" t="str">
        <f>'[2]5'!B19</f>
        <v>4 1/2" Connection</v>
      </c>
      <c r="C139" s="29">
        <f>'[2]5'!C19</f>
        <v>60</v>
      </c>
      <c r="D139" s="29">
        <f>'[2]5'!D19</f>
        <v>10</v>
      </c>
      <c r="E139" s="114"/>
      <c r="F139" s="114"/>
    </row>
    <row r="140" spans="1:6" x14ac:dyDescent="0.25">
      <c r="A140" s="26" t="str">
        <f>'[2]5'!A20</f>
        <v>MKN 100-287</v>
      </c>
      <c r="B140" s="27" t="str">
        <f>'[2]5'!B20</f>
        <v>5 1/2" Connection</v>
      </c>
      <c r="C140" s="29">
        <f>'[2]5'!C20</f>
        <v>60</v>
      </c>
      <c r="D140" s="29">
        <f>'[2]5'!D20</f>
        <v>10</v>
      </c>
      <c r="E140" s="114"/>
      <c r="F140" s="114"/>
    </row>
    <row r="141" spans="1:6" x14ac:dyDescent="0.25">
      <c r="A141" s="26" t="str">
        <f>'[2]5'!A21</f>
        <v>MKN 100-288</v>
      </c>
      <c r="B141" s="27" t="str">
        <f>'[2]5'!B21</f>
        <v>6 5/8" Connection</v>
      </c>
      <c r="C141" s="29">
        <f>'[2]5'!C21</f>
        <v>85</v>
      </c>
      <c r="D141" s="29">
        <f>'[2]5'!D21</f>
        <v>10</v>
      </c>
      <c r="E141" s="114"/>
      <c r="F141" s="114"/>
    </row>
    <row r="142" spans="1:6" x14ac:dyDescent="0.25">
      <c r="A142" s="26" t="str">
        <f>'[2]5'!A22</f>
        <v>MKN 100-289</v>
      </c>
      <c r="B142" s="27" t="str">
        <f>'[2]5'!B22</f>
        <v>7 5/8" Connection</v>
      </c>
      <c r="C142" s="29">
        <f>'[2]5'!C22</f>
        <v>110</v>
      </c>
      <c r="D142" s="29">
        <f>'[2]5'!D22</f>
        <v>10</v>
      </c>
      <c r="E142" s="114"/>
      <c r="F142" s="114"/>
    </row>
    <row r="143" spans="1:6" x14ac:dyDescent="0.25">
      <c r="A143" s="26" t="str">
        <f>'[2]5'!A23</f>
        <v>MKN 100-290</v>
      </c>
      <c r="B143" s="27" t="str">
        <f>'[2]5'!B23</f>
        <v>8 5/8" Connection</v>
      </c>
      <c r="C143" s="29">
        <f>'[2]5'!C23</f>
        <v>150</v>
      </c>
      <c r="D143" s="29">
        <f>'[2]5'!D23</f>
        <v>15</v>
      </c>
      <c r="E143" s="114"/>
      <c r="F143" s="114"/>
    </row>
    <row r="144" spans="1:6" x14ac:dyDescent="0.25">
      <c r="A144" s="26" t="str">
        <f>'[2]5'!A24</f>
        <v>MKN 100-291</v>
      </c>
      <c r="B144" s="27" t="str">
        <f>'[2]5'!B24</f>
        <v>All Drain Subs (Ported Nipples)</v>
      </c>
      <c r="C144" s="29" t="str">
        <f>'[2]5'!C24</f>
        <v>Add 25% to above prices</v>
      </c>
      <c r="D144" s="29"/>
      <c r="E144" s="114"/>
      <c r="F144" s="114"/>
    </row>
    <row r="145" spans="1:6" ht="6" customHeight="1" x14ac:dyDescent="0.25">
      <c r="A145" s="112"/>
      <c r="B145" s="113"/>
      <c r="C145" s="114"/>
      <c r="D145" s="114"/>
      <c r="E145" s="114"/>
      <c r="F145" s="114"/>
    </row>
    <row r="146" spans="1:6" ht="15.95" customHeight="1" x14ac:dyDescent="0.25">
      <c r="A146" s="115" t="s">
        <v>368</v>
      </c>
      <c r="B146" s="116"/>
      <c r="C146" s="117"/>
      <c r="D146" s="117"/>
      <c r="E146" s="117"/>
      <c r="F146" s="117"/>
    </row>
    <row r="147" spans="1:6" ht="23.25" x14ac:dyDescent="0.25">
      <c r="A147" s="118" t="s">
        <v>7</v>
      </c>
      <c r="B147" s="118" t="s">
        <v>8</v>
      </c>
      <c r="C147" s="119" t="s">
        <v>357</v>
      </c>
      <c r="D147" s="119" t="s">
        <v>358</v>
      </c>
      <c r="E147" s="120"/>
      <c r="F147" s="120"/>
    </row>
    <row r="148" spans="1:6" x14ac:dyDescent="0.25">
      <c r="A148" s="22" t="str">
        <f>'[2]5'!A30</f>
        <v>MKN 100-300</v>
      </c>
      <c r="B148" s="23" t="str">
        <f>'[2]5'!B30</f>
        <v>4 3/4" OD</v>
      </c>
      <c r="C148" s="25">
        <f>'[2]5'!C30</f>
        <v>190</v>
      </c>
      <c r="D148" s="25">
        <f>'[2]5'!D30</f>
        <v>1900</v>
      </c>
      <c r="E148" s="114"/>
      <c r="F148" s="114"/>
    </row>
    <row r="149" spans="1:6" x14ac:dyDescent="0.25">
      <c r="A149" s="26" t="str">
        <f>'[2]5'!A31</f>
        <v>MKN 100-301</v>
      </c>
      <c r="B149" s="27" t="str">
        <f>'[2]5'!B31</f>
        <v>6 1/2" OD</v>
      </c>
      <c r="C149" s="29">
        <f>'[2]5'!C31</f>
        <v>230</v>
      </c>
      <c r="D149" s="29">
        <f>'[2]5'!D31</f>
        <v>1900</v>
      </c>
      <c r="E149" s="114"/>
      <c r="F149" s="114"/>
    </row>
    <row r="150" spans="1:6" x14ac:dyDescent="0.25">
      <c r="A150" s="26" t="str">
        <f>'[2]5'!A32</f>
        <v>MKN 100-302</v>
      </c>
      <c r="B150" s="27" t="str">
        <f>'[2]5'!B32</f>
        <v>8" OD</v>
      </c>
      <c r="C150" s="29">
        <f>'[2]5'!C32</f>
        <v>240</v>
      </c>
      <c r="D150" s="29">
        <f>'[2]5'!D32</f>
        <v>2000</v>
      </c>
      <c r="E150" s="114"/>
      <c r="F150" s="114"/>
    </row>
    <row r="151" spans="1:6" x14ac:dyDescent="0.25">
      <c r="A151" s="26" t="str">
        <f>'[2]5'!A33</f>
        <v>MKN 100-303</v>
      </c>
      <c r="B151" s="27" t="str">
        <f>'[2]5'!B33</f>
        <v>9 1/2" OD</v>
      </c>
      <c r="C151" s="29">
        <f>'[2]5'!C33</f>
        <v>260</v>
      </c>
      <c r="D151" s="29">
        <f>'[2]5'!D33</f>
        <v>2000</v>
      </c>
      <c r="E151" s="114"/>
      <c r="F151" s="114"/>
    </row>
    <row r="152" spans="1:6" ht="6" customHeight="1" x14ac:dyDescent="0.25">
      <c r="A152" s="112"/>
      <c r="B152" s="113"/>
      <c r="C152" s="114"/>
      <c r="D152" s="114"/>
      <c r="E152" s="114"/>
      <c r="F152" s="114"/>
    </row>
    <row r="153" spans="1:6" ht="15.95" customHeight="1" x14ac:dyDescent="0.25">
      <c r="A153" s="115" t="s">
        <v>369</v>
      </c>
      <c r="B153" s="116"/>
      <c r="C153" s="117"/>
      <c r="D153" s="117"/>
      <c r="E153" s="117"/>
      <c r="F153" s="117"/>
    </row>
    <row r="154" spans="1:6" ht="23.25" x14ac:dyDescent="0.25">
      <c r="A154" s="118" t="s">
        <v>7</v>
      </c>
      <c r="B154" s="118" t="s">
        <v>8</v>
      </c>
      <c r="C154" s="119" t="s">
        <v>9</v>
      </c>
      <c r="D154" s="119" t="s">
        <v>370</v>
      </c>
      <c r="E154" s="120"/>
      <c r="F154" s="120"/>
    </row>
    <row r="155" spans="1:6" x14ac:dyDescent="0.25">
      <c r="A155" s="22" t="str">
        <f>'[2]5'!A38</f>
        <v>MKN 100-304</v>
      </c>
      <c r="B155" s="23" t="str">
        <f>'[2]5'!B38</f>
        <v>Directional Driller</v>
      </c>
      <c r="C155" s="25" t="str">
        <f>'[2]5'!C38</f>
        <v>Per Day</v>
      </c>
      <c r="D155" s="25">
        <f>'[2]5'!D38</f>
        <v>1350</v>
      </c>
      <c r="E155" s="114"/>
      <c r="F155" s="114"/>
    </row>
    <row r="156" spans="1:6" ht="6" customHeight="1" x14ac:dyDescent="0.25">
      <c r="A156" s="112"/>
      <c r="B156" s="113"/>
      <c r="C156" s="114"/>
      <c r="D156" s="114"/>
      <c r="E156" s="114"/>
      <c r="F156" s="114"/>
    </row>
    <row r="157" spans="1:6" ht="15.95" customHeight="1" x14ac:dyDescent="0.25">
      <c r="A157" s="115" t="s">
        <v>371</v>
      </c>
      <c r="B157" s="116"/>
      <c r="C157" s="117"/>
      <c r="D157" s="117"/>
      <c r="E157" s="117"/>
      <c r="F157" s="117"/>
    </row>
    <row r="158" spans="1:6" ht="34.5" x14ac:dyDescent="0.25">
      <c r="A158" s="118" t="s">
        <v>7</v>
      </c>
      <c r="B158" s="118" t="s">
        <v>372</v>
      </c>
      <c r="C158" s="119" t="s">
        <v>373</v>
      </c>
      <c r="D158" s="119" t="s">
        <v>374</v>
      </c>
      <c r="E158" s="119" t="s">
        <v>375</v>
      </c>
      <c r="F158" s="119" t="s">
        <v>376</v>
      </c>
    </row>
    <row r="159" spans="1:6" x14ac:dyDescent="0.25">
      <c r="A159" s="22" t="str">
        <f>'[2]6'!A8</f>
        <v>MKN 100-305</v>
      </c>
      <c r="B159" s="23" t="str">
        <f>'[2]6'!B8</f>
        <v>4-3/4 inch</v>
      </c>
      <c r="C159" s="25">
        <f>'[2]6'!C8</f>
        <v>195</v>
      </c>
      <c r="D159" s="25">
        <f>'[2]6'!D8</f>
        <v>20</v>
      </c>
      <c r="E159" s="25">
        <f>'[2]6'!E8</f>
        <v>95</v>
      </c>
      <c r="F159" s="25">
        <f>'[2]6'!F8</f>
        <v>1950</v>
      </c>
    </row>
    <row r="160" spans="1:6" x14ac:dyDescent="0.25">
      <c r="A160" s="26" t="str">
        <f>'[2]6'!A9</f>
        <v>MKN 100-306</v>
      </c>
      <c r="B160" s="27" t="str">
        <f>'[2]6'!B9</f>
        <v>6-3/4 inch</v>
      </c>
      <c r="C160" s="29">
        <f>'[2]6'!C9</f>
        <v>220</v>
      </c>
      <c r="D160" s="29">
        <f>'[2]6'!D9</f>
        <v>22</v>
      </c>
      <c r="E160" s="29">
        <f>'[2]6'!E9</f>
        <v>110</v>
      </c>
      <c r="F160" s="29">
        <f>'[2]6'!F9</f>
        <v>2150</v>
      </c>
    </row>
    <row r="161" spans="1:6" x14ac:dyDescent="0.25">
      <c r="A161" s="26" t="str">
        <f>'[2]6'!A10</f>
        <v>MKN 100-307</v>
      </c>
      <c r="B161" s="27" t="str">
        <f>'[2]6'!B10</f>
        <v>thru 6 3/4" inch</v>
      </c>
      <c r="C161" s="29">
        <f>'[2]6'!C10</f>
        <v>245</v>
      </c>
      <c r="D161" s="29">
        <f>'[2]6'!D10</f>
        <v>23</v>
      </c>
      <c r="E161" s="29">
        <f>'[2]6'!E10</f>
        <v>115</v>
      </c>
      <c r="F161" s="29">
        <f>'[2]6'!F10</f>
        <v>2650</v>
      </c>
    </row>
    <row r="162" spans="1:6" x14ac:dyDescent="0.25">
      <c r="A162" s="26" t="str">
        <f>'[2]6'!A11</f>
        <v>MKN 100-308</v>
      </c>
      <c r="B162" s="27" t="str">
        <f>'[2]6'!B11</f>
        <v>thru 9 5/8 inch</v>
      </c>
      <c r="C162" s="29">
        <f>'[2]6'!C11</f>
        <v>260</v>
      </c>
      <c r="D162" s="29">
        <f>'[2]6'!D11</f>
        <v>25</v>
      </c>
      <c r="E162" s="29">
        <f>'[2]6'!E11</f>
        <v>120</v>
      </c>
      <c r="F162" s="29">
        <f>'[2]6'!F11</f>
        <v>2650</v>
      </c>
    </row>
    <row r="163" spans="1:6" x14ac:dyDescent="0.25">
      <c r="A163" s="26" t="str">
        <f>'[2]6'!A12</f>
        <v>MKN 100-309</v>
      </c>
      <c r="B163" s="27" t="str">
        <f>'[2]6'!B12</f>
        <v>thru 17-1/2 inch</v>
      </c>
      <c r="C163" s="29">
        <f>'[2]6'!C12</f>
        <v>310</v>
      </c>
      <c r="D163" s="29">
        <f>'[2]6'!D12</f>
        <v>28</v>
      </c>
      <c r="E163" s="29">
        <f>'[2]6'!E12</f>
        <v>145</v>
      </c>
      <c r="F163" s="29">
        <f>'[2]6'!F12</f>
        <v>2850</v>
      </c>
    </row>
    <row r="164" spans="1:6" ht="6" customHeight="1" x14ac:dyDescent="0.25">
      <c r="A164" s="112"/>
      <c r="B164" s="113"/>
      <c r="C164" s="114"/>
      <c r="D164" s="114"/>
      <c r="E164" s="114"/>
      <c r="F164" s="114"/>
    </row>
    <row r="165" spans="1:6" ht="15.95" customHeight="1" x14ac:dyDescent="0.25">
      <c r="A165" s="115" t="s">
        <v>377</v>
      </c>
      <c r="B165" s="116"/>
      <c r="C165" s="117"/>
      <c r="D165" s="117"/>
      <c r="E165" s="117"/>
      <c r="F165" s="117"/>
    </row>
    <row r="166" spans="1:6" ht="23.25" x14ac:dyDescent="0.25">
      <c r="A166" s="118" t="s">
        <v>7</v>
      </c>
      <c r="B166" s="118" t="s">
        <v>378</v>
      </c>
      <c r="C166" s="119" t="s">
        <v>9</v>
      </c>
      <c r="D166" s="119" t="s">
        <v>379</v>
      </c>
      <c r="E166" s="119" t="s">
        <v>380</v>
      </c>
      <c r="F166" s="120"/>
    </row>
    <row r="167" spans="1:6" x14ac:dyDescent="0.25">
      <c r="A167" s="22" t="str">
        <f>'[2]6'!A17</f>
        <v>MKN 100-310</v>
      </c>
      <c r="B167" s="23" t="str">
        <f>'[2]6'!B17</f>
        <v>Up to 2-3/8 inch</v>
      </c>
      <c r="C167" s="25" t="str">
        <f>'[2]6'!C17</f>
        <v>Per Day</v>
      </c>
      <c r="D167" s="25">
        <f>'[2]6'!D17</f>
        <v>55</v>
      </c>
      <c r="E167" s="25">
        <f>'[2]6'!E17</f>
        <v>22</v>
      </c>
      <c r="F167" s="114"/>
    </row>
    <row r="168" spans="1:6" x14ac:dyDescent="0.25">
      <c r="A168" s="26" t="str">
        <f>'[2]6'!A18</f>
        <v>MKN 100-311</v>
      </c>
      <c r="B168" s="27" t="str">
        <f>'[2]6'!B18</f>
        <v>Up to 2-7/8 inch</v>
      </c>
      <c r="C168" s="29" t="str">
        <f>'[2]6'!C18</f>
        <v>Per Day</v>
      </c>
      <c r="D168" s="29">
        <f>'[2]6'!D18</f>
        <v>65</v>
      </c>
      <c r="E168" s="29">
        <f>'[2]6'!E18</f>
        <v>27</v>
      </c>
      <c r="F168" s="114"/>
    </row>
    <row r="169" spans="1:6" x14ac:dyDescent="0.25">
      <c r="A169" s="26" t="str">
        <f>'[2]6'!A19</f>
        <v>MKN 100-312</v>
      </c>
      <c r="B169" s="27" t="str">
        <f>'[2]6'!B19</f>
        <v>Up to 3-1/2 inch</v>
      </c>
      <c r="C169" s="29" t="str">
        <f>'[2]6'!C19</f>
        <v>Per Day</v>
      </c>
      <c r="D169" s="29">
        <f>'[2]6'!D19</f>
        <v>69</v>
      </c>
      <c r="E169" s="29">
        <f>'[2]6'!E19</f>
        <v>29</v>
      </c>
      <c r="F169" s="114"/>
    </row>
    <row r="170" spans="1:6" x14ac:dyDescent="0.25">
      <c r="A170" s="26" t="str">
        <f>'[2]6'!A20</f>
        <v>MKN 100-313</v>
      </c>
      <c r="B170" s="27" t="str">
        <f>'[2]6'!B20</f>
        <v>Up to 4-1/2 inch</v>
      </c>
      <c r="C170" s="29" t="str">
        <f>'[2]6'!C20</f>
        <v>Per Day</v>
      </c>
      <c r="D170" s="29">
        <f>'[2]6'!D20</f>
        <v>75</v>
      </c>
      <c r="E170" s="29">
        <f>'[2]6'!E20</f>
        <v>30</v>
      </c>
      <c r="F170" s="114"/>
    </row>
    <row r="171" spans="1:6" x14ac:dyDescent="0.25">
      <c r="A171" s="26" t="str">
        <f>'[2]6'!A21</f>
        <v>MKN 100-314</v>
      </c>
      <c r="B171" s="27" t="str">
        <f>'[2]6'!B21</f>
        <v>Up to 5-1/2 inch</v>
      </c>
      <c r="C171" s="29" t="str">
        <f>'[2]6'!C21</f>
        <v>Per Day</v>
      </c>
      <c r="D171" s="29">
        <f>'[2]6'!D21</f>
        <v>79</v>
      </c>
      <c r="E171" s="29">
        <f>'[2]6'!E21</f>
        <v>33</v>
      </c>
      <c r="F171" s="114"/>
    </row>
    <row r="172" spans="1:6" x14ac:dyDescent="0.25">
      <c r="A172" s="26" t="str">
        <f>'[2]6'!A22</f>
        <v>MKN 100-315</v>
      </c>
      <c r="B172" s="27" t="str">
        <f>'[2]6'!B22</f>
        <v>Up to 6-5/8 inch</v>
      </c>
      <c r="C172" s="29" t="str">
        <f>'[2]6'!C22</f>
        <v>Per Day</v>
      </c>
      <c r="D172" s="29">
        <f>'[2]6'!D22</f>
        <v>85</v>
      </c>
      <c r="E172" s="29">
        <f>'[2]6'!E22</f>
        <v>35</v>
      </c>
      <c r="F172" s="114"/>
    </row>
    <row r="173" spans="1:6" x14ac:dyDescent="0.25">
      <c r="A173" s="26" t="str">
        <f>'[2]6'!A23</f>
        <v>MKN 100-316</v>
      </c>
      <c r="B173" s="27" t="str">
        <f>'[2]6'!B23</f>
        <v>Up to 7-5/8 inch</v>
      </c>
      <c r="C173" s="29" t="str">
        <f>'[2]6'!C23</f>
        <v>Per Day</v>
      </c>
      <c r="D173" s="29">
        <f>'[2]6'!D23</f>
        <v>90</v>
      </c>
      <c r="E173" s="29">
        <f>'[2]6'!E23</f>
        <v>45</v>
      </c>
      <c r="F173" s="114"/>
    </row>
    <row r="174" spans="1:6" x14ac:dyDescent="0.25">
      <c r="A174" s="26" t="str">
        <f>'[2]6'!A24</f>
        <v>MKN 100-317</v>
      </c>
      <c r="B174" s="27" t="str">
        <f>'[2]6'!B24</f>
        <v>Up to 8-5/8 inch</v>
      </c>
      <c r="C174" s="29" t="str">
        <f>'[2]6'!C24</f>
        <v>Per Day</v>
      </c>
      <c r="D174" s="29">
        <f>'[2]6'!D24</f>
        <v>150</v>
      </c>
      <c r="E174" s="29">
        <f>'[2]6'!E24</f>
        <v>60</v>
      </c>
      <c r="F174" s="114"/>
    </row>
    <row r="175" spans="1:6" ht="6" customHeight="1" x14ac:dyDescent="0.25">
      <c r="A175" s="112"/>
      <c r="B175" s="113"/>
      <c r="C175" s="114"/>
      <c r="D175" s="114"/>
      <c r="E175" s="114"/>
      <c r="F175" s="114"/>
    </row>
    <row r="176" spans="1:6" ht="15.95" customHeight="1" x14ac:dyDescent="0.25">
      <c r="A176" s="115" t="s">
        <v>381</v>
      </c>
      <c r="B176" s="116"/>
      <c r="C176" s="117"/>
      <c r="D176" s="117"/>
      <c r="E176" s="117"/>
      <c r="F176" s="117"/>
    </row>
    <row r="177" spans="1:6" ht="23.25" x14ac:dyDescent="0.25">
      <c r="A177" s="118" t="s">
        <v>7</v>
      </c>
      <c r="B177" s="118" t="s">
        <v>382</v>
      </c>
      <c r="C177" s="119" t="s">
        <v>9</v>
      </c>
      <c r="D177" s="119" t="s">
        <v>347</v>
      </c>
      <c r="E177" s="119" t="s">
        <v>348</v>
      </c>
      <c r="F177" s="119" t="s">
        <v>380</v>
      </c>
    </row>
    <row r="178" spans="1:6" x14ac:dyDescent="0.25">
      <c r="A178" s="22" t="str">
        <f>'[2]6'!A29</f>
        <v>MKN 100-318</v>
      </c>
      <c r="B178" s="23" t="str">
        <f>'[2]6'!B29</f>
        <v>4-1/2 or 4-3/4 inch</v>
      </c>
      <c r="C178" s="25" t="str">
        <f>'[2]6'!C29</f>
        <v>Per Day</v>
      </c>
      <c r="D178" s="25">
        <f>'[2]6'!D29</f>
        <v>1092</v>
      </c>
      <c r="E178" s="25">
        <f>'[2]6'!E29</f>
        <v>98</v>
      </c>
      <c r="F178" s="25">
        <f>'[2]6'!F29</f>
        <v>45</v>
      </c>
    </row>
    <row r="179" spans="1:6" x14ac:dyDescent="0.25">
      <c r="A179" s="26" t="str">
        <f>'[2]6'!A30</f>
        <v>MKN 100-319</v>
      </c>
      <c r="B179" s="27" t="str">
        <f>'[2]6'!B30</f>
        <v>6-1/2 or 6-3/4 inch</v>
      </c>
      <c r="C179" s="29" t="str">
        <f>'[2]6'!C30</f>
        <v>Per Day</v>
      </c>
      <c r="D179" s="29">
        <f>'[2]6'!D30</f>
        <v>1092</v>
      </c>
      <c r="E179" s="29">
        <f>'[2]6'!E30</f>
        <v>106</v>
      </c>
      <c r="F179" s="29">
        <f>'[2]6'!F30</f>
        <v>45</v>
      </c>
    </row>
    <row r="180" spans="1:6" x14ac:dyDescent="0.25">
      <c r="A180" s="26" t="str">
        <f>'[2]6'!A31</f>
        <v>MKN 100-320</v>
      </c>
      <c r="B180" s="27" t="str">
        <f>'[2]6'!B31</f>
        <v>8-1/2 inch</v>
      </c>
      <c r="C180" s="29" t="str">
        <f>'[2]6'!C31</f>
        <v>Per Day</v>
      </c>
      <c r="D180" s="29">
        <f>'[2]6'!D31</f>
        <v>1495</v>
      </c>
      <c r="E180" s="29">
        <f>'[2]6'!E31</f>
        <v>119</v>
      </c>
      <c r="F180" s="29">
        <f>'[2]6'!F31</f>
        <v>65</v>
      </c>
    </row>
    <row r="181" spans="1:6" x14ac:dyDescent="0.25">
      <c r="A181" s="26" t="str">
        <f>'[2]6'!A32</f>
        <v>MKN 100-321</v>
      </c>
      <c r="B181" s="27" t="str">
        <f>'[2]6'!B32</f>
        <v>9-7/8 inch</v>
      </c>
      <c r="C181" s="29" t="str">
        <f>'[2]6'!C32</f>
        <v>Per Day</v>
      </c>
      <c r="D181" s="29">
        <f>'[2]6'!D32</f>
        <v>1558</v>
      </c>
      <c r="E181" s="29">
        <f>'[2]6'!E32</f>
        <v>125</v>
      </c>
      <c r="F181" s="29">
        <f>'[2]6'!F32</f>
        <v>65</v>
      </c>
    </row>
    <row r="182" spans="1:6" x14ac:dyDescent="0.25">
      <c r="A182" s="26" t="str">
        <f>'[2]6'!A33</f>
        <v>MKN 100-322</v>
      </c>
      <c r="B182" s="27" t="str">
        <f>'[2]6'!B33</f>
        <v>12-1/4 inch</v>
      </c>
      <c r="C182" s="29" t="str">
        <f>'[2]6'!C33</f>
        <v>Per Day</v>
      </c>
      <c r="D182" s="29">
        <f>'[2]6'!D33</f>
        <v>1707</v>
      </c>
      <c r="E182" s="29">
        <f>'[2]6'!E33</f>
        <v>135</v>
      </c>
      <c r="F182" s="29">
        <f>'[2]6'!F33</f>
        <v>75</v>
      </c>
    </row>
    <row r="183" spans="1:6" x14ac:dyDescent="0.25">
      <c r="A183" s="26" t="str">
        <f>'[2]6'!A34</f>
        <v>MKN 100-323</v>
      </c>
      <c r="B183" s="27" t="str">
        <f>'[2]6'!B34</f>
        <v>15 inch</v>
      </c>
      <c r="C183" s="29" t="str">
        <f>'[2]6'!C34</f>
        <v>Per Day</v>
      </c>
      <c r="D183" s="29">
        <f>'[2]6'!D34</f>
        <v>2185</v>
      </c>
      <c r="E183" s="29">
        <f>'[2]6'!E34</f>
        <v>169</v>
      </c>
      <c r="F183" s="29">
        <f>'[2]6'!F34</f>
        <v>85</v>
      </c>
    </row>
    <row r="184" spans="1:6" x14ac:dyDescent="0.25">
      <c r="A184" s="26" t="str">
        <f>'[2]6'!A35</f>
        <v>MKN 100-324</v>
      </c>
      <c r="B184" s="27" t="str">
        <f>'[2]6'!B35</f>
        <v>17-1/2 inch</v>
      </c>
      <c r="C184" s="29" t="str">
        <f>'[2]6'!C35</f>
        <v>Per Day</v>
      </c>
      <c r="D184" s="29">
        <f>'[2]6'!D35</f>
        <v>3737</v>
      </c>
      <c r="E184" s="29">
        <f>'[2]6'!E35</f>
        <v>262</v>
      </c>
      <c r="F184" s="29">
        <f>'[2]6'!F35</f>
        <v>105</v>
      </c>
    </row>
    <row r="185" spans="1:6" ht="6" customHeight="1" x14ac:dyDescent="0.25">
      <c r="A185" s="112"/>
      <c r="B185" s="113"/>
      <c r="C185" s="114"/>
      <c r="D185" s="114"/>
      <c r="E185" s="114"/>
      <c r="F185" s="114"/>
    </row>
    <row r="186" spans="1:6" ht="21.95" customHeight="1" thickBot="1" x14ac:dyDescent="0.3">
      <c r="A186" s="10" t="s">
        <v>383</v>
      </c>
      <c r="B186" s="11"/>
      <c r="C186" s="13"/>
      <c r="D186" s="13"/>
      <c r="E186" s="13"/>
      <c r="F186" s="14" t="s">
        <v>5</v>
      </c>
    </row>
    <row r="187" spans="1:6" ht="6" customHeight="1" thickTop="1" x14ac:dyDescent="0.25">
      <c r="A187" s="112"/>
      <c r="B187" s="113"/>
      <c r="C187" s="114"/>
      <c r="D187" s="114"/>
      <c r="E187" s="114"/>
      <c r="F187" s="114"/>
    </row>
    <row r="188" spans="1:6" ht="15.95" customHeight="1" x14ac:dyDescent="0.25">
      <c r="A188" s="115" t="s">
        <v>384</v>
      </c>
      <c r="B188" s="116"/>
      <c r="C188" s="117"/>
      <c r="D188" s="117"/>
      <c r="E188" s="117"/>
      <c r="F188" s="117"/>
    </row>
    <row r="189" spans="1:6" x14ac:dyDescent="0.25">
      <c r="A189" s="118" t="s">
        <v>7</v>
      </c>
      <c r="B189" s="118" t="s">
        <v>8</v>
      </c>
      <c r="C189" s="119" t="s">
        <v>9</v>
      </c>
      <c r="D189" s="119" t="s">
        <v>344</v>
      </c>
      <c r="E189" s="120"/>
      <c r="F189" s="120"/>
    </row>
    <row r="190" spans="1:6" ht="24" x14ac:dyDescent="0.25">
      <c r="A190" s="22" t="str">
        <f>'[2]7'!A7</f>
        <v>MKN 100-325</v>
      </c>
      <c r="B190" s="23" t="str">
        <f>'[2]7'!B7</f>
        <v>8" 30ft Core Barrel (with handling tools &amp; Stab) rental charge</v>
      </c>
      <c r="C190" s="25" t="str">
        <f>'[2]7'!C7</f>
        <v>section/day</v>
      </c>
      <c r="D190" s="25">
        <f>'[2]7'!D7</f>
        <v>400</v>
      </c>
      <c r="E190" s="114"/>
      <c r="F190" s="114"/>
    </row>
    <row r="191" spans="1:6" ht="24" x14ac:dyDescent="0.25">
      <c r="A191" s="26" t="str">
        <f>'[2]7'!A8</f>
        <v>MKN 100-326</v>
      </c>
      <c r="B191" s="27" t="str">
        <f>'[2]7'!B8</f>
        <v>6 3/4" 30ft Core Barrel (with handling tools &amp; Stab) rental charge</v>
      </c>
      <c r="C191" s="29" t="str">
        <f>'[2]7'!C8</f>
        <v>section/day</v>
      </c>
      <c r="D191" s="29">
        <f>'[2]7'!D8</f>
        <v>350</v>
      </c>
      <c r="E191" s="114"/>
      <c r="F191" s="114"/>
    </row>
    <row r="192" spans="1:6" ht="24" x14ac:dyDescent="0.25">
      <c r="A192" s="26" t="str">
        <f>'[2]7'!A9</f>
        <v>MKN 100-327</v>
      </c>
      <c r="B192" s="27" t="str">
        <f>'[2]7'!B9</f>
        <v>4 3/4" 30ft Core Barrel (with handling tools &amp; Stab) rental charge</v>
      </c>
      <c r="C192" s="29" t="str">
        <f>'[2]7'!C9</f>
        <v>section/day</v>
      </c>
      <c r="D192" s="29">
        <f>'[2]7'!D9</f>
        <v>300</v>
      </c>
      <c r="E192" s="114"/>
      <c r="F192" s="114"/>
    </row>
    <row r="193" spans="1:6" x14ac:dyDescent="0.25">
      <c r="A193" s="26" t="str">
        <f>'[2]7'!A10</f>
        <v>MKN 100-328</v>
      </c>
      <c r="B193" s="27" t="str">
        <f>'[2]7'!B10</f>
        <v>Restocking charge (apply if tool return unused)</v>
      </c>
      <c r="C193" s="29" t="str">
        <f>'[2]7'!C10</f>
        <v>section</v>
      </c>
      <c r="D193" s="29">
        <f>'[2]7'!D10</f>
        <v>2500</v>
      </c>
      <c r="E193" s="114"/>
      <c r="F193" s="114"/>
    </row>
    <row r="194" spans="1:6" x14ac:dyDescent="0.25">
      <c r="A194" s="26" t="str">
        <f>'[2]7'!A11</f>
        <v>MKN 100-329</v>
      </c>
      <c r="B194" s="27" t="str">
        <f>'[2]7'!B11</f>
        <v>Coring charge for 12 1/4" hole</v>
      </c>
      <c r="C194" s="29" t="str">
        <f>'[2]7'!C11</f>
        <v>foot</v>
      </c>
      <c r="D194" s="29">
        <f>'[2]7'!D11</f>
        <v>200</v>
      </c>
      <c r="E194" s="114"/>
      <c r="F194" s="114"/>
    </row>
    <row r="195" spans="1:6" x14ac:dyDescent="0.25">
      <c r="A195" s="26" t="str">
        <f>'[2]7'!A12</f>
        <v>MKN 100-330</v>
      </c>
      <c r="B195" s="27" t="str">
        <f>'[2]7'!B12</f>
        <v>Coring charge for 8 1/2" or 8 3/8" hole</v>
      </c>
      <c r="C195" s="29" t="str">
        <f>'[2]7'!C12</f>
        <v>foot</v>
      </c>
      <c r="D195" s="29">
        <f>'[2]7'!D12</f>
        <v>175</v>
      </c>
      <c r="E195" s="114"/>
      <c r="F195" s="114"/>
    </row>
    <row r="196" spans="1:6" x14ac:dyDescent="0.25">
      <c r="A196" s="26" t="str">
        <f>'[2]7'!A13</f>
        <v>MKN 100-331</v>
      </c>
      <c r="B196" s="27" t="str">
        <f>'[2]7'!B13</f>
        <v>Coring charge for 5 7/8"; 6" or 6 1/8" hole</v>
      </c>
      <c r="C196" s="29" t="str">
        <f>'[2]7'!C13</f>
        <v>foot</v>
      </c>
      <c r="D196" s="29">
        <f>'[2]7'!D13</f>
        <v>150</v>
      </c>
      <c r="E196" s="114"/>
      <c r="F196" s="114"/>
    </row>
    <row r="197" spans="1:6" x14ac:dyDescent="0.25">
      <c r="A197" s="26" t="str">
        <f>'[2]7'!A14</f>
        <v>MKN 100-332</v>
      </c>
      <c r="B197" s="27" t="str">
        <f>'[2]7'!B14</f>
        <v>Conventional Coring Mobilization Charge</v>
      </c>
      <c r="C197" s="29" t="str">
        <f>'[2]7'!C14</f>
        <v>each</v>
      </c>
      <c r="D197" s="29">
        <f>'[2]7'!D14</f>
        <v>6000</v>
      </c>
      <c r="E197" s="114"/>
      <c r="F197" s="114"/>
    </row>
    <row r="198" spans="1:6" x14ac:dyDescent="0.25">
      <c r="A198" s="26" t="str">
        <f>'[2]7'!A15</f>
        <v>MKN 100-333</v>
      </c>
      <c r="B198" s="27" t="str">
        <f>'[2]7'!B15</f>
        <v>Job Cancellation Charges</v>
      </c>
      <c r="C198" s="29" t="str">
        <f>'[2]7'!C15</f>
        <v>each</v>
      </c>
      <c r="D198" s="29">
        <f>'[2]7'!D15</f>
        <v>25000</v>
      </c>
      <c r="E198" s="114"/>
      <c r="F198" s="114"/>
    </row>
    <row r="199" spans="1:6" ht="6" customHeight="1" x14ac:dyDescent="0.25">
      <c r="A199" s="112"/>
      <c r="B199" s="113"/>
      <c r="C199" s="114"/>
      <c r="D199" s="114"/>
      <c r="E199" s="114"/>
      <c r="F199" s="114"/>
    </row>
    <row r="200" spans="1:6" ht="15.95" customHeight="1" x14ac:dyDescent="0.25">
      <c r="A200" s="115" t="s">
        <v>385</v>
      </c>
      <c r="B200" s="116"/>
      <c r="C200" s="117"/>
      <c r="D200" s="117"/>
      <c r="E200" s="117"/>
      <c r="F200" s="117"/>
    </row>
    <row r="201" spans="1:6" x14ac:dyDescent="0.25">
      <c r="A201" s="118" t="s">
        <v>7</v>
      </c>
      <c r="B201" s="118" t="s">
        <v>8</v>
      </c>
      <c r="C201" s="119" t="s">
        <v>9</v>
      </c>
      <c r="D201" s="119" t="s">
        <v>344</v>
      </c>
      <c r="E201" s="120"/>
      <c r="F201" s="120"/>
    </row>
    <row r="202" spans="1:6" x14ac:dyDescent="0.25">
      <c r="A202" s="22" t="str">
        <f>'[2]7'!A20</f>
        <v>MKN 100-334</v>
      </c>
      <c r="B202" s="23" t="str">
        <f>'[2]7'!B20</f>
        <v>Fiber Glass Inner Tube (30ft x 5 1/4")</v>
      </c>
      <c r="C202" s="25" t="str">
        <f>'[2]7'!C20</f>
        <v>each</v>
      </c>
      <c r="D202" s="25">
        <f>'[2]7'!D20</f>
        <v>2500</v>
      </c>
      <c r="E202" s="114"/>
      <c r="F202" s="114"/>
    </row>
    <row r="203" spans="1:6" x14ac:dyDescent="0.25">
      <c r="A203" s="26" t="str">
        <f>'[2]7'!A21</f>
        <v>MKN 100-335</v>
      </c>
      <c r="B203" s="27" t="str">
        <f>'[2]7'!B21</f>
        <v>Fiber Glass Inner Tube (30ft x 4")</v>
      </c>
      <c r="C203" s="29" t="str">
        <f>'[2]7'!C21</f>
        <v>each</v>
      </c>
      <c r="D203" s="29">
        <f>'[2]7'!D21</f>
        <v>2250</v>
      </c>
      <c r="E203" s="114"/>
      <c r="F203" s="114"/>
    </row>
    <row r="204" spans="1:6" x14ac:dyDescent="0.25">
      <c r="A204" s="26" t="str">
        <f>'[2]7'!A22</f>
        <v>MKN 100-336</v>
      </c>
      <c r="B204" s="27" t="str">
        <f>'[2]7'!B22</f>
        <v>Fiber Glass Inner Tube (30ft x 2 5/8")</v>
      </c>
      <c r="C204" s="29" t="str">
        <f>'[2]7'!C22</f>
        <v>each</v>
      </c>
      <c r="D204" s="29">
        <f>'[2]7'!D22</f>
        <v>2225</v>
      </c>
      <c r="E204" s="114"/>
      <c r="F204" s="114"/>
    </row>
    <row r="205" spans="1:6" x14ac:dyDescent="0.25">
      <c r="A205" s="26" t="str">
        <f>'[2]7'!A23</f>
        <v>MKN 100-337</v>
      </c>
      <c r="B205" s="27" t="str">
        <f>'[2]7'!B23</f>
        <v>Aluminum Inner Tube (30ft x 5 1/4")</v>
      </c>
      <c r="C205" s="29" t="str">
        <f>'[2]7'!C23</f>
        <v>each</v>
      </c>
      <c r="D205" s="29">
        <f>'[2]7'!D23</f>
        <v>2250</v>
      </c>
      <c r="E205" s="114"/>
      <c r="F205" s="114"/>
    </row>
    <row r="206" spans="1:6" x14ac:dyDescent="0.25">
      <c r="A206" s="26" t="str">
        <f>'[2]7'!A24</f>
        <v>MKN 100-338</v>
      </c>
      <c r="B206" s="27" t="str">
        <f>'[2]7'!B24</f>
        <v>Aluminum Inner Tube (30ft x 4")</v>
      </c>
      <c r="C206" s="29" t="str">
        <f>'[2]7'!C24</f>
        <v>each</v>
      </c>
      <c r="D206" s="29">
        <f>'[2]7'!D24</f>
        <v>2150</v>
      </c>
      <c r="E206" s="114"/>
      <c r="F206" s="114"/>
    </row>
    <row r="207" spans="1:6" x14ac:dyDescent="0.25">
      <c r="A207" s="26" t="str">
        <f>'[2]7'!A25</f>
        <v>MKN 100-339</v>
      </c>
      <c r="B207" s="27" t="str">
        <f>'[2]7'!B25</f>
        <v>Aluminum Inner Tube (30ft x 2 5/8")</v>
      </c>
      <c r="C207" s="29" t="str">
        <f>'[2]7'!C25</f>
        <v>each</v>
      </c>
      <c r="D207" s="29">
        <f>'[2]7'!D25</f>
        <v>2000</v>
      </c>
      <c r="E207" s="114"/>
      <c r="F207" s="114"/>
    </row>
    <row r="208" spans="1:6" x14ac:dyDescent="0.25">
      <c r="A208" s="26" t="str">
        <f>'[2]7'!A26</f>
        <v>MKN 100-340</v>
      </c>
      <c r="B208" s="27" t="str">
        <f>'[2]7'!B26</f>
        <v>Pressure Relief Valve for inner tube</v>
      </c>
      <c r="C208" s="29" t="str">
        <f>'[2]7'!C26</f>
        <v>tube</v>
      </c>
      <c r="D208" s="29">
        <f>'[2]7'!D26</f>
        <v>200</v>
      </c>
      <c r="E208" s="114"/>
      <c r="F208" s="114"/>
    </row>
    <row r="209" spans="1:6" x14ac:dyDescent="0.25">
      <c r="A209" s="26" t="str">
        <f>'[2]7'!A27</f>
        <v>MKN 100-341</v>
      </c>
      <c r="B209" s="27" t="str">
        <f>'[2]7'!B27</f>
        <v>Aluminum Fluted Inner Tube (30ft x 5 1/4")</v>
      </c>
      <c r="C209" s="29" t="str">
        <f>'[2]7'!C27</f>
        <v>each</v>
      </c>
      <c r="D209" s="29">
        <f>'[2]7'!D27</f>
        <v>2500</v>
      </c>
      <c r="E209" s="114"/>
      <c r="F209" s="114"/>
    </row>
    <row r="210" spans="1:6" x14ac:dyDescent="0.25">
      <c r="A210" s="26" t="str">
        <f>'[2]7'!A28</f>
        <v>MKN 100-342</v>
      </c>
      <c r="B210" s="27" t="str">
        <f>'[2]7'!B28</f>
        <v>Aluminum Fluted Inner Tube (30ft x 4")</v>
      </c>
      <c r="C210" s="29" t="str">
        <f>'[2]7'!C28</f>
        <v>each</v>
      </c>
      <c r="D210" s="29">
        <f>'[2]7'!D28</f>
        <v>2250</v>
      </c>
      <c r="E210" s="114"/>
      <c r="F210" s="114"/>
    </row>
    <row r="211" spans="1:6" x14ac:dyDescent="0.25">
      <c r="A211" s="26" t="str">
        <f>'[2]7'!A29</f>
        <v>MKN 100-343</v>
      </c>
      <c r="B211" s="27" t="str">
        <f>'[2]7'!B29</f>
        <v>Aluminum Fluted Inner Tube (30ft x 2 5/8")</v>
      </c>
      <c r="C211" s="29" t="str">
        <f>'[2]7'!C29</f>
        <v>each</v>
      </c>
      <c r="D211" s="29">
        <f>'[2]7'!D29</f>
        <v>2225</v>
      </c>
      <c r="E211" s="114"/>
      <c r="F211" s="114"/>
    </row>
    <row r="212" spans="1:6" ht="6" customHeight="1" x14ac:dyDescent="0.25">
      <c r="A212" s="112"/>
      <c r="B212" s="113"/>
      <c r="C212" s="114"/>
      <c r="D212" s="114"/>
      <c r="E212" s="114"/>
      <c r="F212" s="114"/>
    </row>
    <row r="213" spans="1:6" ht="15.95" customHeight="1" x14ac:dyDescent="0.25">
      <c r="A213" s="115" t="s">
        <v>386</v>
      </c>
      <c r="B213" s="116"/>
      <c r="C213" s="117"/>
      <c r="D213" s="117"/>
      <c r="E213" s="117"/>
      <c r="F213" s="117"/>
    </row>
    <row r="214" spans="1:6" x14ac:dyDescent="0.25">
      <c r="A214" s="118" t="s">
        <v>7</v>
      </c>
      <c r="B214" s="118" t="s">
        <v>8</v>
      </c>
      <c r="C214" s="119" t="s">
        <v>9</v>
      </c>
      <c r="D214" s="119" t="s">
        <v>344</v>
      </c>
      <c r="E214" s="120"/>
      <c r="F214" s="120"/>
    </row>
    <row r="215" spans="1:6" x14ac:dyDescent="0.25">
      <c r="A215" s="22" t="str">
        <f>'[2]7'!A34</f>
        <v>MKN 100-344</v>
      </c>
      <c r="B215" s="23" t="str">
        <f>'[2]7'!B34</f>
        <v>Core Lay Down Cradle</v>
      </c>
      <c r="C215" s="25" t="str">
        <f>'[2]7'!C34</f>
        <v>day</v>
      </c>
      <c r="D215" s="25">
        <f>'[2]7'!D34</f>
        <v>300</v>
      </c>
      <c r="E215" s="114"/>
      <c r="F215" s="114"/>
    </row>
    <row r="216" spans="1:6" x14ac:dyDescent="0.25">
      <c r="A216" s="26" t="str">
        <f>'[2]7'!A35</f>
        <v>MKN 100-345</v>
      </c>
      <c r="B216" s="27" t="str">
        <f>'[2]7'!B35</f>
        <v>Coring Cutting Machine</v>
      </c>
      <c r="C216" s="29" t="str">
        <f>'[2]7'!C35</f>
        <v>day</v>
      </c>
      <c r="D216" s="29">
        <f>'[2]7'!D35</f>
        <v>300</v>
      </c>
      <c r="E216" s="114"/>
      <c r="F216" s="114"/>
    </row>
    <row r="217" spans="1:6" x14ac:dyDescent="0.25">
      <c r="A217" s="26" t="str">
        <f>'[2]7'!A36</f>
        <v>MKN 100-346</v>
      </c>
      <c r="B217" s="27" t="str">
        <f>'[2]7'!B36</f>
        <v>Wooden core box with sponge liner (1m or 3ft)</v>
      </c>
      <c r="C217" s="29" t="str">
        <f>'[2]7'!C36</f>
        <v>each</v>
      </c>
      <c r="D217" s="29">
        <f>'[2]7'!D36</f>
        <v>70</v>
      </c>
      <c r="E217" s="114"/>
      <c r="F217" s="114"/>
    </row>
    <row r="218" spans="1:6" x14ac:dyDescent="0.25">
      <c r="A218" s="26" t="str">
        <f>'[2]7'!A37</f>
        <v>MKN 100-347</v>
      </c>
      <c r="B218" s="27" t="str">
        <f>'[2]7'!B37</f>
        <v>Core Transportation</v>
      </c>
      <c r="C218" s="29" t="str">
        <f>'[2]7'!C37</f>
        <v>each</v>
      </c>
      <c r="D218" s="29">
        <f>'[2]7'!D37</f>
        <v>3000</v>
      </c>
      <c r="E218" s="114"/>
      <c r="F218" s="114"/>
    </row>
    <row r="219" spans="1:6" ht="6" customHeight="1" x14ac:dyDescent="0.25">
      <c r="A219" s="112"/>
      <c r="B219" s="113"/>
      <c r="C219" s="114"/>
      <c r="D219" s="114"/>
      <c r="E219" s="114"/>
      <c r="F219" s="114"/>
    </row>
    <row r="220" spans="1:6" ht="15.95" customHeight="1" x14ac:dyDescent="0.25">
      <c r="A220" s="115" t="s">
        <v>387</v>
      </c>
      <c r="B220" s="116"/>
      <c r="C220" s="117"/>
      <c r="D220" s="117"/>
      <c r="E220" s="117"/>
      <c r="F220" s="117"/>
    </row>
    <row r="221" spans="1:6" x14ac:dyDescent="0.25">
      <c r="A221" s="118" t="s">
        <v>7</v>
      </c>
      <c r="B221" s="118" t="s">
        <v>8</v>
      </c>
      <c r="C221" s="119" t="s">
        <v>9</v>
      </c>
      <c r="D221" s="119" t="s">
        <v>344</v>
      </c>
      <c r="E221" s="120"/>
      <c r="F221" s="120"/>
    </row>
    <row r="222" spans="1:6" x14ac:dyDescent="0.25">
      <c r="A222" s="22" t="str">
        <f>'[2]8'!A6</f>
        <v>MKN 100-348</v>
      </c>
      <c r="B222" s="23" t="str">
        <f>'[2]8'!B6</f>
        <v>Coring Engineer (rig site)</v>
      </c>
      <c r="C222" s="25" t="str">
        <f>'[2]8'!C6</f>
        <v>day</v>
      </c>
      <c r="D222" s="25">
        <f>'[2]8'!D6</f>
        <v>1010</v>
      </c>
      <c r="E222" s="114"/>
      <c r="F222" s="114"/>
    </row>
    <row r="223" spans="1:6" x14ac:dyDescent="0.25">
      <c r="A223" s="26" t="str">
        <f>'[2]8'!A7</f>
        <v>MKN 100-349</v>
      </c>
      <c r="B223" s="27" t="str">
        <f>'[2]8'!B7</f>
        <v>CGL Engineer (rig site)</v>
      </c>
      <c r="C223" s="29" t="str">
        <f>'[2]8'!C7</f>
        <v>day</v>
      </c>
      <c r="D223" s="29">
        <f>'[2]8'!D7</f>
        <v>1150</v>
      </c>
      <c r="E223" s="114"/>
      <c r="F223" s="114"/>
    </row>
    <row r="224" spans="1:6" x14ac:dyDescent="0.25">
      <c r="A224" s="26" t="str">
        <f>'[2]8'!A8</f>
        <v>MKN 100-350</v>
      </c>
      <c r="B224" s="27" t="str">
        <f>'[2]8'!B8</f>
        <v>Preservation Engineer (rig site)</v>
      </c>
      <c r="C224" s="29" t="str">
        <f>'[2]8'!C8</f>
        <v>day</v>
      </c>
      <c r="D224" s="29">
        <f>'[2]8'!D8</f>
        <v>1150</v>
      </c>
      <c r="E224" s="114"/>
      <c r="F224" s="114"/>
    </row>
    <row r="225" spans="1:6" x14ac:dyDescent="0.25">
      <c r="A225" s="26" t="str">
        <f>'[2]8'!A9</f>
        <v>MKN 100-351</v>
      </c>
      <c r="B225" s="27" t="str">
        <f>'[2]8'!B9</f>
        <v>Coring Technician (rig site)</v>
      </c>
      <c r="C225" s="29" t="str">
        <f>'[2]8'!C9</f>
        <v>day</v>
      </c>
      <c r="D225" s="29">
        <f>'[2]8'!D9</f>
        <v>550</v>
      </c>
      <c r="E225" s="114"/>
      <c r="F225" s="114"/>
    </row>
    <row r="226" spans="1:6" x14ac:dyDescent="0.25">
      <c r="A226" s="26" t="str">
        <f>'[2]8'!A10</f>
        <v>MKN 100-352</v>
      </c>
      <c r="B226" s="27" t="str">
        <f>'[2]8'!B10</f>
        <v>Special Services Coring Engineer (rig site)</v>
      </c>
      <c r="C226" s="29" t="str">
        <f>'[2]8'!C10</f>
        <v>day</v>
      </c>
      <c r="D226" s="29">
        <f>'[2]8'!D10</f>
        <v>1500</v>
      </c>
      <c r="E226" s="114"/>
      <c r="F226" s="114"/>
    </row>
    <row r="227" spans="1:6" x14ac:dyDescent="0.25">
      <c r="A227" s="26" t="str">
        <f>'[2]8'!A11</f>
        <v>MKN 100-353</v>
      </c>
      <c r="B227" s="27" t="str">
        <f>'[2]8'!B11</f>
        <v>Coring Engineer (Stand by in town)</v>
      </c>
      <c r="C227" s="29" t="str">
        <f>'[2]8'!C11</f>
        <v>day</v>
      </c>
      <c r="D227" s="29">
        <f>'[2]8'!D11</f>
        <v>790</v>
      </c>
      <c r="E227" s="114"/>
      <c r="F227" s="114"/>
    </row>
    <row r="228" spans="1:6" x14ac:dyDescent="0.25">
      <c r="A228" s="26" t="str">
        <f>'[2]8'!A12</f>
        <v>MKN 100-354</v>
      </c>
      <c r="B228" s="27" t="str">
        <f>'[2]8'!B12</f>
        <v>CGL Engineer (Stand by in town)</v>
      </c>
      <c r="C228" s="29" t="str">
        <f>'[2]8'!C12</f>
        <v>day</v>
      </c>
      <c r="D228" s="29">
        <f>'[2]8'!D12</f>
        <v>790</v>
      </c>
      <c r="E228" s="114"/>
      <c r="F228" s="114"/>
    </row>
    <row r="229" spans="1:6" x14ac:dyDescent="0.25">
      <c r="A229" s="26" t="str">
        <f>'[2]8'!A13</f>
        <v>MKN 100-355</v>
      </c>
      <c r="B229" s="27" t="str">
        <f>'[2]8'!B13</f>
        <v>Preservation Engineer (Stand by in town)</v>
      </c>
      <c r="C229" s="29" t="str">
        <f>'[2]8'!C13</f>
        <v>day</v>
      </c>
      <c r="D229" s="29">
        <f>'[2]8'!D13</f>
        <v>790</v>
      </c>
      <c r="E229" s="114"/>
      <c r="F229" s="114"/>
    </row>
    <row r="230" spans="1:6" x14ac:dyDescent="0.25">
      <c r="A230" s="26" t="str">
        <f>'[2]8'!A14</f>
        <v>MKN 100-356</v>
      </c>
      <c r="B230" s="27" t="str">
        <f>'[2]8'!B14</f>
        <v>Coring Technician (Stand by in town)</v>
      </c>
      <c r="C230" s="29" t="str">
        <f>'[2]8'!C14</f>
        <v>day</v>
      </c>
      <c r="D230" s="29">
        <f>'[2]8'!D14</f>
        <v>430</v>
      </c>
      <c r="E230" s="114"/>
      <c r="F230" s="114"/>
    </row>
    <row r="231" spans="1:6" ht="24" x14ac:dyDescent="0.25">
      <c r="A231" s="26" t="str">
        <f>'[2]8'!A15</f>
        <v>MKN 100-357</v>
      </c>
      <c r="B231" s="27" t="str">
        <f>'[2]8'!B15</f>
        <v>Special Services Coring Engineer (Stand by in town)</v>
      </c>
      <c r="C231" s="29" t="str">
        <f>'[2]8'!C15</f>
        <v>day</v>
      </c>
      <c r="D231" s="29">
        <f>'[2]8'!D15</f>
        <v>900</v>
      </c>
      <c r="E231" s="114"/>
      <c r="F231" s="114"/>
    </row>
    <row r="232" spans="1:6" ht="24" x14ac:dyDescent="0.25">
      <c r="A232" s="26" t="str">
        <f>'[2]8'!A16</f>
        <v>MKN 100-358</v>
      </c>
      <c r="B232" s="27" t="str">
        <f>'[2]8'!B16</f>
        <v>Mobilization / Demobilization Charge for Personnel</v>
      </c>
      <c r="C232" s="29" t="str">
        <f>'[2]8'!C16</f>
        <v>person</v>
      </c>
      <c r="D232" s="29">
        <f>'[2]8'!D16</f>
        <v>1100</v>
      </c>
      <c r="E232" s="114"/>
      <c r="F232" s="114"/>
    </row>
    <row r="233" spans="1:6" x14ac:dyDescent="0.25">
      <c r="A233" s="26" t="str">
        <f>'[2]8'!A17</f>
        <v>MKN 100-359</v>
      </c>
      <c r="B233" s="27" t="str">
        <f>'[2]8'!B17</f>
        <v>Special Services Coring Engineer</v>
      </c>
      <c r="C233" s="29" t="str">
        <f>'[2]8'!C17</f>
        <v>day</v>
      </c>
      <c r="D233" s="29">
        <f>'[2]8'!D17</f>
        <v>1400</v>
      </c>
      <c r="E233" s="114"/>
      <c r="F233" s="114"/>
    </row>
    <row r="234" spans="1:6" ht="6" customHeight="1" x14ac:dyDescent="0.25">
      <c r="A234" s="112"/>
      <c r="B234" s="113"/>
      <c r="C234" s="114"/>
      <c r="D234" s="114"/>
      <c r="E234" s="114"/>
      <c r="F234" s="114"/>
    </row>
    <row r="235" spans="1:6" ht="14.1" customHeight="1" x14ac:dyDescent="0.25">
      <c r="A235" s="462" t="str">
        <f>'[2]8'!B19</f>
        <v>Note: (core head charge not included in the above prices)</v>
      </c>
      <c r="B235" s="463"/>
      <c r="C235" s="463"/>
      <c r="D235" s="463"/>
      <c r="E235" s="463"/>
      <c r="F235" s="463"/>
    </row>
    <row r="236" spans="1:6" ht="6" customHeight="1" x14ac:dyDescent="0.25">
      <c r="A236" s="112"/>
      <c r="B236" s="113"/>
      <c r="C236" s="114"/>
      <c r="D236" s="114"/>
      <c r="E236" s="114"/>
      <c r="F236" s="114"/>
    </row>
    <row r="237" spans="1:6" ht="15.95" customHeight="1" x14ac:dyDescent="0.25">
      <c r="A237" s="115" t="s">
        <v>388</v>
      </c>
      <c r="B237" s="116"/>
      <c r="C237" s="117"/>
      <c r="D237" s="117"/>
      <c r="E237" s="117"/>
      <c r="F237" s="117"/>
    </row>
    <row r="238" spans="1:6" x14ac:dyDescent="0.25">
      <c r="A238" s="118" t="s">
        <v>7</v>
      </c>
      <c r="B238" s="118" t="s">
        <v>8</v>
      </c>
      <c r="C238" s="119" t="s">
        <v>389</v>
      </c>
      <c r="D238" s="119" t="s">
        <v>390</v>
      </c>
      <c r="E238" s="119" t="s">
        <v>391</v>
      </c>
      <c r="F238" s="120"/>
    </row>
    <row r="239" spans="1:6" x14ac:dyDescent="0.25">
      <c r="A239" s="22" t="str">
        <f>'[2]8'!A22</f>
        <v>MKN 100-360</v>
      </c>
      <c r="B239" s="23" t="str">
        <f>'[2]8'!B22</f>
        <v>Safety Joint Assembly</v>
      </c>
      <c r="C239" s="25">
        <f>'[2]8'!C22</f>
        <v>5920</v>
      </c>
      <c r="D239" s="25">
        <f>'[2]8'!D22</f>
        <v>4920</v>
      </c>
      <c r="E239" s="25">
        <f>'[2]8'!E22</f>
        <v>3990</v>
      </c>
      <c r="F239" s="114"/>
    </row>
    <row r="240" spans="1:6" x14ac:dyDescent="0.25">
      <c r="A240" s="26" t="str">
        <f>'[2]8'!A23</f>
        <v>MKN 100-361</v>
      </c>
      <c r="B240" s="27" t="str">
        <f>'[2]8'!B23</f>
        <v>Stabilizer</v>
      </c>
      <c r="C240" s="29">
        <f>'[2]8'!C23</f>
        <v>20000</v>
      </c>
      <c r="D240" s="29">
        <f>'[2]8'!D23</f>
        <v>19000</v>
      </c>
      <c r="E240" s="29">
        <f>'[2]8'!E23</f>
        <v>18000</v>
      </c>
      <c r="F240" s="114"/>
    </row>
    <row r="241" spans="1:6" x14ac:dyDescent="0.25">
      <c r="A241" s="26" t="str">
        <f>'[2]8'!A24</f>
        <v>MKN 100-362</v>
      </c>
      <c r="B241" s="27" t="str">
        <f>'[2]8'!B24</f>
        <v>Outer Tube</v>
      </c>
      <c r="C241" s="29">
        <f>'[2]8'!C24</f>
        <v>25225</v>
      </c>
      <c r="D241" s="29">
        <f>'[2]8'!D24</f>
        <v>21225</v>
      </c>
      <c r="E241" s="29">
        <f>'[2]8'!E24</f>
        <v>16225</v>
      </c>
      <c r="F241" s="114"/>
    </row>
    <row r="242" spans="1:6" x14ac:dyDescent="0.25">
      <c r="A242" s="26" t="str">
        <f>'[2]8'!A25</f>
        <v>MKN 100-363</v>
      </c>
      <c r="B242" s="27" t="str">
        <f>'[2]8'!B25</f>
        <v>Swivel Assembly</v>
      </c>
      <c r="C242" s="29">
        <f>'[2]8'!C25</f>
        <v>5000</v>
      </c>
      <c r="D242" s="29">
        <f>'[2]8'!D25</f>
        <v>4000</v>
      </c>
      <c r="E242" s="29">
        <f>'[2]8'!E25</f>
        <v>3000</v>
      </c>
      <c r="F242" s="114"/>
    </row>
    <row r="243" spans="1:6" x14ac:dyDescent="0.25">
      <c r="A243" s="26" t="str">
        <f>'[2]8'!A26</f>
        <v>MKN 100-364</v>
      </c>
      <c r="B243" s="27" t="str">
        <f>'[2]8'!B26</f>
        <v>Upper Half Shoe</v>
      </c>
      <c r="C243" s="29">
        <f>'[2]8'!C26</f>
        <v>1200</v>
      </c>
      <c r="D243" s="29">
        <f>'[2]8'!D26</f>
        <v>1000</v>
      </c>
      <c r="E243" s="29">
        <f>'[2]8'!E26</f>
        <v>800</v>
      </c>
      <c r="F243" s="114"/>
    </row>
    <row r="244" spans="1:6" x14ac:dyDescent="0.25">
      <c r="A244" s="26" t="str">
        <f>'[2]8'!A27</f>
        <v>MKN 100-365</v>
      </c>
      <c r="B244" s="27" t="str">
        <f>'[2]8'!B27</f>
        <v>Lower Half Shoe</v>
      </c>
      <c r="C244" s="29">
        <f>'[2]8'!C27</f>
        <v>800</v>
      </c>
      <c r="D244" s="29">
        <f>'[2]8'!D27</f>
        <v>700</v>
      </c>
      <c r="E244" s="29">
        <f>'[2]8'!E27</f>
        <v>600</v>
      </c>
      <c r="F244" s="114"/>
    </row>
    <row r="245" spans="1:6" x14ac:dyDescent="0.25">
      <c r="A245" s="26" t="str">
        <f>'[2]8'!A28</f>
        <v>MKN 100-366</v>
      </c>
      <c r="B245" s="27" t="str">
        <f>'[2]8'!B28</f>
        <v>Standard Core Catcher</v>
      </c>
      <c r="C245" s="29">
        <f>'[2]8'!C28</f>
        <v>740</v>
      </c>
      <c r="D245" s="29">
        <f>'[2]8'!D28</f>
        <v>640</v>
      </c>
      <c r="E245" s="29">
        <f>'[2]8'!E28</f>
        <v>540</v>
      </c>
      <c r="F245" s="114"/>
    </row>
    <row r="246" spans="1:6" x14ac:dyDescent="0.25">
      <c r="A246" s="26" t="str">
        <f>'[2]8'!A29</f>
        <v>MKN 100-367</v>
      </c>
      <c r="B246" s="27" t="str">
        <f>'[2]8'!B29</f>
        <v>Heavy Duty Core Catcher</v>
      </c>
      <c r="C246" s="29">
        <f>'[2]8'!C29</f>
        <v>900</v>
      </c>
      <c r="D246" s="29">
        <f>'[2]8'!D29</f>
        <v>800</v>
      </c>
      <c r="E246" s="29">
        <f>'[2]8'!E29</f>
        <v>700</v>
      </c>
      <c r="F246" s="114"/>
    </row>
    <row r="247" spans="1:6" ht="6" customHeight="1" x14ac:dyDescent="0.25">
      <c r="A247" s="112"/>
      <c r="B247" s="113"/>
      <c r="C247" s="114"/>
      <c r="D247" s="114"/>
      <c r="E247" s="114"/>
      <c r="F247" s="114"/>
    </row>
    <row r="248" spans="1:6" ht="15.95" customHeight="1" x14ac:dyDescent="0.25">
      <c r="A248" s="115" t="s">
        <v>392</v>
      </c>
      <c r="B248" s="116"/>
      <c r="C248" s="117"/>
      <c r="D248" s="117"/>
      <c r="E248" s="117"/>
      <c r="F248" s="117"/>
    </row>
    <row r="249" spans="1:6" x14ac:dyDescent="0.25">
      <c r="A249" s="118" t="s">
        <v>7</v>
      </c>
      <c r="B249" s="118" t="s">
        <v>8</v>
      </c>
      <c r="C249" s="119" t="s">
        <v>389</v>
      </c>
      <c r="D249" s="119" t="s">
        <v>390</v>
      </c>
      <c r="E249" s="119" t="s">
        <v>391</v>
      </c>
      <c r="F249" s="120"/>
    </row>
    <row r="250" spans="1:6" x14ac:dyDescent="0.25">
      <c r="A250" s="22"/>
      <c r="B250" s="23" t="str">
        <f>'[2]8'!B34</f>
        <v>CORE HEAD TYPE</v>
      </c>
      <c r="C250" s="25" t="str">
        <f>'[2]8'!C34</f>
        <v>12 1/4" x 5 1/4"</v>
      </c>
      <c r="D250" s="25" t="str">
        <f>'[2]8'!D34</f>
        <v>8 1/2" &amp; 8 3/8" x 4"</v>
      </c>
      <c r="E250" s="25" t="str">
        <f>'[2]8'!E34</f>
        <v>5 7/8"; 6" &amp; 6 1/8" x 2 5/8"</v>
      </c>
      <c r="F250" s="114"/>
    </row>
    <row r="251" spans="1:6" x14ac:dyDescent="0.25">
      <c r="A251" s="26" t="str">
        <f>'[2]8'!A35</f>
        <v>MKN 100-368</v>
      </c>
      <c r="B251" s="27" t="str">
        <f>'[2]8'!B35</f>
        <v>Impregnated Core Heads</v>
      </c>
      <c r="C251" s="29">
        <f>'[2]8'!C35</f>
        <v>53942</v>
      </c>
      <c r="D251" s="29">
        <f>'[2]8'!D35</f>
        <v>43942</v>
      </c>
      <c r="E251" s="29">
        <f>'[2]8'!E35</f>
        <v>33942</v>
      </c>
      <c r="F251" s="114"/>
    </row>
    <row r="252" spans="1:6" x14ac:dyDescent="0.25">
      <c r="A252" s="26" t="str">
        <f>'[2]8'!A36</f>
        <v>MKN 100-369</v>
      </c>
      <c r="B252" s="27" t="str">
        <f>'[2]8'!B36</f>
        <v>Thermo Stable Diamond Core (TSP)</v>
      </c>
      <c r="C252" s="29">
        <f>'[2]8'!C36</f>
        <v>54987</v>
      </c>
      <c r="D252" s="29">
        <f>'[2]8'!D36</f>
        <v>44987</v>
      </c>
      <c r="E252" s="29">
        <f>'[2]8'!E36</f>
        <v>34987</v>
      </c>
      <c r="F252" s="114"/>
    </row>
    <row r="253" spans="1:6" x14ac:dyDescent="0.25">
      <c r="A253" s="26" t="str">
        <f>'[2]8'!A37</f>
        <v>MKN 100-370</v>
      </c>
      <c r="B253" s="27" t="str">
        <f>'[2]8'!B37</f>
        <v>PDC Core Heads</v>
      </c>
      <c r="C253" s="29">
        <f>'[2]8'!C37</f>
        <v>41000</v>
      </c>
      <c r="D253" s="29">
        <f>'[2]8'!D37</f>
        <v>31000</v>
      </c>
      <c r="E253" s="29">
        <f>'[2]8'!E37</f>
        <v>21000</v>
      </c>
      <c r="F253" s="114"/>
    </row>
    <row r="254" spans="1:6" x14ac:dyDescent="0.25">
      <c r="A254" s="26" t="str">
        <f>'[2]8'!A38</f>
        <v>MKN 100-371</v>
      </c>
      <c r="B254" s="27" t="str">
        <f>'[2]8'!B38</f>
        <v>Natural Diamond Core Heads</v>
      </c>
      <c r="C254" s="29">
        <f>'[2]8'!C38</f>
        <v>45000</v>
      </c>
      <c r="D254" s="29">
        <f>'[2]8'!D38</f>
        <v>35028</v>
      </c>
      <c r="E254" s="29">
        <f>'[2]8'!E38</f>
        <v>25000</v>
      </c>
      <c r="F254" s="114"/>
    </row>
    <row r="255" spans="1:6" ht="6" customHeight="1" x14ac:dyDescent="0.25">
      <c r="A255" s="112"/>
      <c r="B255" s="113"/>
      <c r="C255" s="114"/>
      <c r="D255" s="114"/>
      <c r="E255" s="114"/>
      <c r="F255" s="114"/>
    </row>
    <row r="256" spans="1:6" ht="15.95" customHeight="1" x14ac:dyDescent="0.25">
      <c r="A256" s="464" t="s">
        <v>393</v>
      </c>
      <c r="B256" s="464"/>
      <c r="C256" s="464"/>
      <c r="D256" s="464"/>
      <c r="E256" s="464"/>
      <c r="F256" s="464"/>
    </row>
    <row r="257" spans="1:6" ht="14.1" customHeight="1" x14ac:dyDescent="0.25">
      <c r="A257" s="462" t="str">
        <f>'[2]9'!A3</f>
        <v>Note:</v>
      </c>
      <c r="B257" s="463"/>
      <c r="C257" s="463"/>
      <c r="D257" s="463"/>
      <c r="E257" s="463"/>
      <c r="F257" s="463"/>
    </row>
    <row r="258" spans="1:6" ht="14.1" customHeight="1" x14ac:dyDescent="0.25">
      <c r="A258" s="462" t="str">
        <f>'[2]9'!A4</f>
        <v>More Core Head design are available upon request.</v>
      </c>
      <c r="B258" s="463"/>
      <c r="C258" s="463"/>
      <c r="D258" s="463"/>
      <c r="E258" s="463"/>
      <c r="F258" s="463"/>
    </row>
    <row r="259" spans="1:6" ht="14.1" customHeight="1" x14ac:dyDescent="0.25">
      <c r="A259" s="462" t="str">
        <f>'[2]9'!A5</f>
        <v>Damaged Core Head would be charge as per price list. Core head should core minimum of 90 ft or will be charge as per price list.</v>
      </c>
      <c r="B259" s="463"/>
      <c r="C259" s="463"/>
      <c r="D259" s="463"/>
      <c r="E259" s="463"/>
      <c r="F259" s="463"/>
    </row>
    <row r="260" spans="1:6" ht="14.1" customHeight="1" x14ac:dyDescent="0.25">
      <c r="A260" s="462" t="str">
        <f>'[2]9'!A7</f>
        <v>Clarifications:-</v>
      </c>
      <c r="B260" s="463"/>
      <c r="C260" s="463"/>
      <c r="D260" s="463"/>
      <c r="E260" s="463"/>
      <c r="F260" s="463"/>
    </row>
    <row r="261" spans="1:6" ht="24.95" customHeight="1" x14ac:dyDescent="0.25">
      <c r="A261" s="462" t="str">
        <f>'[2]9'!A8</f>
        <v>1. Impregnated Core Heads for :- Very Hard to extremely Hard Quartzitic Sandstone, Volcanic Rock, Schist with occasional stringers of hard dense shales, Siltsone</v>
      </c>
      <c r="B261" s="463"/>
      <c r="C261" s="463"/>
      <c r="D261" s="463"/>
      <c r="E261" s="463"/>
      <c r="F261" s="463"/>
    </row>
    <row r="262" spans="1:6" ht="14.1" customHeight="1" x14ac:dyDescent="0.25">
      <c r="A262" s="462" t="str">
        <f>'[2]9'!A9</f>
        <v>2. Thermo Stable Diamond Core Heads (TSP) for :- Medium Hard to Hard Dense Siltstone, Shale, Dolomite</v>
      </c>
      <c r="B262" s="463"/>
      <c r="C262" s="463"/>
      <c r="D262" s="463"/>
      <c r="E262" s="463"/>
      <c r="F262" s="463"/>
    </row>
    <row r="263" spans="1:6" ht="24.95" customHeight="1" x14ac:dyDescent="0.25">
      <c r="A263" s="462" t="str">
        <f>'[2]9'!A10</f>
        <v>3. PDC Core Heads for:- Soft to Medium Hard Formation, such as Sand, Clay, Salt, Anhydrite, Limestone, medium hard Limestone, Dolomite and Shale.</v>
      </c>
      <c r="B263" s="463"/>
      <c r="C263" s="463"/>
      <c r="D263" s="463"/>
      <c r="E263" s="463"/>
      <c r="F263" s="463"/>
    </row>
    <row r="264" spans="1:6" ht="24.95" customHeight="1" x14ac:dyDescent="0.25">
      <c r="A264" s="462" t="str">
        <f>'[2]9'!A11</f>
        <v>4. Natural Diamond Core Heads for : Hard to very hard abrasive quartzitic Sandstone, Intercalated Hard Shale / Claystone / Siltstone, Schist, Volcanic Rocks</v>
      </c>
      <c r="B264" s="463"/>
      <c r="C264" s="463"/>
      <c r="D264" s="463"/>
      <c r="E264" s="463"/>
      <c r="F264" s="463"/>
    </row>
    <row r="265" spans="1:6" ht="6" customHeight="1" x14ac:dyDescent="0.25">
      <c r="A265" s="122"/>
      <c r="B265" s="122"/>
      <c r="C265" s="123"/>
      <c r="D265" s="123"/>
      <c r="E265" s="123"/>
      <c r="F265" s="123"/>
    </row>
    <row r="266" spans="1:6" ht="15.95" customHeight="1" x14ac:dyDescent="0.25">
      <c r="A266" s="115" t="s">
        <v>394</v>
      </c>
      <c r="B266" s="116"/>
      <c r="C266" s="117"/>
      <c r="D266" s="117"/>
      <c r="E266" s="117"/>
      <c r="F266" s="117"/>
    </row>
    <row r="267" spans="1:6" x14ac:dyDescent="0.25">
      <c r="A267" s="118" t="s">
        <v>7</v>
      </c>
      <c r="B267" s="118" t="s">
        <v>8</v>
      </c>
      <c r="C267" s="119" t="s">
        <v>9</v>
      </c>
      <c r="D267" s="119" t="s">
        <v>344</v>
      </c>
      <c r="E267" s="120"/>
      <c r="F267" s="120"/>
    </row>
    <row r="268" spans="1:6" x14ac:dyDescent="0.25">
      <c r="A268" s="22" t="str">
        <f>'[2]9'!A17</f>
        <v>MKN 100-372</v>
      </c>
      <c r="B268" s="23" t="str">
        <f>'[2]9'!B17</f>
        <v>Gypsum Stabilization (rental)</v>
      </c>
      <c r="C268" s="25" t="str">
        <f>'[2]9'!C17</f>
        <v>day</v>
      </c>
      <c r="D268" s="25">
        <f>'[2]9'!D17</f>
        <v>250</v>
      </c>
      <c r="E268" s="114"/>
      <c r="F268" s="114"/>
    </row>
    <row r="269" spans="1:6" x14ac:dyDescent="0.25">
      <c r="A269" s="26" t="str">
        <f>'[2]9'!A18</f>
        <v>MKN 100-373</v>
      </c>
      <c r="B269" s="27" t="str">
        <f>'[2]9'!B18</f>
        <v>Gypsum Stabilization</v>
      </c>
      <c r="C269" s="29" t="str">
        <f>'[2]9'!C18</f>
        <v>foot</v>
      </c>
      <c r="D269" s="29">
        <f>'[2]9'!D18</f>
        <v>85</v>
      </c>
      <c r="E269" s="114"/>
      <c r="F269" s="114"/>
    </row>
    <row r="270" spans="1:6" x14ac:dyDescent="0.25">
      <c r="A270" s="26" t="str">
        <f>'[2]9'!A19</f>
        <v>MKN 100-374</v>
      </c>
      <c r="B270" s="27" t="str">
        <f>'[2]9'!B19</f>
        <v>Resin Stabilization</v>
      </c>
      <c r="C270" s="29" t="s">
        <v>395</v>
      </c>
      <c r="D270" s="29">
        <v>85</v>
      </c>
      <c r="E270" s="114"/>
      <c r="F270" s="114"/>
    </row>
    <row r="271" spans="1:6" x14ac:dyDescent="0.25">
      <c r="A271" s="26" t="str">
        <f>'[2]9'!A20</f>
        <v>MKN 100-375</v>
      </c>
      <c r="B271" s="27" t="str">
        <f>'[2]9'!B20</f>
        <v>Resin Stabilization (rental)</v>
      </c>
      <c r="C271" s="29" t="str">
        <f>'[2]9'!C20</f>
        <v>day</v>
      </c>
      <c r="D271" s="29">
        <f>'[2]9'!D20</f>
        <v>250</v>
      </c>
      <c r="E271" s="114"/>
      <c r="F271" s="114"/>
    </row>
    <row r="272" spans="1:6" x14ac:dyDescent="0.25">
      <c r="A272" s="26" t="str">
        <f>'[2]9'!A21</f>
        <v>MKN 100-376</v>
      </c>
      <c r="B272" s="27" t="str">
        <f>'[2]9'!B21</f>
        <v>Resin Stabilization</v>
      </c>
      <c r="C272" s="29" t="str">
        <f>'[2]9'!C21</f>
        <v>foot</v>
      </c>
      <c r="D272" s="29">
        <f>'[2]9'!D21</f>
        <v>85</v>
      </c>
      <c r="E272" s="114"/>
      <c r="F272" s="114"/>
    </row>
    <row r="273" spans="1:6" x14ac:dyDescent="0.25">
      <c r="A273" s="26" t="str">
        <f>'[2]9'!A22</f>
        <v>MKN 100-377</v>
      </c>
      <c r="B273" s="27" t="str">
        <f>'[2]9'!B22</f>
        <v>Foam Stabilization</v>
      </c>
      <c r="C273" s="29" t="s">
        <v>395</v>
      </c>
      <c r="D273" s="29">
        <v>85</v>
      </c>
      <c r="E273" s="114"/>
      <c r="F273" s="114"/>
    </row>
    <row r="274" spans="1:6" x14ac:dyDescent="0.25">
      <c r="A274" s="26" t="str">
        <f>'[2]9'!A23</f>
        <v>MKN 100-378</v>
      </c>
      <c r="B274" s="27" t="str">
        <f>'[2]9'!B23</f>
        <v>Foam Stabilization (rental)</v>
      </c>
      <c r="C274" s="29" t="str">
        <f>'[2]9'!C23</f>
        <v>day</v>
      </c>
      <c r="D274" s="29">
        <f>'[2]9'!D23</f>
        <v>250</v>
      </c>
      <c r="E274" s="114"/>
      <c r="F274" s="114"/>
    </row>
    <row r="275" spans="1:6" x14ac:dyDescent="0.25">
      <c r="A275" s="26" t="str">
        <f>'[2]9'!A24</f>
        <v>MKN 100-379</v>
      </c>
      <c r="B275" s="27" t="str">
        <f>'[2]9'!B24</f>
        <v>Foam Stabilization</v>
      </c>
      <c r="C275" s="29" t="str">
        <f>'[2]9'!C24</f>
        <v>foot</v>
      </c>
      <c r="D275" s="29">
        <f>'[2]9'!D24</f>
        <v>85</v>
      </c>
      <c r="E275" s="114"/>
      <c r="F275" s="114"/>
    </row>
    <row r="276" spans="1:6" ht="6" customHeight="1" x14ac:dyDescent="0.25">
      <c r="A276" s="112"/>
      <c r="B276" s="113"/>
      <c r="C276" s="114"/>
      <c r="D276" s="114"/>
      <c r="E276" s="114"/>
      <c r="F276" s="114"/>
    </row>
    <row r="277" spans="1:6" ht="15.95" customHeight="1" x14ac:dyDescent="0.25">
      <c r="A277" s="115" t="s">
        <v>396</v>
      </c>
      <c r="B277" s="116"/>
      <c r="C277" s="117"/>
      <c r="D277" s="117"/>
      <c r="E277" s="117"/>
      <c r="F277" s="117"/>
    </row>
    <row r="278" spans="1:6" x14ac:dyDescent="0.25">
      <c r="A278" s="118" t="s">
        <v>7</v>
      </c>
      <c r="B278" s="118" t="s">
        <v>8</v>
      </c>
      <c r="C278" s="119" t="s">
        <v>9</v>
      </c>
      <c r="D278" s="119" t="s">
        <v>344</v>
      </c>
      <c r="E278" s="120"/>
      <c r="F278" s="120"/>
    </row>
    <row r="279" spans="1:6" x14ac:dyDescent="0.25">
      <c r="A279" s="22" t="str">
        <f>'[2]9'!A28</f>
        <v>MKN 100-380</v>
      </c>
      <c r="B279" s="23" t="str">
        <f>'[2]9'!B28</f>
        <v>Gamma Logger (rental) - 7 days minimum</v>
      </c>
      <c r="C279" s="25" t="str">
        <f>'[2]9'!C28</f>
        <v>day</v>
      </c>
      <c r="D279" s="25">
        <f>'[2]9'!D28</f>
        <v>200</v>
      </c>
      <c r="E279" s="114"/>
      <c r="F279" s="114"/>
    </row>
    <row r="280" spans="1:6" x14ac:dyDescent="0.25">
      <c r="A280" s="26" t="str">
        <f>'[2]9'!A29</f>
        <v>MKN 100-381</v>
      </c>
      <c r="B280" s="27" t="str">
        <f>'[2]9'!B29</f>
        <v>Gamma Ray Logging</v>
      </c>
      <c r="C280" s="29" t="str">
        <f>'[2]9'!C29</f>
        <v>foot</v>
      </c>
      <c r="D280" s="29">
        <f>'[2]9'!D29</f>
        <v>75</v>
      </c>
      <c r="E280" s="114"/>
      <c r="F280" s="114"/>
    </row>
    <row r="281" spans="1:6" ht="24" x14ac:dyDescent="0.25">
      <c r="A281" s="26" t="str">
        <f>'[2]9'!A30</f>
        <v>MKN 100-382</v>
      </c>
      <c r="B281" s="27" t="str">
        <f>'[2]9'!B30</f>
        <v>Core Gamma Logger (damage Beyond repair charge)</v>
      </c>
      <c r="C281" s="29" t="str">
        <f>'[2]9'!C30</f>
        <v>each</v>
      </c>
      <c r="D281" s="29">
        <f>'[2]9'!D30</f>
        <v>70000</v>
      </c>
      <c r="E281" s="114"/>
      <c r="F281" s="114"/>
    </row>
    <row r="282" spans="1:6" ht="6" customHeight="1" x14ac:dyDescent="0.25">
      <c r="A282" s="112"/>
      <c r="B282" s="113"/>
      <c r="C282" s="114"/>
      <c r="D282" s="114"/>
      <c r="E282" s="114"/>
      <c r="F282" s="114"/>
    </row>
    <row r="283" spans="1:6" ht="15.95" customHeight="1" x14ac:dyDescent="0.25">
      <c r="A283" s="115" t="s">
        <v>397</v>
      </c>
      <c r="B283" s="116"/>
      <c r="C283" s="117"/>
      <c r="D283" s="117"/>
      <c r="E283" s="117"/>
      <c r="F283" s="117"/>
    </row>
    <row r="284" spans="1:6" x14ac:dyDescent="0.25">
      <c r="A284" s="118" t="s">
        <v>7</v>
      </c>
      <c r="B284" s="118" t="s">
        <v>8</v>
      </c>
      <c r="C284" s="119" t="s">
        <v>9</v>
      </c>
      <c r="D284" s="119" t="s">
        <v>344</v>
      </c>
      <c r="E284" s="120"/>
      <c r="F284" s="120"/>
    </row>
    <row r="285" spans="1:6" ht="24" x14ac:dyDescent="0.25">
      <c r="A285" s="22" t="str">
        <f>'[2]9'!A34</f>
        <v>MKN 100-388</v>
      </c>
      <c r="B285" s="23" t="str">
        <f>'[2]9'!B34</f>
        <v>On site Core Sampling and Evaluation Module (rental)</v>
      </c>
      <c r="C285" s="25" t="str">
        <f>'[2]9'!C34</f>
        <v>day</v>
      </c>
      <c r="D285" s="25">
        <f>'[2]9'!D34</f>
        <v>550</v>
      </c>
      <c r="E285" s="114"/>
      <c r="F285" s="114"/>
    </row>
    <row r="286" spans="1:6" x14ac:dyDescent="0.25">
      <c r="A286" s="26" t="str">
        <f>'[2]9'!A35</f>
        <v>MKN 100-389</v>
      </c>
      <c r="B286" s="27" t="str">
        <f>'[2]9'!B35</f>
        <v>Wax Bath (rental)</v>
      </c>
      <c r="C286" s="29" t="str">
        <f>'[2]9'!C35</f>
        <v>day</v>
      </c>
      <c r="D286" s="29">
        <f>'[2]9'!D35</f>
        <v>400</v>
      </c>
      <c r="E286" s="114"/>
      <c r="F286" s="114"/>
    </row>
    <row r="287" spans="1:6" x14ac:dyDescent="0.25">
      <c r="A287" s="26" t="str">
        <f>'[2]9'!A36</f>
        <v>MKN 100-390</v>
      </c>
      <c r="B287" s="27" t="str">
        <f>'[2]9'!B36</f>
        <v>Wax Preserved Sample (30cm or 1ft)</v>
      </c>
      <c r="C287" s="29" t="str">
        <f>'[2]9'!C36</f>
        <v>each</v>
      </c>
      <c r="D287" s="29">
        <f>'[2]9'!D36</f>
        <v>150</v>
      </c>
      <c r="E287" s="114"/>
      <c r="F287" s="114"/>
    </row>
    <row r="288" spans="1:6" x14ac:dyDescent="0.25">
      <c r="A288" s="26" t="str">
        <f>'[2]9'!A37</f>
        <v>MKN 100-391</v>
      </c>
      <c r="B288" s="27" t="str">
        <f>'[2]9'!B37</f>
        <v>Plug Taker &amp; Trimmer (rental)</v>
      </c>
      <c r="C288" s="29" t="str">
        <f>'[2]9'!C37</f>
        <v>day</v>
      </c>
      <c r="D288" s="29">
        <f>'[2]9'!D37</f>
        <v>550</v>
      </c>
      <c r="E288" s="114"/>
      <c r="F288" s="114"/>
    </row>
    <row r="289" spans="1:6" x14ac:dyDescent="0.25">
      <c r="A289" s="26" t="str">
        <f>'[2]9'!A38</f>
        <v>MKN 100-392</v>
      </c>
      <c r="B289" s="27" t="str">
        <f>'[2]9'!B38</f>
        <v>Plugging (1" or 1 1/2" Diameter)</v>
      </c>
      <c r="C289" s="29" t="str">
        <f>'[2]9'!C38</f>
        <v>per/sample</v>
      </c>
      <c r="D289" s="29">
        <f>'[2]9'!D38</f>
        <v>120</v>
      </c>
      <c r="E289" s="114"/>
      <c r="F289" s="114"/>
    </row>
    <row r="290" spans="1:6" x14ac:dyDescent="0.25">
      <c r="A290" s="26" t="str">
        <f>'[2]9'!A39</f>
        <v>MKN 100-393</v>
      </c>
      <c r="B290" s="27" t="str">
        <f>'[2]9'!B39</f>
        <v>Plug Taker Core Head</v>
      </c>
      <c r="C290" s="29" t="str">
        <f>'[2]9'!C39</f>
        <v>each</v>
      </c>
      <c r="D290" s="29">
        <f>'[2]9'!D39</f>
        <v>250</v>
      </c>
      <c r="E290" s="114"/>
      <c r="F290" s="114"/>
    </row>
    <row r="291" spans="1:6" x14ac:dyDescent="0.25">
      <c r="A291" s="26" t="str">
        <f>'[2]9'!A40</f>
        <v>MKN 100-394</v>
      </c>
      <c r="B291" s="27" t="str">
        <f>'[2]9'!B40</f>
        <v>Nitrogen Cooling system</v>
      </c>
      <c r="C291" s="29" t="str">
        <f>'[2]9'!C40</f>
        <v>each</v>
      </c>
      <c r="D291" s="29">
        <f>'[2]9'!D40</f>
        <v>490</v>
      </c>
      <c r="E291" s="114"/>
      <c r="F291" s="114"/>
    </row>
    <row r="292" spans="1:6" x14ac:dyDescent="0.25">
      <c r="A292" s="26" t="str">
        <f>'[2]9'!A41</f>
        <v>MKN 100-395</v>
      </c>
      <c r="B292" s="27" t="str">
        <f>'[2]9'!B41</f>
        <v>Non damaging oil for plug taker cooling</v>
      </c>
      <c r="C292" s="29" t="str">
        <f>'[2]9'!C41</f>
        <v>liter</v>
      </c>
      <c r="D292" s="29">
        <f>'[2]9'!D41</f>
        <v>20</v>
      </c>
      <c r="E292" s="114"/>
      <c r="F292" s="114"/>
    </row>
    <row r="293" spans="1:6" x14ac:dyDescent="0.25">
      <c r="A293" s="26" t="str">
        <f>'[2]9'!A42</f>
        <v>MKN 100-396</v>
      </c>
      <c r="B293" s="27" t="str">
        <f>'[2]9'!B42</f>
        <v>Air tight Seal Rubber End caps &amp; clips</v>
      </c>
      <c r="C293" s="29" t="str">
        <f>'[2]9'!C42</f>
        <v>set</v>
      </c>
      <c r="D293" s="29">
        <f>'[2]9'!D42</f>
        <v>15</v>
      </c>
      <c r="E293" s="114"/>
      <c r="F293" s="114"/>
    </row>
    <row r="294" spans="1:6" ht="6" customHeight="1" x14ac:dyDescent="0.25">
      <c r="A294" s="112"/>
      <c r="B294" s="113"/>
      <c r="C294" s="114"/>
      <c r="D294" s="114"/>
      <c r="E294" s="114"/>
      <c r="F294" s="114"/>
    </row>
    <row r="295" spans="1:6" ht="15.95" customHeight="1" x14ac:dyDescent="0.25">
      <c r="A295" s="115" t="s">
        <v>398</v>
      </c>
      <c r="B295" s="116"/>
      <c r="C295" s="117"/>
      <c r="D295" s="117"/>
      <c r="E295" s="117"/>
      <c r="F295" s="117"/>
    </row>
    <row r="296" spans="1:6" x14ac:dyDescent="0.25">
      <c r="A296" s="118" t="s">
        <v>7</v>
      </c>
      <c r="B296" s="118" t="s">
        <v>8</v>
      </c>
      <c r="C296" s="119" t="s">
        <v>9</v>
      </c>
      <c r="D296" s="119" t="s">
        <v>344</v>
      </c>
      <c r="E296" s="120"/>
      <c r="F296" s="120"/>
    </row>
    <row r="297" spans="1:6" x14ac:dyDescent="0.25">
      <c r="A297" s="22" t="str">
        <f>'[2]10'!A7</f>
        <v>MKN 100-397</v>
      </c>
      <c r="B297" s="23" t="str">
        <f>'[2]10'!B7</f>
        <v>Unconsolidated core plugging (rental charge)</v>
      </c>
      <c r="C297" s="25" t="str">
        <f>'[2]10'!C7</f>
        <v>day</v>
      </c>
      <c r="D297" s="25">
        <f>'[2]10'!D7</f>
        <v>1100</v>
      </c>
      <c r="E297" s="114"/>
      <c r="F297" s="114"/>
    </row>
    <row r="298" spans="1:6" x14ac:dyDescent="0.25">
      <c r="A298" s="26" t="str">
        <f>'[2]10'!A8</f>
        <v>MKN 100-398</v>
      </c>
      <c r="B298" s="27" t="str">
        <f>'[2]10'!B8</f>
        <v>Unconsolidated Plugging (1" or 1 1/2" Diameter)</v>
      </c>
      <c r="C298" s="29" t="str">
        <f>'[2]10'!C8</f>
        <v>sample</v>
      </c>
      <c r="D298" s="29">
        <f>'[2]10'!D8</f>
        <v>100</v>
      </c>
      <c r="E298" s="114"/>
      <c r="F298" s="114"/>
    </row>
    <row r="299" spans="1:6" x14ac:dyDescent="0.25">
      <c r="A299" s="26" t="str">
        <f>'[2]10'!A9</f>
        <v>MKN 100-399</v>
      </c>
      <c r="B299" s="27" t="str">
        <f>'[2]10'!B9</f>
        <v>Unconsolidated Plug Taker Core Head</v>
      </c>
      <c r="C299" s="29" t="str">
        <f>'[2]10'!C9</f>
        <v>each</v>
      </c>
      <c r="D299" s="29">
        <f>'[2]10'!D9</f>
        <v>150</v>
      </c>
      <c r="E299" s="114"/>
      <c r="F299" s="114"/>
    </row>
    <row r="300" spans="1:6" x14ac:dyDescent="0.25">
      <c r="A300" s="26" t="str">
        <f>'[2]10'!A10</f>
        <v>MKN 100-400</v>
      </c>
      <c r="B300" s="27" t="str">
        <f>'[2]10'!B10</f>
        <v>Heat Shrinkable tube (Viton)</v>
      </c>
      <c r="C300" s="29" t="str">
        <f>'[2]10'!C10</f>
        <v>each</v>
      </c>
      <c r="D300" s="29">
        <f>'[2]10'!D10</f>
        <v>95</v>
      </c>
      <c r="E300" s="114"/>
      <c r="F300" s="114"/>
    </row>
    <row r="301" spans="1:6" ht="6" customHeight="1" x14ac:dyDescent="0.25">
      <c r="A301" s="112"/>
      <c r="B301" s="113"/>
      <c r="C301" s="114"/>
      <c r="D301" s="114"/>
      <c r="E301" s="114"/>
      <c r="F301" s="114"/>
    </row>
    <row r="302" spans="1:6" ht="15.95" customHeight="1" x14ac:dyDescent="0.25">
      <c r="A302" s="115" t="s">
        <v>399</v>
      </c>
      <c r="B302" s="116"/>
      <c r="C302" s="117"/>
      <c r="D302" s="117"/>
      <c r="E302" s="117"/>
      <c r="F302" s="117"/>
    </row>
    <row r="303" spans="1:6" x14ac:dyDescent="0.25">
      <c r="A303" s="118" t="s">
        <v>7</v>
      </c>
      <c r="B303" s="118" t="s">
        <v>8</v>
      </c>
      <c r="C303" s="119" t="s">
        <v>9</v>
      </c>
      <c r="D303" s="119" t="s">
        <v>344</v>
      </c>
      <c r="E303" s="120"/>
      <c r="F303" s="120"/>
    </row>
    <row r="304" spans="1:6" x14ac:dyDescent="0.25">
      <c r="A304" s="22" t="str">
        <f>'[2]10'!A14</f>
        <v>MKN 100-401</v>
      </c>
      <c r="B304" s="23" t="str">
        <f>'[2]10'!B14</f>
        <v>Dry Ice</v>
      </c>
      <c r="C304" s="25" t="str">
        <f>'[2]10'!C14</f>
        <v>Kg</v>
      </c>
      <c r="D304" s="25">
        <f>'[2]10'!D14</f>
        <v>8</v>
      </c>
      <c r="E304" s="114"/>
      <c r="F304" s="114"/>
    </row>
    <row r="305" spans="1:6" x14ac:dyDescent="0.25">
      <c r="A305" s="26" t="str">
        <f>'[2]10'!A15</f>
        <v>MKN 100-402</v>
      </c>
      <c r="B305" s="27" t="str">
        <f>'[2]10'!B15</f>
        <v>Liquid Nitrogen</v>
      </c>
      <c r="C305" s="29" t="str">
        <f>'[2]10'!C15</f>
        <v>Gal</v>
      </c>
      <c r="D305" s="29">
        <f>'[2]10'!D15</f>
        <v>4.5</v>
      </c>
      <c r="E305" s="114"/>
      <c r="F305" s="114"/>
    </row>
    <row r="306" spans="1:6" x14ac:dyDescent="0.25">
      <c r="A306" s="26" t="str">
        <f>'[2]10'!A16</f>
        <v>MKN 100-403</v>
      </c>
      <c r="B306" s="27" t="str">
        <f>'[2]10'!B16</f>
        <v>LN2 Tanker</v>
      </c>
      <c r="C306" s="29" t="str">
        <f>'[2]10'!C16</f>
        <v>day</v>
      </c>
      <c r="D306" s="29">
        <f>'[2]10'!D16</f>
        <v>500</v>
      </c>
      <c r="E306" s="114"/>
      <c r="F306" s="114"/>
    </row>
    <row r="307" spans="1:6" x14ac:dyDescent="0.25">
      <c r="A307" s="26" t="str">
        <f>'[2]10'!A17</f>
        <v>MKN 100-404</v>
      </c>
      <c r="B307" s="27" t="str">
        <f>'[2]10'!B17</f>
        <v>Core Freezing</v>
      </c>
      <c r="C307" s="29" t="str">
        <f>'[2]10'!C17</f>
        <v>meter</v>
      </c>
      <c r="D307" s="29">
        <f>'[2]10'!D17</f>
        <v>80</v>
      </c>
      <c r="E307" s="114"/>
      <c r="F307" s="114"/>
    </row>
    <row r="308" spans="1:6" x14ac:dyDescent="0.25">
      <c r="A308" s="26" t="str">
        <f>'[2]10'!A18</f>
        <v>MKN 100-405</v>
      </c>
      <c r="B308" s="27" t="str">
        <f>'[2]10'!B18</f>
        <v>Onsite Chiller Truck</v>
      </c>
      <c r="C308" s="29" t="str">
        <f>'[2]10'!C18</f>
        <v>day</v>
      </c>
      <c r="D308" s="29">
        <f>'[2]10'!D18</f>
        <v>600</v>
      </c>
      <c r="E308" s="114"/>
      <c r="F308" s="114"/>
    </row>
    <row r="309" spans="1:6" x14ac:dyDescent="0.25">
      <c r="A309" s="26" t="str">
        <f>'[2]10'!A19</f>
        <v>MKN 100-406</v>
      </c>
      <c r="B309" s="27" t="str">
        <f>'[2]10'!B19</f>
        <v>Insulated Box</v>
      </c>
      <c r="C309" s="29" t="str">
        <f>'[2]10'!C19</f>
        <v>day</v>
      </c>
      <c r="D309" s="29">
        <f>'[2]10'!D19</f>
        <v>150</v>
      </c>
      <c r="E309" s="114"/>
      <c r="F309" s="114"/>
    </row>
    <row r="310" spans="1:6" x14ac:dyDescent="0.25">
      <c r="A310" s="26" t="str">
        <f>'[2]10'!A20</f>
        <v>MKN 100-407</v>
      </c>
      <c r="B310" s="27" t="str">
        <f>'[2]10'!B20</f>
        <v>Transportation</v>
      </c>
      <c r="C310" s="29" t="str">
        <f>'[2]10'!C20</f>
        <v>each</v>
      </c>
      <c r="D310" s="29">
        <f>'[2]10'!D20</f>
        <v>2600</v>
      </c>
      <c r="E310" s="114"/>
      <c r="F310" s="114"/>
    </row>
    <row r="311" spans="1:6" ht="6" customHeight="1" x14ac:dyDescent="0.25">
      <c r="A311" s="112"/>
      <c r="B311" s="113"/>
      <c r="C311" s="114"/>
      <c r="D311" s="114"/>
      <c r="E311" s="114"/>
      <c r="F311" s="114"/>
    </row>
    <row r="312" spans="1:6" ht="15.95" customHeight="1" x14ac:dyDescent="0.25">
      <c r="A312" s="115" t="s">
        <v>400</v>
      </c>
      <c r="B312" s="116"/>
      <c r="C312" s="117"/>
      <c r="D312" s="117"/>
      <c r="E312" s="117"/>
      <c r="F312" s="117"/>
    </row>
    <row r="313" spans="1:6" x14ac:dyDescent="0.25">
      <c r="A313" s="118" t="s">
        <v>7</v>
      </c>
      <c r="B313" s="118" t="s">
        <v>8</v>
      </c>
      <c r="C313" s="119" t="s">
        <v>9</v>
      </c>
      <c r="D313" s="119" t="s">
        <v>344</v>
      </c>
      <c r="E313" s="120"/>
      <c r="F313" s="120"/>
    </row>
    <row r="314" spans="1:6" x14ac:dyDescent="0.25">
      <c r="A314" s="22" t="str">
        <f>'[2]10'!A24</f>
        <v>MKN 100-408</v>
      </c>
      <c r="B314" s="23" t="str">
        <f>'[2]10'!B24</f>
        <v>Tracer Invasion Analysis</v>
      </c>
      <c r="C314" s="25" t="str">
        <f>'[2]10'!C24</f>
        <v>sample</v>
      </c>
      <c r="D314" s="25">
        <f>'[2]10'!D24</f>
        <v>300</v>
      </c>
      <c r="E314" s="114"/>
      <c r="F314" s="114"/>
    </row>
    <row r="315" spans="1:6" x14ac:dyDescent="0.25">
      <c r="A315" s="26" t="str">
        <f>'[2]10'!A25</f>
        <v>MKN 100-409</v>
      </c>
      <c r="B315" s="27" t="str">
        <f>'[2]10'!B25</f>
        <v>BHA Analysis</v>
      </c>
      <c r="C315" s="29" t="str">
        <f>'[2]10'!C25</f>
        <v>report</v>
      </c>
      <c r="D315" s="29">
        <f>'[2]10'!D25</f>
        <v>1500</v>
      </c>
      <c r="E315" s="114"/>
      <c r="F315" s="114"/>
    </row>
    <row r="316" spans="1:6" ht="6" customHeight="1" x14ac:dyDescent="0.25">
      <c r="A316" s="112"/>
      <c r="B316" s="113"/>
      <c r="C316" s="114"/>
      <c r="D316" s="114"/>
      <c r="E316" s="114"/>
      <c r="F316" s="114"/>
    </row>
    <row r="317" spans="1:6" ht="15.95" customHeight="1" x14ac:dyDescent="0.25">
      <c r="A317" s="464" t="s">
        <v>401</v>
      </c>
      <c r="B317" s="464"/>
      <c r="C317" s="464"/>
      <c r="D317" s="464"/>
      <c r="E317" s="464"/>
      <c r="F317" s="464"/>
    </row>
    <row r="318" spans="1:6" ht="14.1" customHeight="1" x14ac:dyDescent="0.25">
      <c r="A318" s="462" t="str">
        <f>'[2]10'!A28</f>
        <v>Footage rates apply for footage of core cut.</v>
      </c>
      <c r="B318" s="463"/>
      <c r="C318" s="463"/>
      <c r="D318" s="463"/>
      <c r="E318" s="463"/>
      <c r="F318" s="463"/>
    </row>
    <row r="319" spans="1:6" ht="24.95" customHeight="1" x14ac:dyDescent="0.25">
      <c r="A319" s="462" t="str">
        <f>'[2]10'!A29</f>
        <v>Daily rates apply from the day equipment or personnel leaves MAKAMAN LIBYA COMPANY base to the date equipment or personnel return to MAKAMAN LIBYA COMPANY base.</v>
      </c>
      <c r="B319" s="463"/>
      <c r="C319" s="463"/>
      <c r="D319" s="463"/>
      <c r="E319" s="463"/>
      <c r="F319" s="463"/>
    </row>
    <row r="320" spans="1:6" ht="24.95" customHeight="1" x14ac:dyDescent="0.25">
      <c r="A320" s="462" t="str">
        <f>'[2]10'!A30</f>
        <v>Tools which are damaged beyond repair are priced as lost in hole value. Standard MAKAMAN LIBYA COMPANY terms and conditions for products and services are applicable.</v>
      </c>
      <c r="B320" s="463"/>
      <c r="C320" s="463"/>
      <c r="D320" s="463"/>
      <c r="E320" s="463"/>
      <c r="F320" s="463"/>
    </row>
    <row r="321" spans="1:6" ht="6" customHeight="1" x14ac:dyDescent="0.25">
      <c r="A321" s="122"/>
      <c r="B321" s="122"/>
      <c r="C321" s="123"/>
      <c r="D321" s="123"/>
      <c r="E321" s="123"/>
      <c r="F321" s="123"/>
    </row>
    <row r="322" spans="1:6" ht="21.95" customHeight="1" thickBot="1" x14ac:dyDescent="0.3">
      <c r="A322" s="10" t="s">
        <v>402</v>
      </c>
      <c r="B322" s="11"/>
      <c r="C322" s="13"/>
      <c r="D322" s="13"/>
      <c r="E322" s="13"/>
      <c r="F322" s="14" t="s">
        <v>5</v>
      </c>
    </row>
    <row r="323" spans="1:6" ht="6" customHeight="1" thickTop="1" x14ac:dyDescent="0.25">
      <c r="A323" s="112"/>
      <c r="B323" s="113"/>
      <c r="C323" s="114"/>
      <c r="D323" s="114"/>
      <c r="E323" s="114"/>
      <c r="F323" s="114"/>
    </row>
    <row r="324" spans="1:6" ht="15.95" customHeight="1" x14ac:dyDescent="0.25">
      <c r="A324" s="115" t="s">
        <v>403</v>
      </c>
      <c r="B324" s="116"/>
      <c r="C324" s="117"/>
      <c r="D324" s="117"/>
      <c r="E324" s="117"/>
      <c r="F324" s="117"/>
    </row>
    <row r="325" spans="1:6" x14ac:dyDescent="0.25">
      <c r="A325" s="118" t="s">
        <v>7</v>
      </c>
      <c r="B325" s="118" t="s">
        <v>8</v>
      </c>
      <c r="C325" s="119" t="s">
        <v>404</v>
      </c>
      <c r="D325" s="119" t="s">
        <v>344</v>
      </c>
      <c r="E325" s="120"/>
      <c r="F325" s="120"/>
    </row>
    <row r="326" spans="1:6" x14ac:dyDescent="0.25">
      <c r="A326" s="22" t="str">
        <f>'[2]11'!A9</f>
        <v>MKN 100-482</v>
      </c>
      <c r="B326" s="23" t="str">
        <f>'[2]11'!B9</f>
        <v>103A, Gialo, Nafoora, Amal</v>
      </c>
      <c r="C326" s="25" t="str">
        <f>'[2]11'!C9</f>
        <v>per cubic foot</v>
      </c>
      <c r="D326" s="25">
        <f>'[2]11'!D9</f>
        <v>30</v>
      </c>
      <c r="E326" s="114"/>
      <c r="F326" s="114"/>
    </row>
    <row r="327" spans="1:6" x14ac:dyDescent="0.25">
      <c r="A327" s="26" t="str">
        <f>'[2]11'!A10</f>
        <v>MKN 100-483</v>
      </c>
      <c r="B327" s="27" t="str">
        <f>'[2]11'!B10</f>
        <v>Waha, Samah, Sarir, Zelten, Tibesti,beda</v>
      </c>
      <c r="C327" s="29" t="str">
        <f>'[2]11'!C10</f>
        <v>per cubic foot</v>
      </c>
      <c r="D327" s="29">
        <f>'[2]11'!D10</f>
        <v>32</v>
      </c>
      <c r="E327" s="114"/>
      <c r="F327" s="114"/>
    </row>
    <row r="328" spans="1:6" x14ac:dyDescent="0.25">
      <c r="A328" s="26" t="str">
        <f>'[2]11'!A11</f>
        <v>MKN 100-484</v>
      </c>
      <c r="B328" s="27" t="str">
        <f>'[2]11'!B11</f>
        <v>Zella</v>
      </c>
      <c r="C328" s="29" t="str">
        <f>'[2]11'!C11</f>
        <v>per cubic foot</v>
      </c>
      <c r="D328" s="29">
        <f>'[2]11'!D11</f>
        <v>33.299999999999997</v>
      </c>
      <c r="E328" s="114"/>
      <c r="F328" s="114"/>
    </row>
    <row r="329" spans="1:6" x14ac:dyDescent="0.25">
      <c r="A329" s="26" t="str">
        <f>'[2]11'!A12</f>
        <v>MKN 100-485</v>
      </c>
      <c r="B329" s="27" t="str">
        <f>'[2]11'!B12</f>
        <v>Dahra</v>
      </c>
      <c r="C329" s="29" t="str">
        <f>'[2]11'!C12</f>
        <v>per cubic foot</v>
      </c>
      <c r="D329" s="29">
        <f>'[2]11'!D12</f>
        <v>30</v>
      </c>
      <c r="E329" s="114"/>
      <c r="F329" s="114"/>
    </row>
    <row r="330" spans="1:6" x14ac:dyDescent="0.25">
      <c r="A330" s="26" t="str">
        <f>'[2]11'!A13</f>
        <v>MKN 100-486</v>
      </c>
      <c r="B330" s="27" t="str">
        <f>'[2]11'!B13</f>
        <v>Hamada</v>
      </c>
      <c r="C330" s="29" t="str">
        <f>'[2]11'!C13</f>
        <v>per cubic foot</v>
      </c>
      <c r="D330" s="29">
        <f>'[2]11'!D13</f>
        <v>45</v>
      </c>
      <c r="E330" s="114"/>
      <c r="F330" s="114"/>
    </row>
    <row r="331" spans="1:6" ht="6" customHeight="1" x14ac:dyDescent="0.25">
      <c r="A331" s="112"/>
      <c r="B331" s="113"/>
      <c r="C331" s="114"/>
      <c r="D331" s="114"/>
      <c r="E331" s="114"/>
      <c r="F331" s="114"/>
    </row>
    <row r="332" spans="1:6" ht="15.95" customHeight="1" x14ac:dyDescent="0.25">
      <c r="A332" s="115" t="s">
        <v>405</v>
      </c>
      <c r="B332" s="116"/>
      <c r="C332" s="117"/>
      <c r="D332" s="117"/>
      <c r="E332" s="117"/>
      <c r="F332" s="117"/>
    </row>
    <row r="333" spans="1:6" x14ac:dyDescent="0.25">
      <c r="A333" s="118" t="s">
        <v>7</v>
      </c>
      <c r="B333" s="118" t="s">
        <v>8</v>
      </c>
      <c r="C333" s="119" t="s">
        <v>404</v>
      </c>
      <c r="D333" s="119" t="s">
        <v>344</v>
      </c>
      <c r="E333" s="120"/>
      <c r="F333" s="120"/>
    </row>
    <row r="334" spans="1:6" x14ac:dyDescent="0.25">
      <c r="A334" s="22" t="str">
        <f>'[2]11'!A18</f>
        <v>MKN 100-487</v>
      </c>
      <c r="B334" s="23" t="str">
        <f>'[2]11'!B18</f>
        <v>LightWight high CS Cement 10 - 12.5 ppg</v>
      </c>
      <c r="C334" s="25" t="str">
        <f>'[2]11'!C18</f>
        <v>per cubic foot</v>
      </c>
      <c r="D334" s="25">
        <f>'[2]11'!D18</f>
        <v>45</v>
      </c>
      <c r="E334" s="114"/>
      <c r="F334" s="114"/>
    </row>
    <row r="335" spans="1:6" x14ac:dyDescent="0.25">
      <c r="A335" s="26" t="str">
        <f>'[2]11'!A19</f>
        <v>MKN 100-488</v>
      </c>
      <c r="B335" s="27" t="str">
        <f>'[2]11'!B19</f>
        <v>Heavyweight high CS Cement 17 - 22 ppg</v>
      </c>
      <c r="C335" s="29" t="str">
        <f>'[2]11'!C19</f>
        <v>per cubic foot</v>
      </c>
      <c r="D335" s="29">
        <f>'[2]11'!D19</f>
        <v>55</v>
      </c>
      <c r="E335" s="114"/>
      <c r="F335" s="114"/>
    </row>
    <row r="336" spans="1:6" x14ac:dyDescent="0.25">
      <c r="A336" s="26" t="str">
        <f>'[2]11'!A20</f>
        <v>MKN 100-489</v>
      </c>
      <c r="B336" s="27" t="str">
        <f>'[2]11'!B20</f>
        <v>Microfine Cement - Squeeze Cement</v>
      </c>
      <c r="C336" s="29" t="str">
        <f>'[2]11'!C20</f>
        <v>per cubic foot</v>
      </c>
      <c r="D336" s="29">
        <f>'[2]11'!D20</f>
        <v>45</v>
      </c>
      <c r="E336" s="114"/>
      <c r="F336" s="114"/>
    </row>
    <row r="337" spans="1:6" ht="6" customHeight="1" x14ac:dyDescent="0.25">
      <c r="A337" s="112"/>
      <c r="B337" s="113"/>
      <c r="C337" s="114"/>
      <c r="D337" s="114"/>
      <c r="E337" s="114"/>
      <c r="F337" s="114"/>
    </row>
    <row r="338" spans="1:6" ht="15.95" customHeight="1" x14ac:dyDescent="0.25">
      <c r="A338" s="115" t="s">
        <v>406</v>
      </c>
      <c r="B338" s="116"/>
      <c r="C338" s="117"/>
      <c r="D338" s="117"/>
      <c r="E338" s="117"/>
      <c r="F338" s="117"/>
    </row>
    <row r="339" spans="1:6" x14ac:dyDescent="0.25">
      <c r="A339" s="118" t="s">
        <v>7</v>
      </c>
      <c r="B339" s="118" t="s">
        <v>8</v>
      </c>
      <c r="C339" s="119" t="s">
        <v>404</v>
      </c>
      <c r="D339" s="119" t="s">
        <v>344</v>
      </c>
      <c r="E339" s="120"/>
      <c r="F339" s="120"/>
    </row>
    <row r="340" spans="1:6" x14ac:dyDescent="0.25">
      <c r="A340" s="22" t="str">
        <f>'[2]11'!A25</f>
        <v>MKN 100-490</v>
      </c>
      <c r="B340" s="23" t="str">
        <f>'[2]11'!B25</f>
        <v>Powder Accelerator</v>
      </c>
      <c r="C340" s="25" t="str">
        <f>'[2]11'!C25</f>
        <v>LBS</v>
      </c>
      <c r="D340" s="25">
        <f>'[2]11'!D25</f>
        <v>3</v>
      </c>
      <c r="E340" s="114"/>
      <c r="F340" s="114"/>
    </row>
    <row r="341" spans="1:6" x14ac:dyDescent="0.25">
      <c r="A341" s="26" t="str">
        <f>'[2]11'!A26</f>
        <v>MKN 100-491</v>
      </c>
      <c r="B341" s="27" t="str">
        <f>'[2]11'!B26</f>
        <v>Liquid Accelerator</v>
      </c>
      <c r="C341" s="29" t="str">
        <f>'[2]11'!C26</f>
        <v>GAL</v>
      </c>
      <c r="D341" s="29">
        <f>'[2]11'!D26</f>
        <v>34</v>
      </c>
      <c r="E341" s="114"/>
      <c r="F341" s="114"/>
    </row>
    <row r="342" spans="1:6" ht="6" customHeight="1" x14ac:dyDescent="0.25">
      <c r="A342" s="112"/>
      <c r="B342" s="113"/>
      <c r="C342" s="114"/>
      <c r="D342" s="114"/>
      <c r="E342" s="114"/>
      <c r="F342" s="114"/>
    </row>
    <row r="343" spans="1:6" ht="15.95" customHeight="1" x14ac:dyDescent="0.25">
      <c r="A343" s="115" t="s">
        <v>407</v>
      </c>
      <c r="B343" s="116"/>
      <c r="C343" s="117"/>
      <c r="D343" s="117"/>
      <c r="E343" s="117"/>
      <c r="F343" s="117"/>
    </row>
    <row r="344" spans="1:6" x14ac:dyDescent="0.25">
      <c r="A344" s="118" t="s">
        <v>7</v>
      </c>
      <c r="B344" s="118" t="s">
        <v>8</v>
      </c>
      <c r="C344" s="119" t="s">
        <v>404</v>
      </c>
      <c r="D344" s="119" t="s">
        <v>344</v>
      </c>
      <c r="E344" s="120"/>
      <c r="F344" s="120"/>
    </row>
    <row r="345" spans="1:6" x14ac:dyDescent="0.25">
      <c r="A345" s="22" t="str">
        <f>'[2]11'!A30</f>
        <v>MKN 100-492</v>
      </c>
      <c r="B345" s="23" t="str">
        <f>'[2]11'!B30</f>
        <v>LOW TEMPERATURE FLUID LOSS - POWDER</v>
      </c>
      <c r="C345" s="25" t="str">
        <f>'[2]11'!C30</f>
        <v>LBS</v>
      </c>
      <c r="D345" s="25">
        <f>'[2]11'!D30</f>
        <v>55</v>
      </c>
      <c r="E345" s="114"/>
      <c r="F345" s="114"/>
    </row>
    <row r="346" spans="1:6" x14ac:dyDescent="0.25">
      <c r="A346" s="26" t="str">
        <f>'[2]11'!A31</f>
        <v>MKN 100-493</v>
      </c>
      <c r="B346" s="27" t="str">
        <f>'[2]11'!B31</f>
        <v>LOW TEMPERATURE FLUID LOSS - LIQUID</v>
      </c>
      <c r="C346" s="29" t="str">
        <f>'[2]11'!C31</f>
        <v>GAL</v>
      </c>
      <c r="D346" s="29">
        <f>'[2]11'!D31</f>
        <v>53</v>
      </c>
      <c r="E346" s="114"/>
      <c r="F346" s="114"/>
    </row>
    <row r="347" spans="1:6" x14ac:dyDescent="0.25">
      <c r="A347" s="26" t="str">
        <f>'[2]11'!A32</f>
        <v>MKN 100-494</v>
      </c>
      <c r="B347" s="27" t="str">
        <f>'[2]11'!B32</f>
        <v>WIDE RANGE FLUID LOSS - POWDER</v>
      </c>
      <c r="C347" s="29" t="str">
        <f>'[2]11'!C32</f>
        <v>LBS</v>
      </c>
      <c r="D347" s="29">
        <f>'[2]11'!D32</f>
        <v>66</v>
      </c>
      <c r="E347" s="114"/>
      <c r="F347" s="114"/>
    </row>
    <row r="348" spans="1:6" x14ac:dyDescent="0.25">
      <c r="A348" s="26" t="str">
        <f>'[2]11'!A33</f>
        <v>MKN 100-495</v>
      </c>
      <c r="B348" s="27" t="str">
        <f>'[2]11'!B33</f>
        <v>WIDE RANGE FLUID LOSS - LIQUID</v>
      </c>
      <c r="C348" s="29" t="str">
        <f>'[2]11'!C33</f>
        <v>GAL</v>
      </c>
      <c r="D348" s="29">
        <f>'[2]11'!D33</f>
        <v>73</v>
      </c>
      <c r="E348" s="114"/>
      <c r="F348" s="114"/>
    </row>
    <row r="349" spans="1:6" ht="6" customHeight="1" x14ac:dyDescent="0.25">
      <c r="A349" s="112"/>
      <c r="B349" s="113"/>
      <c r="C349" s="114"/>
      <c r="D349" s="114"/>
      <c r="E349" s="114"/>
      <c r="F349" s="114"/>
    </row>
    <row r="350" spans="1:6" ht="15.95" customHeight="1" x14ac:dyDescent="0.25">
      <c r="A350" s="115" t="s">
        <v>408</v>
      </c>
      <c r="B350" s="116"/>
      <c r="C350" s="117"/>
      <c r="D350" s="117"/>
      <c r="E350" s="117"/>
      <c r="F350" s="117"/>
    </row>
    <row r="351" spans="1:6" x14ac:dyDescent="0.25">
      <c r="A351" s="118" t="s">
        <v>7</v>
      </c>
      <c r="B351" s="118" t="s">
        <v>8</v>
      </c>
      <c r="C351" s="119" t="s">
        <v>404</v>
      </c>
      <c r="D351" s="119" t="s">
        <v>344</v>
      </c>
      <c r="E351" s="120"/>
      <c r="F351" s="120"/>
    </row>
    <row r="352" spans="1:6" x14ac:dyDescent="0.25">
      <c r="A352" s="22" t="str">
        <f>'[2]11'!A37</f>
        <v>MKN 100-496</v>
      </c>
      <c r="B352" s="23" t="str">
        <f>'[2]11'!B37</f>
        <v>DISPERSANT - POWDER</v>
      </c>
      <c r="C352" s="25" t="str">
        <f>'[2]11'!C37</f>
        <v>LBS</v>
      </c>
      <c r="D352" s="25">
        <f>'[2]11'!D37</f>
        <v>62</v>
      </c>
      <c r="E352" s="114"/>
      <c r="F352" s="114"/>
    </row>
    <row r="353" spans="1:6" x14ac:dyDescent="0.25">
      <c r="A353" s="26" t="str">
        <f>'[2]11'!A38</f>
        <v>MKN 100-497</v>
      </c>
      <c r="B353" s="27" t="str">
        <f>'[2]11'!B38</f>
        <v>DISPERSANT - LIQUID</v>
      </c>
      <c r="C353" s="29" t="str">
        <f>'[2]11'!C38</f>
        <v>GAL</v>
      </c>
      <c r="D353" s="29">
        <f>'[2]11'!D38</f>
        <v>89</v>
      </c>
      <c r="E353" s="114"/>
      <c r="F353" s="114"/>
    </row>
    <row r="354" spans="1:6" ht="6" customHeight="1" x14ac:dyDescent="0.25">
      <c r="A354" s="112"/>
      <c r="B354" s="113"/>
      <c r="C354" s="114"/>
      <c r="D354" s="114"/>
      <c r="E354" s="114"/>
      <c r="F354" s="114"/>
    </row>
    <row r="355" spans="1:6" ht="15.95" customHeight="1" x14ac:dyDescent="0.25">
      <c r="A355" s="115" t="s">
        <v>409</v>
      </c>
      <c r="B355" s="116"/>
      <c r="C355" s="117"/>
      <c r="D355" s="117"/>
      <c r="E355" s="117"/>
      <c r="F355" s="117"/>
    </row>
    <row r="356" spans="1:6" x14ac:dyDescent="0.25">
      <c r="A356" s="118" t="s">
        <v>7</v>
      </c>
      <c r="B356" s="118" t="s">
        <v>8</v>
      </c>
      <c r="C356" s="119" t="s">
        <v>404</v>
      </c>
      <c r="D356" s="119" t="s">
        <v>344</v>
      </c>
      <c r="E356" s="120"/>
      <c r="F356" s="120"/>
    </row>
    <row r="357" spans="1:6" x14ac:dyDescent="0.25">
      <c r="A357" s="22" t="str">
        <f>'[2]12'!A6</f>
        <v>MKN 100-498</v>
      </c>
      <c r="B357" s="23" t="str">
        <f>'[2]12'!B6</f>
        <v>LOW TEMP RETARDER - POWDER</v>
      </c>
      <c r="C357" s="25" t="str">
        <f>'[2]12'!C6</f>
        <v>LBS</v>
      </c>
      <c r="D357" s="25">
        <f>'[2]12'!D6</f>
        <v>33</v>
      </c>
      <c r="E357" s="114"/>
      <c r="F357" s="114"/>
    </row>
    <row r="358" spans="1:6" x14ac:dyDescent="0.25">
      <c r="A358" s="26" t="str">
        <f>'[2]12'!A7</f>
        <v>MKN 100-499</v>
      </c>
      <c r="B358" s="27" t="str">
        <f>'[2]12'!B7</f>
        <v>LOW TEMP RETARDER - LIQUID</v>
      </c>
      <c r="C358" s="29" t="str">
        <f>'[2]12'!C7</f>
        <v>GAL</v>
      </c>
      <c r="D358" s="29">
        <f>'[2]12'!D7</f>
        <v>58</v>
      </c>
      <c r="E358" s="114"/>
      <c r="F358" s="114"/>
    </row>
    <row r="359" spans="1:6" x14ac:dyDescent="0.25">
      <c r="A359" s="26" t="str">
        <f>'[2]12'!A8</f>
        <v>MKN 100-500</v>
      </c>
      <c r="B359" s="27" t="str">
        <f>'[2]12'!B8</f>
        <v>MODERATE TEMP RETARDER - POWDER</v>
      </c>
      <c r="C359" s="29" t="str">
        <f>'[2]12'!C8</f>
        <v>LBS</v>
      </c>
      <c r="D359" s="29">
        <f>'[2]12'!D8</f>
        <v>36</v>
      </c>
      <c r="E359" s="114"/>
      <c r="F359" s="114"/>
    </row>
    <row r="360" spans="1:6" x14ac:dyDescent="0.25">
      <c r="A360" s="26" t="str">
        <f>'[2]12'!A9</f>
        <v>MKN 100-501</v>
      </c>
      <c r="B360" s="27" t="str">
        <f>'[2]12'!B9</f>
        <v>MODERATE TEMP RETARDER - LIQUID</v>
      </c>
      <c r="C360" s="29" t="str">
        <f>'[2]12'!C9</f>
        <v>GAL</v>
      </c>
      <c r="D360" s="29">
        <f>'[2]12'!D9</f>
        <v>96</v>
      </c>
      <c r="E360" s="114"/>
      <c r="F360" s="114"/>
    </row>
    <row r="361" spans="1:6" x14ac:dyDescent="0.25">
      <c r="A361" s="26" t="str">
        <f>'[2]12'!A10</f>
        <v>MKN 100-502</v>
      </c>
      <c r="B361" s="27" t="str">
        <f>'[2]12'!B10</f>
        <v>HIGH TEMP RETARDER - POWDER</v>
      </c>
      <c r="C361" s="29" t="str">
        <f>'[2]12'!C10</f>
        <v>LBS</v>
      </c>
      <c r="D361" s="29">
        <f>'[2]12'!D10</f>
        <v>58</v>
      </c>
      <c r="E361" s="114"/>
      <c r="F361" s="114"/>
    </row>
    <row r="362" spans="1:6" x14ac:dyDescent="0.25">
      <c r="A362" s="26" t="str">
        <f>'[2]12'!A11</f>
        <v>MKN 100-503</v>
      </c>
      <c r="B362" s="27" t="str">
        <f>'[2]12'!B11</f>
        <v>HIGH TEMP RETARDER - LIQUID</v>
      </c>
      <c r="C362" s="29" t="str">
        <f>'[2]12'!C11</f>
        <v>GAL</v>
      </c>
      <c r="D362" s="29">
        <f>'[2]12'!D11</f>
        <v>111</v>
      </c>
      <c r="E362" s="114"/>
      <c r="F362" s="114"/>
    </row>
    <row r="363" spans="1:6" ht="6" customHeight="1" x14ac:dyDescent="0.25">
      <c r="A363" s="112"/>
      <c r="B363" s="113"/>
      <c r="C363" s="114"/>
      <c r="D363" s="114"/>
      <c r="E363" s="114"/>
      <c r="F363" s="114"/>
    </row>
    <row r="364" spans="1:6" ht="15.95" customHeight="1" x14ac:dyDescent="0.25">
      <c r="A364" s="115" t="s">
        <v>410</v>
      </c>
      <c r="B364" s="116"/>
      <c r="C364" s="117"/>
      <c r="D364" s="117"/>
      <c r="E364" s="117"/>
      <c r="F364" s="117"/>
    </row>
    <row r="365" spans="1:6" x14ac:dyDescent="0.25">
      <c r="A365" s="118" t="s">
        <v>7</v>
      </c>
      <c r="B365" s="118" t="s">
        <v>8</v>
      </c>
      <c r="C365" s="119" t="s">
        <v>404</v>
      </c>
      <c r="D365" s="119" t="s">
        <v>344</v>
      </c>
      <c r="E365" s="120"/>
      <c r="F365" s="120"/>
    </row>
    <row r="366" spans="1:6" x14ac:dyDescent="0.25">
      <c r="A366" s="22" t="str">
        <f>'[2]12'!A14</f>
        <v>MKN 100-504</v>
      </c>
      <c r="B366" s="23" t="str">
        <f>'[2]12'!B14</f>
        <v>ANTIFOAM - LIQUID</v>
      </c>
      <c r="C366" s="25" t="str">
        <f>'[2]12'!C14</f>
        <v>Gal</v>
      </c>
      <c r="D366" s="25">
        <f>'[2]12'!D14</f>
        <v>110</v>
      </c>
      <c r="E366" s="114"/>
      <c r="F366" s="114"/>
    </row>
    <row r="367" spans="1:6" x14ac:dyDescent="0.25">
      <c r="A367" s="26" t="str">
        <f>'[2]12'!A15</f>
        <v>MKN 100-505</v>
      </c>
      <c r="B367" s="27" t="str">
        <f>'[2]12'!B15</f>
        <v>DEFOAMER - LIQUID</v>
      </c>
      <c r="C367" s="29" t="str">
        <f>'[2]12'!C15</f>
        <v>Gal</v>
      </c>
      <c r="D367" s="29">
        <f>'[2]12'!D15</f>
        <v>109</v>
      </c>
      <c r="E367" s="114"/>
      <c r="F367" s="114"/>
    </row>
    <row r="368" spans="1:6" x14ac:dyDescent="0.25">
      <c r="A368" s="26" t="str">
        <f>'[2]12'!A16</f>
        <v>MKN 100-406</v>
      </c>
      <c r="B368" s="27" t="str">
        <f>'[2]12'!B16</f>
        <v>DEFOAMER - POWDER</v>
      </c>
      <c r="C368" s="29" t="str">
        <f>'[2]12'!C16</f>
        <v>LBS</v>
      </c>
      <c r="D368" s="29">
        <f>'[2]12'!D16</f>
        <v>57</v>
      </c>
      <c r="E368" s="114"/>
      <c r="F368" s="114"/>
    </row>
    <row r="369" spans="1:6" x14ac:dyDescent="0.25">
      <c r="A369" s="26" t="str">
        <f>'[2]12'!A17</f>
        <v>MKN 100-507</v>
      </c>
      <c r="B369" s="27" t="str">
        <f>'[2]12'!B17</f>
        <v>ANTIFOAM - POWDER</v>
      </c>
      <c r="C369" s="29" t="str">
        <f>'[2]12'!C17</f>
        <v>LBS</v>
      </c>
      <c r="D369" s="29">
        <f>'[2]12'!D17</f>
        <v>39</v>
      </c>
      <c r="E369" s="114"/>
      <c r="F369" s="114"/>
    </row>
    <row r="370" spans="1:6" ht="6" customHeight="1" x14ac:dyDescent="0.25">
      <c r="A370" s="112"/>
      <c r="B370" s="113"/>
      <c r="C370" s="114"/>
      <c r="D370" s="114"/>
      <c r="E370" s="114"/>
      <c r="F370" s="114"/>
    </row>
    <row r="371" spans="1:6" ht="15.95" customHeight="1" x14ac:dyDescent="0.25">
      <c r="A371" s="115" t="s">
        <v>411</v>
      </c>
      <c r="B371" s="116"/>
      <c r="C371" s="117"/>
      <c r="D371" s="117"/>
      <c r="E371" s="117"/>
      <c r="F371" s="117"/>
    </row>
    <row r="372" spans="1:6" x14ac:dyDescent="0.25">
      <c r="A372" s="118" t="s">
        <v>7</v>
      </c>
      <c r="B372" s="118" t="s">
        <v>8</v>
      </c>
      <c r="C372" s="119" t="s">
        <v>404</v>
      </c>
      <c r="D372" s="119" t="s">
        <v>344</v>
      </c>
      <c r="E372" s="120"/>
      <c r="F372" s="120"/>
    </row>
    <row r="373" spans="1:6" x14ac:dyDescent="0.25">
      <c r="A373" s="22" t="str">
        <f>'[2]12'!A20</f>
        <v>MKN 100-508</v>
      </c>
      <c r="B373" s="23" t="str">
        <f>'[2]12'!B20</f>
        <v>THIXOTROPIC AID - LIQUID</v>
      </c>
      <c r="C373" s="25" t="str">
        <f>'[2]12'!C20</f>
        <v>GAL</v>
      </c>
      <c r="D373" s="25">
        <f>'[2]12'!D20</f>
        <v>57</v>
      </c>
      <c r="E373" s="114"/>
      <c r="F373" s="114"/>
    </row>
    <row r="374" spans="1:6" x14ac:dyDescent="0.25">
      <c r="A374" s="26" t="str">
        <f>'[2]12'!A21</f>
        <v>MKN 100-509</v>
      </c>
      <c r="B374" s="27" t="str">
        <f>'[2]12'!B21</f>
        <v>THIXOTROPIC - LIQUID</v>
      </c>
      <c r="C374" s="29" t="str">
        <f>'[2]12'!C21</f>
        <v>GAL</v>
      </c>
      <c r="D374" s="29">
        <f>'[2]12'!D21</f>
        <v>49</v>
      </c>
      <c r="E374" s="114"/>
      <c r="F374" s="114"/>
    </row>
    <row r="375" spans="1:6" x14ac:dyDescent="0.25">
      <c r="A375" s="26" t="str">
        <f>'[2]12'!A22</f>
        <v>MKN 100-510</v>
      </c>
      <c r="B375" s="27" t="str">
        <f>'[2]12'!B22</f>
        <v>GAS BLOCK ADDITIVES</v>
      </c>
      <c r="C375" s="29" t="str">
        <f>'[2]12'!C22</f>
        <v>GAL</v>
      </c>
      <c r="D375" s="29">
        <f>'[2]12'!D22</f>
        <v>63</v>
      </c>
      <c r="E375" s="114"/>
      <c r="F375" s="114"/>
    </row>
    <row r="376" spans="1:6" x14ac:dyDescent="0.25">
      <c r="A376" s="26" t="str">
        <f>'[2]12'!A23</f>
        <v>MKN 100-511</v>
      </c>
      <c r="B376" s="27" t="str">
        <f>'[2]12'!B23</f>
        <v>HIGH TEMP GAS BLOCK ADDITIVES</v>
      </c>
      <c r="C376" s="29" t="str">
        <f>'[2]12'!C23</f>
        <v>GAL</v>
      </c>
      <c r="D376" s="29">
        <f>'[2]12'!D23</f>
        <v>103</v>
      </c>
      <c r="E376" s="114"/>
      <c r="F376" s="114"/>
    </row>
    <row r="377" spans="1:6" x14ac:dyDescent="0.25">
      <c r="A377" s="26" t="str">
        <f>'[2]12'!A24</f>
        <v>MKN 100-512</v>
      </c>
      <c r="B377" s="27" t="str">
        <f>'[2]12'!B24</f>
        <v>SLURRY BOND ADDITIVES</v>
      </c>
      <c r="C377" s="29" t="str">
        <f>'[2]12'!C24</f>
        <v>GAL</v>
      </c>
      <c r="D377" s="29">
        <f>'[2]12'!D24</f>
        <v>68</v>
      </c>
      <c r="E377" s="114"/>
      <c r="F377" s="114"/>
    </row>
    <row r="378" spans="1:6" ht="6" customHeight="1" x14ac:dyDescent="0.25">
      <c r="A378" s="112"/>
      <c r="B378" s="113"/>
      <c r="C378" s="114"/>
      <c r="D378" s="114"/>
      <c r="E378" s="114"/>
      <c r="F378" s="114"/>
    </row>
    <row r="379" spans="1:6" ht="15.95" customHeight="1" x14ac:dyDescent="0.25">
      <c r="A379" s="115" t="s">
        <v>412</v>
      </c>
      <c r="B379" s="116"/>
      <c r="C379" s="117"/>
      <c r="D379" s="117"/>
      <c r="E379" s="117"/>
      <c r="F379" s="117"/>
    </row>
    <row r="380" spans="1:6" x14ac:dyDescent="0.25">
      <c r="A380" s="118" t="s">
        <v>7</v>
      </c>
      <c r="B380" s="118" t="s">
        <v>8</v>
      </c>
      <c r="C380" s="119" t="s">
        <v>404</v>
      </c>
      <c r="D380" s="119" t="s">
        <v>344</v>
      </c>
      <c r="E380" s="120"/>
      <c r="F380" s="120"/>
    </row>
    <row r="381" spans="1:6" x14ac:dyDescent="0.25">
      <c r="A381" s="22" t="str">
        <f>'[2]12'!A27</f>
        <v>MKN 100-513</v>
      </c>
      <c r="B381" s="23" t="str">
        <f>'[2]12'!B27</f>
        <v>FIBER - CEMENT</v>
      </c>
      <c r="C381" s="25" t="str">
        <f>'[2]12'!C27</f>
        <v>LBS</v>
      </c>
      <c r="D381" s="25">
        <f>'[2]12'!D27</f>
        <v>42</v>
      </c>
      <c r="E381" s="114"/>
      <c r="F381" s="114"/>
    </row>
    <row r="382" spans="1:6" x14ac:dyDescent="0.25">
      <c r="A382" s="26" t="str">
        <f>'[2]12'!A28</f>
        <v>MKN 100-514</v>
      </c>
      <c r="B382" s="27" t="str">
        <f>'[2]12'!B28</f>
        <v>SPACER - POWDER</v>
      </c>
      <c r="C382" s="29" t="str">
        <f>'[2]12'!C28</f>
        <v>LBS</v>
      </c>
      <c r="D382" s="29">
        <f>'[2]12'!D28</f>
        <v>62</v>
      </c>
      <c r="E382" s="114"/>
      <c r="F382" s="114"/>
    </row>
    <row r="383" spans="1:6" x14ac:dyDescent="0.25">
      <c r="A383" s="26" t="str">
        <f>'[2]12'!A29</f>
        <v>MKN 100-515</v>
      </c>
      <c r="B383" s="27" t="str">
        <f>'[2]12'!B29</f>
        <v>SPACER CONCENTRATE - LIQUID</v>
      </c>
      <c r="C383" s="29" t="str">
        <f>'[2]12'!C29</f>
        <v>GAL</v>
      </c>
      <c r="D383" s="29">
        <f>'[2]12'!D29</f>
        <v>63</v>
      </c>
      <c r="E383" s="114"/>
      <c r="F383" s="114"/>
    </row>
    <row r="384" spans="1:6" x14ac:dyDescent="0.25">
      <c r="A384" s="26" t="str">
        <f>'[2]12'!A30</f>
        <v>MKN 100-516</v>
      </c>
      <c r="B384" s="27" t="str">
        <f>'[2]12'!B30</f>
        <v>SILICA FLOUR</v>
      </c>
      <c r="C384" s="29" t="str">
        <f>'[2]12'!C30</f>
        <v>LBS</v>
      </c>
      <c r="D384" s="29">
        <f>'[2]12'!D30</f>
        <v>3</v>
      </c>
      <c r="E384" s="114"/>
      <c r="F384" s="114"/>
    </row>
    <row r="385" spans="1:6" x14ac:dyDescent="0.25">
      <c r="A385" s="26" t="str">
        <f>'[2]12'!A31</f>
        <v>MKN 100-517</v>
      </c>
      <c r="B385" s="27" t="str">
        <f>'[2]12'!B31</f>
        <v>CHEMICAL WASH CONCENTRATE - LIQUID</v>
      </c>
      <c r="C385" s="29" t="str">
        <f>'[2]12'!C31</f>
        <v>GAL</v>
      </c>
      <c r="D385" s="29">
        <f>'[2]12'!D31</f>
        <v>67</v>
      </c>
      <c r="E385" s="114"/>
      <c r="F385" s="114"/>
    </row>
    <row r="386" spans="1:6" x14ac:dyDescent="0.25">
      <c r="A386" s="26" t="str">
        <f>'[2]12'!A32</f>
        <v>MKN 100-518</v>
      </c>
      <c r="B386" s="27" t="str">
        <f>'[2]12'!B32</f>
        <v>WEIGHTING AGENT</v>
      </c>
      <c r="C386" s="29" t="str">
        <f>'[2]12'!C32</f>
        <v>LBS</v>
      </c>
      <c r="D386" s="29">
        <f>'[2]12'!D32</f>
        <v>5</v>
      </c>
      <c r="E386" s="114"/>
      <c r="F386" s="114"/>
    </row>
    <row r="387" spans="1:6" x14ac:dyDescent="0.25">
      <c r="A387" s="26" t="str">
        <f>'[2]12'!A33</f>
        <v>MKN 100-519</v>
      </c>
      <c r="B387" s="27" t="str">
        <f>'[2]12'!B33</f>
        <v>HEMATITE WEIGHTING AGENT</v>
      </c>
      <c r="C387" s="29" t="str">
        <f>'[2]12'!C33</f>
        <v>LBS</v>
      </c>
      <c r="D387" s="29">
        <f>'[2]12'!D33</f>
        <v>14</v>
      </c>
      <c r="E387" s="114"/>
      <c r="F387" s="114"/>
    </row>
    <row r="388" spans="1:6" x14ac:dyDescent="0.25">
      <c r="A388" s="26" t="str">
        <f>'[2]12'!A34</f>
        <v>MKN 100-520</v>
      </c>
      <c r="B388" s="27" t="str">
        <f>'[2]12'!B34</f>
        <v>SODIUM CHLORIDE</v>
      </c>
      <c r="C388" s="29" t="str">
        <f>'[2]12'!C34</f>
        <v>LBS</v>
      </c>
      <c r="D388" s="29">
        <f>'[2]12'!D34</f>
        <v>9</v>
      </c>
      <c r="E388" s="114"/>
      <c r="F388" s="114"/>
    </row>
    <row r="389" spans="1:6" ht="6" customHeight="1" x14ac:dyDescent="0.25">
      <c r="A389" s="112"/>
      <c r="B389" s="113"/>
      <c r="C389" s="114"/>
      <c r="D389" s="114"/>
      <c r="E389" s="114"/>
      <c r="F389" s="114"/>
    </row>
    <row r="390" spans="1:6" ht="15.95" customHeight="1" x14ac:dyDescent="0.25">
      <c r="A390" s="115" t="s">
        <v>413</v>
      </c>
      <c r="B390" s="116"/>
      <c r="C390" s="117"/>
      <c r="D390" s="117"/>
      <c r="E390" s="117"/>
      <c r="F390" s="117"/>
    </row>
    <row r="391" spans="1:6" x14ac:dyDescent="0.25">
      <c r="A391" s="118" t="s">
        <v>7</v>
      </c>
      <c r="B391" s="118" t="s">
        <v>8</v>
      </c>
      <c r="C391" s="119" t="s">
        <v>404</v>
      </c>
      <c r="D391" s="119" t="s">
        <v>344</v>
      </c>
      <c r="E391" s="120"/>
      <c r="F391" s="120"/>
    </row>
    <row r="392" spans="1:6" x14ac:dyDescent="0.25">
      <c r="A392" s="22" t="str">
        <f>'[2]12'!A37</f>
        <v>MKN 100-521</v>
      </c>
      <c r="B392" s="23" t="str">
        <f>'[2]12'!B37</f>
        <v>28% HCL</v>
      </c>
      <c r="C392" s="25" t="str">
        <f>'[2]12'!C37</f>
        <v>USG</v>
      </c>
      <c r="D392" s="25">
        <f>'[2]12'!D37</f>
        <v>11</v>
      </c>
      <c r="E392" s="114"/>
      <c r="F392" s="114"/>
    </row>
    <row r="393" spans="1:6" x14ac:dyDescent="0.25">
      <c r="A393" s="26" t="str">
        <f>'[2]12'!A38</f>
        <v>MKN 100-522</v>
      </c>
      <c r="B393" s="27" t="str">
        <f>'[2]12'!B38</f>
        <v>15% HCL</v>
      </c>
      <c r="C393" s="29" t="str">
        <f>'[2]12'!C38</f>
        <v>USG</v>
      </c>
      <c r="D393" s="29">
        <f>'[2]12'!D38</f>
        <v>6.2</v>
      </c>
      <c r="E393" s="114"/>
      <c r="F393" s="114"/>
    </row>
    <row r="394" spans="1:6" x14ac:dyDescent="0.25">
      <c r="A394" s="26" t="str">
        <f>'[2]12'!A39</f>
        <v>MKN 100-523</v>
      </c>
      <c r="B394" s="27" t="str">
        <f>'[2]12'!B39</f>
        <v>10% HCL</v>
      </c>
      <c r="C394" s="29" t="str">
        <f>'[2]12'!C39</f>
        <v>USG</v>
      </c>
      <c r="D394" s="29">
        <f>'[2]12'!D39</f>
        <v>4.2</v>
      </c>
      <c r="E394" s="114"/>
      <c r="F394" s="114"/>
    </row>
    <row r="395" spans="1:6" x14ac:dyDescent="0.25">
      <c r="A395" s="26" t="str">
        <f>'[2]12'!A40</f>
        <v>MKN 100-524</v>
      </c>
      <c r="B395" s="27" t="str">
        <f>'[2]12'!B40</f>
        <v>7.5% HCL</v>
      </c>
      <c r="C395" s="29" t="str">
        <f>'[2]12'!C40</f>
        <v>USG</v>
      </c>
      <c r="D395" s="29">
        <f>'[2]12'!D40</f>
        <v>3.93</v>
      </c>
      <c r="E395" s="114"/>
      <c r="F395" s="114"/>
    </row>
    <row r="396" spans="1:6" x14ac:dyDescent="0.25">
      <c r="A396" s="26" t="str">
        <f>'[2]12'!A41</f>
        <v>MKN 100-525</v>
      </c>
      <c r="B396" s="27" t="str">
        <f>'[2]12'!B41</f>
        <v>5% HCL</v>
      </c>
      <c r="C396" s="29" t="str">
        <f>'[2]12'!C41</f>
        <v>USG</v>
      </c>
      <c r="D396" s="29">
        <f>'[2]12'!D41</f>
        <v>3.4</v>
      </c>
      <c r="E396" s="114"/>
      <c r="F396" s="114"/>
    </row>
    <row r="397" spans="1:6" ht="6" customHeight="1" x14ac:dyDescent="0.25">
      <c r="A397" s="112"/>
      <c r="B397" s="113"/>
      <c r="C397" s="114"/>
      <c r="D397" s="114"/>
      <c r="E397" s="114"/>
      <c r="F397" s="114"/>
    </row>
    <row r="398" spans="1:6" ht="15.95" customHeight="1" x14ac:dyDescent="0.25">
      <c r="A398" s="115" t="s">
        <v>414</v>
      </c>
      <c r="B398" s="116"/>
      <c r="C398" s="117"/>
      <c r="D398" s="117"/>
      <c r="E398" s="117"/>
      <c r="F398" s="117"/>
    </row>
    <row r="399" spans="1:6" x14ac:dyDescent="0.25">
      <c r="A399" s="118" t="s">
        <v>7</v>
      </c>
      <c r="B399" s="118" t="s">
        <v>8</v>
      </c>
      <c r="C399" s="119" t="s">
        <v>404</v>
      </c>
      <c r="D399" s="119" t="s">
        <v>344</v>
      </c>
      <c r="E399" s="120"/>
      <c r="F399" s="120"/>
    </row>
    <row r="400" spans="1:6" x14ac:dyDescent="0.25">
      <c r="A400" s="22" t="str">
        <f>'[2]14'!A4</f>
        <v>MKN 100-526</v>
      </c>
      <c r="B400" s="23" t="str">
        <f>'[2]14'!B4</f>
        <v>12-3 MUD ACID</v>
      </c>
      <c r="C400" s="25" t="str">
        <f>'[2]14'!C4</f>
        <v>USG</v>
      </c>
      <c r="D400" s="25">
        <f>'[2]14'!D4</f>
        <v>11</v>
      </c>
      <c r="E400" s="114"/>
      <c r="F400" s="114"/>
    </row>
    <row r="401" spans="1:6" x14ac:dyDescent="0.25">
      <c r="A401" s="26" t="str">
        <f>'[2]14'!A5</f>
        <v>MKN 100-527</v>
      </c>
      <c r="B401" s="27" t="str">
        <f>'[2]14'!B5</f>
        <v>6-15 MUD ACID</v>
      </c>
      <c r="C401" s="29" t="str">
        <f>'[2]14'!C5</f>
        <v>USG</v>
      </c>
      <c r="D401" s="29">
        <f>'[2]14'!D5</f>
        <v>6.3</v>
      </c>
      <c r="E401" s="114"/>
      <c r="F401" s="114"/>
    </row>
    <row r="402" spans="1:6" x14ac:dyDescent="0.25">
      <c r="A402" s="26" t="str">
        <f>'[2]14'!A6</f>
        <v>MKN 100-528</v>
      </c>
      <c r="B402" s="27" t="str">
        <f>'[2]14'!B6</f>
        <v>12-6 MUD ACID</v>
      </c>
      <c r="C402" s="29" t="str">
        <f>'[2]14'!C6</f>
        <v>USG</v>
      </c>
      <c r="D402" s="29">
        <f>'[2]14'!D6</f>
        <v>14</v>
      </c>
      <c r="E402" s="114"/>
      <c r="F402" s="114"/>
    </row>
    <row r="403" spans="1:6" ht="6" customHeight="1" x14ac:dyDescent="0.25">
      <c r="A403" s="112"/>
      <c r="B403" s="113"/>
      <c r="C403" s="114"/>
      <c r="D403" s="114"/>
      <c r="E403" s="114"/>
      <c r="F403" s="114"/>
    </row>
    <row r="404" spans="1:6" ht="15.95" customHeight="1" x14ac:dyDescent="0.25">
      <c r="A404" s="115" t="s">
        <v>415</v>
      </c>
      <c r="B404" s="116"/>
      <c r="C404" s="117"/>
      <c r="D404" s="117"/>
      <c r="E404" s="117"/>
      <c r="F404" s="117"/>
    </row>
    <row r="405" spans="1:6" x14ac:dyDescent="0.25">
      <c r="A405" s="118" t="s">
        <v>7</v>
      </c>
      <c r="B405" s="118" t="s">
        <v>8</v>
      </c>
      <c r="C405" s="119" t="s">
        <v>404</v>
      </c>
      <c r="D405" s="119" t="s">
        <v>344</v>
      </c>
      <c r="E405" s="120"/>
      <c r="F405" s="120"/>
    </row>
    <row r="406" spans="1:6" x14ac:dyDescent="0.25">
      <c r="A406" s="22" t="str">
        <f>'[2]14'!A10</f>
        <v>MKN 100-529</v>
      </c>
      <c r="B406" s="23" t="str">
        <f>'[2]14'!B10</f>
        <v>ACETIC ACID</v>
      </c>
      <c r="C406" s="25" t="str">
        <f>'[2]14'!C10</f>
        <v>USG</v>
      </c>
      <c r="D406" s="25">
        <f>'[2]14'!D10</f>
        <v>19</v>
      </c>
      <c r="E406" s="114"/>
      <c r="F406" s="114"/>
    </row>
    <row r="407" spans="1:6" x14ac:dyDescent="0.25">
      <c r="A407" s="26" t="str">
        <f>'[2]14'!A11</f>
        <v>MKN 100-530</v>
      </c>
      <c r="B407" s="27" t="str">
        <f>'[2]14'!B11</f>
        <v>FORMIC ACID</v>
      </c>
      <c r="C407" s="29" t="str">
        <f>'[2]14'!C11</f>
        <v>USG</v>
      </c>
      <c r="D407" s="29">
        <f>'[2]14'!D11</f>
        <v>32</v>
      </c>
      <c r="E407" s="114"/>
      <c r="F407" s="114"/>
    </row>
    <row r="408" spans="1:6" x14ac:dyDescent="0.25">
      <c r="A408" s="26" t="str">
        <f>'[2]14'!A12</f>
        <v>MKN 100-531</v>
      </c>
      <c r="B408" s="27" t="str">
        <f>'[2]14'!B12</f>
        <v>ALCOHOLIC ACID</v>
      </c>
      <c r="C408" s="29" t="str">
        <f>'[2]14'!C12</f>
        <v>USG</v>
      </c>
      <c r="D408" s="29">
        <f>'[2]14'!D12</f>
        <v>65</v>
      </c>
      <c r="E408" s="114"/>
      <c r="F408" s="114"/>
    </row>
    <row r="409" spans="1:6" x14ac:dyDescent="0.25">
      <c r="A409" s="26" t="str">
        <f>'[2]14'!A13</f>
        <v>MKN 100-532</v>
      </c>
      <c r="B409" s="27" t="str">
        <f>'[2]14'!B13</f>
        <v>OIL MISCIBLE ACID</v>
      </c>
      <c r="C409" s="29" t="str">
        <f>'[2]14'!C13</f>
        <v>USG</v>
      </c>
      <c r="D409" s="29">
        <f>'[2]14'!D13</f>
        <v>83</v>
      </c>
      <c r="E409" s="114"/>
      <c r="F409" s="114"/>
    </row>
    <row r="410" spans="1:6" ht="6" customHeight="1" x14ac:dyDescent="0.25">
      <c r="A410" s="112"/>
      <c r="B410" s="113"/>
      <c r="C410" s="114"/>
      <c r="D410" s="114"/>
      <c r="E410" s="114"/>
      <c r="F410" s="114"/>
    </row>
    <row r="411" spans="1:6" ht="15.95" customHeight="1" x14ac:dyDescent="0.25">
      <c r="A411" s="115" t="s">
        <v>416</v>
      </c>
      <c r="B411" s="116"/>
      <c r="C411" s="117"/>
      <c r="D411" s="117"/>
      <c r="E411" s="117"/>
      <c r="F411" s="117"/>
    </row>
    <row r="412" spans="1:6" x14ac:dyDescent="0.25">
      <c r="A412" s="118" t="s">
        <v>7</v>
      </c>
      <c r="B412" s="118" t="s">
        <v>8</v>
      </c>
      <c r="C412" s="119" t="s">
        <v>404</v>
      </c>
      <c r="D412" s="119" t="s">
        <v>344</v>
      </c>
      <c r="E412" s="120"/>
      <c r="F412" s="120"/>
    </row>
    <row r="413" spans="1:6" x14ac:dyDescent="0.25">
      <c r="A413" s="22" t="str">
        <f>'[2]14'!A17</f>
        <v>MKN 100-533</v>
      </c>
      <c r="B413" s="23" t="str">
        <f>'[2]14'!B17</f>
        <v>OXIDIZING BREAKER</v>
      </c>
      <c r="C413" s="25" t="str">
        <f>'[2]14'!C17</f>
        <v>LBS</v>
      </c>
      <c r="D413" s="25">
        <f>'[2]14'!D17</f>
        <v>22</v>
      </c>
      <c r="E413" s="114"/>
      <c r="F413" s="114"/>
    </row>
    <row r="414" spans="1:6" x14ac:dyDescent="0.25">
      <c r="A414" s="26" t="str">
        <f>'[2]14'!A18</f>
        <v>MKN 100-534</v>
      </c>
      <c r="B414" s="27" t="str">
        <f>'[2]14'!B18</f>
        <v>ENZYME BREAKER</v>
      </c>
      <c r="C414" s="29" t="str">
        <f>'[2]14'!C18</f>
        <v>USG</v>
      </c>
      <c r="D414" s="29">
        <f>'[2]14'!D18</f>
        <v>86</v>
      </c>
      <c r="E414" s="114"/>
      <c r="F414" s="114"/>
    </row>
    <row r="415" spans="1:6" x14ac:dyDescent="0.25">
      <c r="A415" s="26" t="str">
        <f>'[2]14'!A19</f>
        <v>MKN 100-535</v>
      </c>
      <c r="B415" s="27" t="str">
        <f>'[2]14'!B19</f>
        <v>ANME BREAKER CATYLIST</v>
      </c>
      <c r="C415" s="29" t="str">
        <f>'[2]14'!C19</f>
        <v>USG</v>
      </c>
      <c r="D415" s="29">
        <f>'[2]14'!D19</f>
        <v>73</v>
      </c>
      <c r="E415" s="114"/>
      <c r="F415" s="114"/>
    </row>
    <row r="416" spans="1:6" x14ac:dyDescent="0.25">
      <c r="A416" s="26" t="str">
        <f>'[2]14'!A20</f>
        <v>MKN 100-536</v>
      </c>
      <c r="B416" s="27" t="str">
        <f>'[2]14'!B20</f>
        <v>GEL BREAKING</v>
      </c>
      <c r="C416" s="29" t="str">
        <f>'[2]14'!C20</f>
        <v>USG</v>
      </c>
      <c r="D416" s="29">
        <f>'[2]14'!D20</f>
        <v>73</v>
      </c>
      <c r="E416" s="114"/>
      <c r="F416" s="114"/>
    </row>
    <row r="417" spans="1:6" ht="6" customHeight="1" x14ac:dyDescent="0.25">
      <c r="A417" s="112"/>
      <c r="B417" s="113"/>
      <c r="C417" s="114"/>
      <c r="D417" s="114"/>
      <c r="E417" s="114"/>
      <c r="F417" s="114"/>
    </row>
    <row r="418" spans="1:6" ht="15.95" customHeight="1" x14ac:dyDescent="0.25">
      <c r="A418" s="115" t="s">
        <v>417</v>
      </c>
      <c r="B418" s="116"/>
      <c r="C418" s="117"/>
      <c r="D418" s="117"/>
      <c r="E418" s="117"/>
      <c r="F418" s="117"/>
    </row>
    <row r="419" spans="1:6" x14ac:dyDescent="0.25">
      <c r="A419" s="118" t="s">
        <v>7</v>
      </c>
      <c r="B419" s="118" t="s">
        <v>8</v>
      </c>
      <c r="C419" s="119" t="s">
        <v>404</v>
      </c>
      <c r="D419" s="119" t="s">
        <v>344</v>
      </c>
      <c r="E419" s="120"/>
      <c r="F419" s="120"/>
    </row>
    <row r="420" spans="1:6" x14ac:dyDescent="0.25">
      <c r="A420" s="22" t="str">
        <f>'[2]14'!A24</f>
        <v>MKN 100-537</v>
      </c>
      <c r="B420" s="23" t="str">
        <f>'[2]14'!B24</f>
        <v>LOW TEMPERATURE PLUG</v>
      </c>
      <c r="C420" s="25" t="str">
        <f>'[2]14'!C24</f>
        <v>USG</v>
      </c>
      <c r="D420" s="25">
        <f>'[2]14'!D24</f>
        <v>83</v>
      </c>
      <c r="E420" s="114"/>
      <c r="F420" s="114"/>
    </row>
    <row r="421" spans="1:6" ht="6" customHeight="1" x14ac:dyDescent="0.25">
      <c r="A421" s="112"/>
      <c r="B421" s="113"/>
      <c r="C421" s="114"/>
      <c r="D421" s="114"/>
      <c r="E421" s="114"/>
      <c r="F421" s="114"/>
    </row>
    <row r="422" spans="1:6" ht="15.95" customHeight="1" x14ac:dyDescent="0.25">
      <c r="A422" s="115" t="s">
        <v>418</v>
      </c>
      <c r="B422" s="116"/>
      <c r="C422" s="117"/>
      <c r="D422" s="117"/>
      <c r="E422" s="117"/>
      <c r="F422" s="117"/>
    </row>
    <row r="423" spans="1:6" x14ac:dyDescent="0.25">
      <c r="A423" s="118" t="s">
        <v>7</v>
      </c>
      <c r="B423" s="118" t="s">
        <v>8</v>
      </c>
      <c r="C423" s="119" t="s">
        <v>404</v>
      </c>
      <c r="D423" s="119" t="s">
        <v>344</v>
      </c>
      <c r="E423" s="120"/>
      <c r="F423" s="120"/>
    </row>
    <row r="424" spans="1:6" x14ac:dyDescent="0.25">
      <c r="A424" s="22" t="str">
        <f>'[2]14'!A28</f>
        <v>MKN 100-538</v>
      </c>
      <c r="B424" s="23" t="str">
        <f>'[2]14'!B28</f>
        <v>AMMONIUM CHLORIDE</v>
      </c>
      <c r="C424" s="25" t="str">
        <f>'[2]14'!C28</f>
        <v>LBS</v>
      </c>
      <c r="D424" s="25">
        <f>'[2]14'!D28</f>
        <v>7</v>
      </c>
      <c r="E424" s="114"/>
      <c r="F424" s="114"/>
    </row>
    <row r="425" spans="1:6" x14ac:dyDescent="0.25">
      <c r="A425" s="26" t="str">
        <f>'[2]14'!A29</f>
        <v>MKN 100-539</v>
      </c>
      <c r="B425" s="27" t="str">
        <f>'[2]14'!B29</f>
        <v>POTASSIUM CHLORIDE</v>
      </c>
      <c r="C425" s="29" t="str">
        <f>'[2]14'!C29</f>
        <v>LBS</v>
      </c>
      <c r="D425" s="29">
        <f>'[2]14'!D29</f>
        <v>7</v>
      </c>
      <c r="E425" s="114"/>
      <c r="F425" s="114"/>
    </row>
    <row r="426" spans="1:6" x14ac:dyDescent="0.25">
      <c r="A426" s="26" t="str">
        <f>'[2]14'!A30</f>
        <v>MKN - 100-540</v>
      </c>
      <c r="B426" s="27" t="str">
        <f>'[2]14'!B30</f>
        <v>SODIUM CHLORIDE</v>
      </c>
      <c r="C426" s="29" t="str">
        <f>'[2]14'!C30</f>
        <v>LBS</v>
      </c>
      <c r="D426" s="29">
        <f>'[2]14'!D30</f>
        <v>2</v>
      </c>
      <c r="E426" s="114"/>
      <c r="F426" s="114"/>
    </row>
    <row r="427" spans="1:6" x14ac:dyDescent="0.25">
      <c r="A427" s="26" t="str">
        <f>'[2]14'!A31</f>
        <v>MKN 100-541</v>
      </c>
      <c r="B427" s="27" t="str">
        <f>'[2]14'!B31</f>
        <v>AMMONIUM BIFLUORIDE</v>
      </c>
      <c r="C427" s="29" t="str">
        <f>'[2]14'!C31</f>
        <v>LBS</v>
      </c>
      <c r="D427" s="29">
        <f>'[2]14'!D31</f>
        <v>12</v>
      </c>
      <c r="E427" s="114"/>
      <c r="F427" s="114"/>
    </row>
    <row r="428" spans="1:6" x14ac:dyDescent="0.25">
      <c r="A428" s="26" t="str">
        <f>'[2]14'!A32</f>
        <v>MKN 100-542</v>
      </c>
      <c r="B428" s="27" t="str">
        <f>'[2]14'!B32</f>
        <v>CALCIUM CHLORIDE</v>
      </c>
      <c r="C428" s="29" t="str">
        <f>'[2]14'!C32</f>
        <v>LBS</v>
      </c>
      <c r="D428" s="29">
        <f>'[2]14'!D32</f>
        <v>3</v>
      </c>
      <c r="E428" s="114"/>
      <c r="F428" s="114"/>
    </row>
    <row r="429" spans="1:6" x14ac:dyDescent="0.25">
      <c r="A429" s="26" t="str">
        <f>'[2]14'!A33</f>
        <v>MKN 100-543</v>
      </c>
      <c r="B429" s="27" t="str">
        <f>'[2]14'!B33</f>
        <v>AMMONIUM PROSULPHATE</v>
      </c>
      <c r="C429" s="29" t="str">
        <f>'[2]14'!C33</f>
        <v>LBS</v>
      </c>
      <c r="D429" s="29">
        <f>'[2]14'!D33</f>
        <v>28</v>
      </c>
      <c r="E429" s="114"/>
      <c r="F429" s="114"/>
    </row>
    <row r="430" spans="1:6" x14ac:dyDescent="0.25">
      <c r="A430" s="26" t="str">
        <f>'[2]14'!A34</f>
        <v>MKN 100-544</v>
      </c>
      <c r="B430" s="27" t="str">
        <f>'[2]14'!B34</f>
        <v>SODA ASH</v>
      </c>
      <c r="C430" s="29" t="str">
        <f>'[2]14'!C34</f>
        <v>LBS</v>
      </c>
      <c r="D430" s="29">
        <f>'[2]14'!D34</f>
        <v>9</v>
      </c>
      <c r="E430" s="114"/>
      <c r="F430" s="114"/>
    </row>
    <row r="431" spans="1:6" x14ac:dyDescent="0.25">
      <c r="A431" s="26" t="str">
        <f>'[2]14'!A35</f>
        <v>MKN 100-545</v>
      </c>
      <c r="B431" s="27" t="str">
        <f>'[2]14'!B35</f>
        <v>CAUSTIC SODA</v>
      </c>
      <c r="C431" s="29" t="str">
        <f>'[2]14'!C35</f>
        <v>LBS</v>
      </c>
      <c r="D431" s="29">
        <f>'[2]14'!D35</f>
        <v>9</v>
      </c>
      <c r="E431" s="114"/>
      <c r="F431" s="114"/>
    </row>
    <row r="432" spans="1:6" ht="6" customHeight="1" x14ac:dyDescent="0.25">
      <c r="A432" s="112"/>
      <c r="B432" s="113"/>
      <c r="C432" s="114"/>
      <c r="D432" s="114"/>
      <c r="E432" s="114"/>
      <c r="F432" s="114"/>
    </row>
    <row r="433" spans="1:6" ht="15.95" customHeight="1" x14ac:dyDescent="0.25">
      <c r="A433" s="115" t="s">
        <v>419</v>
      </c>
      <c r="B433" s="116"/>
      <c r="C433" s="117"/>
      <c r="D433" s="117"/>
      <c r="E433" s="117"/>
      <c r="F433" s="117"/>
    </row>
    <row r="434" spans="1:6" x14ac:dyDescent="0.25">
      <c r="A434" s="118" t="s">
        <v>7</v>
      </c>
      <c r="B434" s="118" t="s">
        <v>8</v>
      </c>
      <c r="C434" s="119" t="s">
        <v>404</v>
      </c>
      <c r="D434" s="119" t="s">
        <v>344</v>
      </c>
      <c r="E434" s="120"/>
      <c r="F434" s="120"/>
    </row>
    <row r="435" spans="1:6" x14ac:dyDescent="0.25">
      <c r="A435" s="22" t="str">
        <f>'[2]14'!A39</f>
        <v>MKN 100-546</v>
      </c>
      <c r="B435" s="23" t="str">
        <f>'[2]14'!B39</f>
        <v>FOAMING AGENT</v>
      </c>
      <c r="C435" s="25" t="str">
        <f>'[2]14'!C39</f>
        <v>USG</v>
      </c>
      <c r="D435" s="25">
        <f>'[2]14'!D39</f>
        <v>63</v>
      </c>
      <c r="E435" s="114"/>
      <c r="F435" s="114"/>
    </row>
    <row r="436" spans="1:6" x14ac:dyDescent="0.25">
      <c r="A436" s="26" t="str">
        <f>'[2]14'!A40</f>
        <v>MKN 100-547</v>
      </c>
      <c r="B436" s="27" t="str">
        <f>'[2]14'!B40</f>
        <v>FOAMER</v>
      </c>
      <c r="C436" s="29" t="str">
        <f>'[2]14'!C40</f>
        <v>USG</v>
      </c>
      <c r="D436" s="29">
        <f>'[2]14'!D40</f>
        <v>74</v>
      </c>
      <c r="E436" s="114"/>
      <c r="F436" s="114"/>
    </row>
    <row r="437" spans="1:6" ht="6" customHeight="1" x14ac:dyDescent="0.25">
      <c r="A437" s="112"/>
      <c r="B437" s="113"/>
      <c r="C437" s="114"/>
      <c r="D437" s="114"/>
      <c r="E437" s="114"/>
      <c r="F437" s="114"/>
    </row>
    <row r="438" spans="1:6" ht="15.95" customHeight="1" x14ac:dyDescent="0.25">
      <c r="A438" s="115" t="s">
        <v>420</v>
      </c>
      <c r="B438" s="116"/>
      <c r="C438" s="117"/>
      <c r="D438" s="117"/>
      <c r="E438" s="117"/>
      <c r="F438" s="117"/>
    </row>
    <row r="439" spans="1:6" x14ac:dyDescent="0.25">
      <c r="A439" s="118" t="s">
        <v>7</v>
      </c>
      <c r="B439" s="118" t="s">
        <v>8</v>
      </c>
      <c r="C439" s="119" t="s">
        <v>404</v>
      </c>
      <c r="D439" s="119" t="s">
        <v>344</v>
      </c>
      <c r="E439" s="120"/>
      <c r="F439" s="120"/>
    </row>
    <row r="440" spans="1:6" x14ac:dyDescent="0.25">
      <c r="A440" s="22" t="str">
        <f>'[2]15'!A4</f>
        <v>MKN 100-548</v>
      </c>
      <c r="B440" s="23" t="str">
        <f>'[2]15'!B4</f>
        <v>EGMBE MUTUAL SOLVENT</v>
      </c>
      <c r="C440" s="25" t="str">
        <f>'[2]15'!C4</f>
        <v>USG</v>
      </c>
      <c r="D440" s="25">
        <f>'[2]15'!D4</f>
        <v>87</v>
      </c>
      <c r="E440" s="114"/>
      <c r="F440" s="114"/>
    </row>
    <row r="441" spans="1:6" x14ac:dyDescent="0.25">
      <c r="A441" s="26" t="str">
        <f>'[2]15'!A5</f>
        <v>MKN 100-549</v>
      </c>
      <c r="B441" s="27" t="str">
        <f>'[2]15'!B5</f>
        <v>ISOPROPYL ALCOHOL SOLVENT</v>
      </c>
      <c r="C441" s="29" t="str">
        <f>'[2]15'!C5</f>
        <v>USG</v>
      </c>
      <c r="D441" s="29">
        <f>'[2]15'!D5</f>
        <v>78</v>
      </c>
      <c r="E441" s="114"/>
      <c r="F441" s="114"/>
    </row>
    <row r="442" spans="1:6" ht="6" customHeight="1" x14ac:dyDescent="0.25">
      <c r="A442" s="112"/>
      <c r="B442" s="113"/>
      <c r="C442" s="114"/>
      <c r="D442" s="114"/>
      <c r="E442" s="114"/>
      <c r="F442" s="114"/>
    </row>
    <row r="443" spans="1:6" ht="15.95" customHeight="1" x14ac:dyDescent="0.25">
      <c r="A443" s="115" t="s">
        <v>421</v>
      </c>
      <c r="B443" s="116"/>
      <c r="C443" s="117"/>
      <c r="D443" s="117"/>
      <c r="E443" s="117"/>
      <c r="F443" s="117"/>
    </row>
    <row r="444" spans="1:6" x14ac:dyDescent="0.25">
      <c r="A444" s="118" t="s">
        <v>7</v>
      </c>
      <c r="B444" s="118" t="s">
        <v>8</v>
      </c>
      <c r="C444" s="119" t="s">
        <v>404</v>
      </c>
      <c r="D444" s="119" t="s">
        <v>344</v>
      </c>
      <c r="E444" s="120"/>
      <c r="F444" s="120"/>
    </row>
    <row r="445" spans="1:6" x14ac:dyDescent="0.25">
      <c r="A445" s="22" t="str">
        <f>'[2]15'!A9</f>
        <v>MKN 100-550</v>
      </c>
      <c r="B445" s="23" t="str">
        <f>'[2]15'!B9</f>
        <v>CITRIC ACID</v>
      </c>
      <c r="C445" s="25" t="str">
        <f>'[2]15'!C9</f>
        <v>LBS</v>
      </c>
      <c r="D445" s="25">
        <f>'[2]15'!D9</f>
        <v>19</v>
      </c>
      <c r="E445" s="114"/>
      <c r="F445" s="114"/>
    </row>
    <row r="446" spans="1:6" x14ac:dyDescent="0.25">
      <c r="A446" s="26" t="str">
        <f>'[2]15'!A10</f>
        <v>MKN 100-551</v>
      </c>
      <c r="B446" s="27" t="str">
        <f>'[2]15'!B10</f>
        <v>ACID MIXTURE</v>
      </c>
      <c r="C446" s="29" t="str">
        <f>'[2]15'!C10</f>
        <v>USG</v>
      </c>
      <c r="D446" s="29">
        <f>'[2]15'!D10</f>
        <v>83</v>
      </c>
      <c r="E446" s="114"/>
      <c r="F446" s="114"/>
    </row>
    <row r="447" spans="1:6" x14ac:dyDescent="0.25">
      <c r="A447" s="26" t="str">
        <f>'[2]15'!A11</f>
        <v>MKN 100-552</v>
      </c>
      <c r="B447" s="27" t="str">
        <f>'[2]15'!B11</f>
        <v>IRON REDUCING AGENT</v>
      </c>
      <c r="C447" s="29" t="str">
        <f>'[2]15'!C11</f>
        <v>USG</v>
      </c>
      <c r="D447" s="29">
        <f>'[2]15'!D11</f>
        <v>61</v>
      </c>
      <c r="E447" s="114"/>
      <c r="F447" s="114"/>
    </row>
    <row r="448" spans="1:6" x14ac:dyDescent="0.25">
      <c r="A448" s="26" t="str">
        <f>'[2]15'!A12</f>
        <v>MKN 100-553</v>
      </c>
      <c r="B448" s="27" t="str">
        <f>'[2]15'!B12</f>
        <v>ACID MIXTURE</v>
      </c>
      <c r="C448" s="29" t="str">
        <f>'[2]15'!C12</f>
        <v>USG</v>
      </c>
      <c r="D448" s="29">
        <f>'[2]15'!D12</f>
        <v>79</v>
      </c>
      <c r="E448" s="114"/>
      <c r="F448" s="114"/>
    </row>
    <row r="449" spans="1:6" ht="6" customHeight="1" x14ac:dyDescent="0.25">
      <c r="A449" s="112"/>
      <c r="B449" s="113"/>
      <c r="C449" s="114"/>
      <c r="D449" s="114"/>
      <c r="E449" s="114"/>
      <c r="F449" s="114"/>
    </row>
    <row r="450" spans="1:6" ht="15.95" customHeight="1" x14ac:dyDescent="0.25">
      <c r="A450" s="115" t="s">
        <v>422</v>
      </c>
      <c r="B450" s="116"/>
      <c r="C450" s="117"/>
      <c r="D450" s="117"/>
      <c r="E450" s="117"/>
      <c r="F450" s="117"/>
    </row>
    <row r="451" spans="1:6" x14ac:dyDescent="0.25">
      <c r="A451" s="118" t="s">
        <v>7</v>
      </c>
      <c r="B451" s="118" t="s">
        <v>8</v>
      </c>
      <c r="C451" s="119" t="s">
        <v>404</v>
      </c>
      <c r="D451" s="119" t="s">
        <v>344</v>
      </c>
      <c r="E451" s="120"/>
      <c r="F451" s="120"/>
    </row>
    <row r="452" spans="1:6" x14ac:dyDescent="0.25">
      <c r="A452" s="22" t="str">
        <f>'[2]15'!A16</f>
        <v>MKN 100-554</v>
      </c>
      <c r="B452" s="23" t="str">
        <f>'[2]15'!B16</f>
        <v>HYDROXYPROPYL GUAR</v>
      </c>
      <c r="C452" s="25" t="str">
        <f>'[2]15'!C16</f>
        <v>LBS</v>
      </c>
      <c r="D452" s="25">
        <f>'[2]15'!D16</f>
        <v>19</v>
      </c>
      <c r="E452" s="114"/>
      <c r="F452" s="114"/>
    </row>
    <row r="453" spans="1:6" x14ac:dyDescent="0.25">
      <c r="A453" s="26" t="str">
        <f>'[2]15'!A17</f>
        <v>MKN 100-555</v>
      </c>
      <c r="B453" s="27" t="str">
        <f>'[2]15'!B17</f>
        <v>HYDROXYCELLOUSE</v>
      </c>
      <c r="C453" s="29" t="str">
        <f>'[2]15'!C17</f>
        <v>LBS</v>
      </c>
      <c r="D453" s="29">
        <f>'[2]15'!D17</f>
        <v>22</v>
      </c>
      <c r="E453" s="114"/>
      <c r="F453" s="114"/>
    </row>
    <row r="454" spans="1:6" x14ac:dyDescent="0.25">
      <c r="A454" s="26" t="str">
        <f>'[2]15'!A18</f>
        <v>MKN 100-556</v>
      </c>
      <c r="B454" s="27" t="str">
        <f>'[2]15'!B18</f>
        <v>XANTHIN GEL SALVESTO</v>
      </c>
      <c r="C454" s="29" t="str">
        <f>'[2]15'!C18</f>
        <v>LBS</v>
      </c>
      <c r="D454" s="29">
        <f>'[2]15'!D18</f>
        <v>29</v>
      </c>
      <c r="E454" s="114"/>
      <c r="F454" s="114"/>
    </row>
    <row r="455" spans="1:6" x14ac:dyDescent="0.25">
      <c r="A455" s="26" t="str">
        <f>'[2]15'!A19</f>
        <v>MKN 100-557</v>
      </c>
      <c r="B455" s="27" t="str">
        <f>'[2]15'!B19</f>
        <v>HYDROXYPROPYL GUAR WITH BUFFERS</v>
      </c>
      <c r="C455" s="29" t="str">
        <f>'[2]15'!C19</f>
        <v>LBS</v>
      </c>
      <c r="D455" s="29">
        <f>'[2]15'!D19</f>
        <v>53</v>
      </c>
      <c r="E455" s="114"/>
      <c r="F455" s="114"/>
    </row>
    <row r="456" spans="1:6" x14ac:dyDescent="0.25">
      <c r="A456" s="26" t="str">
        <f>'[2]15'!A20</f>
        <v>MKN 100-558</v>
      </c>
      <c r="B456" s="27" t="str">
        <f>'[2]15'!B20</f>
        <v>POLYCRYALMIDE GELLING AGENT</v>
      </c>
      <c r="C456" s="29" t="str">
        <f>'[2]15'!C20</f>
        <v>LBS</v>
      </c>
      <c r="D456" s="29">
        <f>'[2]15'!D20</f>
        <v>32</v>
      </c>
      <c r="E456" s="114"/>
      <c r="F456" s="114"/>
    </row>
    <row r="457" spans="1:6" x14ac:dyDescent="0.25">
      <c r="A457" s="26" t="str">
        <f>'[2]15'!A21</f>
        <v>MKN 100-559</v>
      </c>
      <c r="B457" s="27" t="str">
        <f>'[2]15'!B21</f>
        <v>CROSS-LINKER FOR OIL GELLANT</v>
      </c>
      <c r="C457" s="29" t="str">
        <f>'[2]15'!C21</f>
        <v>USG</v>
      </c>
      <c r="D457" s="29">
        <f>'[2]15'!D21</f>
        <v>113</v>
      </c>
      <c r="E457" s="114"/>
      <c r="F457" s="114"/>
    </row>
    <row r="458" spans="1:6" x14ac:dyDescent="0.25">
      <c r="A458" s="26" t="str">
        <f>'[2]15'!A22</f>
        <v>MKN 100-560</v>
      </c>
      <c r="B458" s="27" t="str">
        <f>'[2]15'!B22</f>
        <v>PHOSPHATE ESTER GELLING AGENT</v>
      </c>
      <c r="C458" s="29" t="str">
        <f>'[2]15'!C22</f>
        <v>USG</v>
      </c>
      <c r="D458" s="29">
        <f>'[2]15'!D22</f>
        <v>99</v>
      </c>
      <c r="E458" s="114"/>
      <c r="F458" s="114"/>
    </row>
    <row r="459" spans="1:6" ht="6" customHeight="1" x14ac:dyDescent="0.25">
      <c r="A459" s="112"/>
      <c r="B459" s="113"/>
      <c r="C459" s="114"/>
      <c r="D459" s="114"/>
      <c r="E459" s="114"/>
      <c r="F459" s="114"/>
    </row>
    <row r="460" spans="1:6" ht="15.95" customHeight="1" x14ac:dyDescent="0.25">
      <c r="A460" s="115" t="s">
        <v>423</v>
      </c>
      <c r="B460" s="116"/>
      <c r="C460" s="117"/>
      <c r="D460" s="117"/>
      <c r="E460" s="117"/>
      <c r="F460" s="117"/>
    </row>
    <row r="461" spans="1:6" x14ac:dyDescent="0.25">
      <c r="A461" s="118" t="s">
        <v>7</v>
      </c>
      <c r="B461" s="118" t="s">
        <v>8</v>
      </c>
      <c r="C461" s="119" t="s">
        <v>404</v>
      </c>
      <c r="D461" s="119" t="s">
        <v>344</v>
      </c>
      <c r="E461" s="120"/>
      <c r="F461" s="120"/>
    </row>
    <row r="462" spans="1:6" x14ac:dyDescent="0.25">
      <c r="A462" s="22" t="str">
        <f>'[2]15'!A26</f>
        <v>MKN 100-561</v>
      </c>
      <c r="B462" s="23" t="str">
        <f>'[2]15'!B26</f>
        <v>CORROSION INHIBITOR MT</v>
      </c>
      <c r="C462" s="25" t="str">
        <f>'[2]15'!C26</f>
        <v>USG</v>
      </c>
      <c r="D462" s="25">
        <f>'[2]15'!D26</f>
        <v>130</v>
      </c>
      <c r="E462" s="114"/>
      <c r="F462" s="114"/>
    </row>
    <row r="463" spans="1:6" x14ac:dyDescent="0.25">
      <c r="A463" s="26" t="str">
        <f>'[2]15'!A27</f>
        <v>MKN 100-562</v>
      </c>
      <c r="B463" s="27" t="str">
        <f>'[2]15'!B27</f>
        <v>CORROSION INHIBITOR HT</v>
      </c>
      <c r="C463" s="29" t="str">
        <f>'[2]15'!C27</f>
        <v>USG</v>
      </c>
      <c r="D463" s="29">
        <f>'[2]15'!D27</f>
        <v>129</v>
      </c>
      <c r="E463" s="114"/>
      <c r="F463" s="114"/>
    </row>
    <row r="464" spans="1:6" ht="6" customHeight="1" x14ac:dyDescent="0.25">
      <c r="A464" s="112"/>
      <c r="B464" s="113"/>
      <c r="C464" s="114"/>
      <c r="D464" s="114"/>
      <c r="E464" s="114"/>
      <c r="F464" s="114"/>
    </row>
    <row r="465" spans="1:6" ht="15.95" customHeight="1" x14ac:dyDescent="0.25">
      <c r="A465" s="115" t="s">
        <v>424</v>
      </c>
      <c r="B465" s="116"/>
      <c r="C465" s="117"/>
      <c r="D465" s="117"/>
      <c r="E465" s="117"/>
      <c r="F465" s="117"/>
    </row>
    <row r="466" spans="1:6" x14ac:dyDescent="0.25">
      <c r="A466" s="118" t="s">
        <v>7</v>
      </c>
      <c r="B466" s="118" t="s">
        <v>8</v>
      </c>
      <c r="C466" s="119" t="s">
        <v>404</v>
      </c>
      <c r="D466" s="119" t="s">
        <v>344</v>
      </c>
      <c r="E466" s="120"/>
      <c r="F466" s="120"/>
    </row>
    <row r="467" spans="1:6" x14ac:dyDescent="0.25">
      <c r="A467" s="22" t="str">
        <f>'[2]15'!A31</f>
        <v>MKN 100-563</v>
      </c>
      <c r="B467" s="23" t="str">
        <f>'[2]15'!B31</f>
        <v>INHIBITOR INTENSIFIER</v>
      </c>
      <c r="C467" s="25" t="str">
        <f>'[2]15'!C31</f>
        <v>USG</v>
      </c>
      <c r="D467" s="25">
        <f>'[2]15'!D31</f>
        <v>89</v>
      </c>
      <c r="E467" s="114"/>
      <c r="F467" s="114"/>
    </row>
    <row r="468" spans="1:6" x14ac:dyDescent="0.25">
      <c r="A468" s="26" t="str">
        <f>'[2]15'!A32</f>
        <v>MKN 100-564</v>
      </c>
      <c r="B468" s="27" t="str">
        <f>'[2]15'!B32</f>
        <v>INHIBITOR INTENSIFIER</v>
      </c>
      <c r="C468" s="29" t="str">
        <f>'[2]15'!C32</f>
        <v>LBS</v>
      </c>
      <c r="D468" s="29">
        <f>'[2]15'!D32</f>
        <v>89</v>
      </c>
      <c r="E468" s="114"/>
      <c r="F468" s="114"/>
    </row>
    <row r="469" spans="1:6" ht="6" customHeight="1" x14ac:dyDescent="0.25">
      <c r="A469" s="112"/>
      <c r="B469" s="113"/>
      <c r="C469" s="114"/>
      <c r="D469" s="114"/>
      <c r="E469" s="114"/>
      <c r="F469" s="114"/>
    </row>
    <row r="470" spans="1:6" ht="15.95" customHeight="1" x14ac:dyDescent="0.25">
      <c r="A470" s="115" t="s">
        <v>425</v>
      </c>
      <c r="B470" s="116"/>
      <c r="C470" s="117"/>
      <c r="D470" s="117"/>
      <c r="E470" s="117"/>
      <c r="F470" s="117"/>
    </row>
    <row r="471" spans="1:6" x14ac:dyDescent="0.25">
      <c r="A471" s="118" t="s">
        <v>7</v>
      </c>
      <c r="B471" s="118" t="s">
        <v>8</v>
      </c>
      <c r="C471" s="119" t="s">
        <v>404</v>
      </c>
      <c r="D471" s="119" t="s">
        <v>344</v>
      </c>
      <c r="E471" s="120"/>
      <c r="F471" s="120"/>
    </row>
    <row r="472" spans="1:6" x14ac:dyDescent="0.25">
      <c r="A472" s="22" t="str">
        <f>'[2]15'!A36</f>
        <v>MKN 100-565</v>
      </c>
      <c r="B472" s="23" t="str">
        <f>'[2]15'!B36</f>
        <v>SURFACTANT</v>
      </c>
      <c r="C472" s="25" t="str">
        <f>'[2]15'!C36</f>
        <v>USG</v>
      </c>
      <c r="D472" s="25">
        <f>'[2]15'!D36</f>
        <v>88.3</v>
      </c>
      <c r="E472" s="114"/>
      <c r="F472" s="114"/>
    </row>
    <row r="473" spans="1:6" ht="6" customHeight="1" x14ac:dyDescent="0.25">
      <c r="A473" s="112"/>
      <c r="B473" s="113"/>
      <c r="C473" s="114"/>
      <c r="D473" s="114"/>
      <c r="E473" s="114"/>
      <c r="F473" s="114"/>
    </row>
    <row r="474" spans="1:6" ht="15.95" customHeight="1" x14ac:dyDescent="0.25">
      <c r="A474" s="115" t="s">
        <v>426</v>
      </c>
      <c r="B474" s="116"/>
      <c r="C474" s="117"/>
      <c r="D474" s="117"/>
      <c r="E474" s="117"/>
      <c r="F474" s="117"/>
    </row>
    <row r="475" spans="1:6" x14ac:dyDescent="0.25">
      <c r="A475" s="118" t="s">
        <v>7</v>
      </c>
      <c r="B475" s="118" t="s">
        <v>8</v>
      </c>
      <c r="C475" s="119" t="s">
        <v>404</v>
      </c>
      <c r="D475" s="119" t="s">
        <v>344</v>
      </c>
      <c r="E475" s="120"/>
      <c r="F475" s="120"/>
    </row>
    <row r="476" spans="1:6" x14ac:dyDescent="0.25">
      <c r="A476" s="22" t="str">
        <f>'[2]15'!A40</f>
        <v>MKN 100-566</v>
      </c>
      <c r="B476" s="23" t="str">
        <f>'[2]15'!B40</f>
        <v>OIL SOLUBLE RESIN LIQUID</v>
      </c>
      <c r="C476" s="25" t="str">
        <f>'[2]15'!C40</f>
        <v>USG</v>
      </c>
      <c r="D476" s="25">
        <f>'[2]15'!D40</f>
        <v>91</v>
      </c>
      <c r="E476" s="114"/>
      <c r="F476" s="114"/>
    </row>
    <row r="477" spans="1:6" x14ac:dyDescent="0.25">
      <c r="A477" s="26" t="str">
        <f>'[2]15'!A41</f>
        <v>MKN 100-567</v>
      </c>
      <c r="B477" s="27" t="str">
        <f>'[2]15'!B41</f>
        <v>OIL SOLUBLE RESIN/NATURAL GUM MIXTURE</v>
      </c>
      <c r="C477" s="29" t="str">
        <f>'[2]15'!C41</f>
        <v>LBS</v>
      </c>
      <c r="D477" s="29">
        <f>'[2]15'!D41</f>
        <v>13</v>
      </c>
      <c r="E477" s="114"/>
      <c r="F477" s="114"/>
    </row>
    <row r="478" spans="1:6" x14ac:dyDescent="0.25">
      <c r="A478" s="26" t="str">
        <f>'[2]15'!A42</f>
        <v>MKN 100-568</v>
      </c>
      <c r="B478" s="27" t="str">
        <f>'[2]15'!B42</f>
        <v>PARTICULATE FLUID LOSS</v>
      </c>
      <c r="C478" s="29" t="str">
        <f>'[2]15'!C42</f>
        <v>LBS</v>
      </c>
      <c r="D478" s="29">
        <f>'[2]15'!D42</f>
        <v>44</v>
      </c>
      <c r="E478" s="114"/>
      <c r="F478" s="114"/>
    </row>
    <row r="479" spans="1:6" ht="6" customHeight="1" x14ac:dyDescent="0.25">
      <c r="A479" s="112"/>
      <c r="B479" s="113"/>
      <c r="C479" s="114"/>
      <c r="D479" s="114"/>
      <c r="E479" s="114"/>
      <c r="F479" s="114"/>
    </row>
    <row r="480" spans="1:6" ht="15.95" customHeight="1" x14ac:dyDescent="0.25">
      <c r="A480" s="115" t="s">
        <v>427</v>
      </c>
      <c r="B480" s="116"/>
      <c r="C480" s="117"/>
      <c r="D480" s="117"/>
      <c r="E480" s="117"/>
      <c r="F480" s="117"/>
    </row>
    <row r="481" spans="1:6" x14ac:dyDescent="0.25">
      <c r="A481" s="118" t="s">
        <v>7</v>
      </c>
      <c r="B481" s="118" t="s">
        <v>8</v>
      </c>
      <c r="C481" s="119" t="s">
        <v>404</v>
      </c>
      <c r="D481" s="119" t="s">
        <v>344</v>
      </c>
      <c r="E481" s="120"/>
      <c r="F481" s="120"/>
    </row>
    <row r="482" spans="1:6" x14ac:dyDescent="0.25">
      <c r="A482" s="22" t="str">
        <f>'[2]16'!A4</f>
        <v>MKN 100-569</v>
      </c>
      <c r="B482" s="23" t="str">
        <f>'[2]16'!B4</f>
        <v>FRICTION REDUCER</v>
      </c>
      <c r="C482" s="25" t="str">
        <f>'[2]16'!C4</f>
        <v>USG</v>
      </c>
      <c r="D482" s="25">
        <f>'[2]16'!D4</f>
        <v>93</v>
      </c>
      <c r="E482" s="114"/>
      <c r="F482" s="114"/>
    </row>
    <row r="483" spans="1:6" x14ac:dyDescent="0.25">
      <c r="A483" s="26" t="str">
        <f>'[2]16'!A5</f>
        <v>MKN 100-570</v>
      </c>
      <c r="B483" s="27" t="str">
        <f>'[2]16'!B5</f>
        <v>POLYCRYAMIDE COPOLYMER</v>
      </c>
      <c r="C483" s="29" t="str">
        <f>'[2]16'!C5</f>
        <v>USG</v>
      </c>
      <c r="D483" s="29">
        <f>'[2]16'!D5</f>
        <v>132</v>
      </c>
      <c r="E483" s="114"/>
      <c r="F483" s="114"/>
    </row>
    <row r="484" spans="1:6" x14ac:dyDescent="0.25">
      <c r="A484" s="26" t="str">
        <f>'[2]16'!A6</f>
        <v>MKN 100-571</v>
      </c>
      <c r="B484" s="27" t="str">
        <f>'[2]16'!B6</f>
        <v>POLYCRYAMIDE FRICTION REDUCER FOR ACID</v>
      </c>
      <c r="C484" s="29" t="str">
        <f>'[2]16'!C6</f>
        <v>USG</v>
      </c>
      <c r="D484" s="29">
        <f>'[2]16'!D6</f>
        <v>125</v>
      </c>
      <c r="E484" s="114"/>
      <c r="F484" s="114"/>
    </row>
    <row r="485" spans="1:6" ht="6" customHeight="1" x14ac:dyDescent="0.25">
      <c r="A485" s="112"/>
      <c r="B485" s="113"/>
      <c r="C485" s="114"/>
      <c r="D485" s="114"/>
      <c r="E485" s="114"/>
      <c r="F485" s="114"/>
    </row>
    <row r="486" spans="1:6" ht="15.95" customHeight="1" x14ac:dyDescent="0.25">
      <c r="A486" s="115" t="s">
        <v>428</v>
      </c>
      <c r="B486" s="116"/>
      <c r="C486" s="117"/>
      <c r="D486" s="117"/>
      <c r="E486" s="117"/>
      <c r="F486" s="117"/>
    </row>
    <row r="487" spans="1:6" x14ac:dyDescent="0.25">
      <c r="A487" s="118" t="s">
        <v>7</v>
      </c>
      <c r="B487" s="118" t="s">
        <v>8</v>
      </c>
      <c r="C487" s="119" t="s">
        <v>404</v>
      </c>
      <c r="D487" s="119" t="s">
        <v>344</v>
      </c>
      <c r="E487" s="120"/>
      <c r="F487" s="120"/>
    </row>
    <row r="488" spans="1:6" x14ac:dyDescent="0.25">
      <c r="A488" s="22" t="str">
        <f>'[2]16'!A10</f>
        <v>MKN 100-572</v>
      </c>
      <c r="B488" s="23" t="str">
        <f>'[2]16'!B10</f>
        <v>POWDER DIVERTING AGENT</v>
      </c>
      <c r="C488" s="25" t="str">
        <f>'[2]16'!C10</f>
        <v>LBS</v>
      </c>
      <c r="D488" s="25">
        <f>'[2]16'!D10</f>
        <v>24</v>
      </c>
      <c r="E488" s="114"/>
      <c r="F488" s="114"/>
    </row>
    <row r="489" spans="1:6" x14ac:dyDescent="0.25">
      <c r="A489" s="26" t="str">
        <f>'[2]16'!A11</f>
        <v>MKN 100-573</v>
      </c>
      <c r="B489" s="27" t="str">
        <f>'[2]16'!B11</f>
        <v>LIQUID DIVERTING AGENT</v>
      </c>
      <c r="C489" s="29" t="str">
        <f>'[2]16'!C11</f>
        <v>USG</v>
      </c>
      <c r="D489" s="29">
        <f>'[2]16'!D11</f>
        <v>88</v>
      </c>
      <c r="E489" s="114"/>
      <c r="F489" s="114"/>
    </row>
    <row r="490" spans="1:6" ht="6" customHeight="1" x14ac:dyDescent="0.25">
      <c r="A490" s="112"/>
      <c r="B490" s="113"/>
      <c r="C490" s="114"/>
      <c r="D490" s="114"/>
      <c r="E490" s="114"/>
      <c r="F490" s="114"/>
    </row>
    <row r="491" spans="1:6" ht="15.95" customHeight="1" x14ac:dyDescent="0.25">
      <c r="A491" s="115" t="s">
        <v>429</v>
      </c>
      <c r="B491" s="116"/>
      <c r="C491" s="117"/>
      <c r="D491" s="117"/>
      <c r="E491" s="117"/>
      <c r="F491" s="117"/>
    </row>
    <row r="492" spans="1:6" x14ac:dyDescent="0.25">
      <c r="A492" s="118" t="s">
        <v>7</v>
      </c>
      <c r="B492" s="118" t="s">
        <v>8</v>
      </c>
      <c r="C492" s="119" t="s">
        <v>404</v>
      </c>
      <c r="D492" s="119" t="s">
        <v>344</v>
      </c>
      <c r="E492" s="120"/>
      <c r="F492" s="120"/>
    </row>
    <row r="493" spans="1:6" x14ac:dyDescent="0.25">
      <c r="A493" s="22" t="str">
        <f>'[2]16'!A15</f>
        <v>MKN 100-574</v>
      </c>
      <c r="B493" s="23" t="str">
        <f>'[2]16'!B15</f>
        <v>CLAY STABILIZER</v>
      </c>
      <c r="C493" s="25" t="str">
        <f>'[2]16'!C15</f>
        <v>LBS</v>
      </c>
      <c r="D493" s="25">
        <f>'[2]16'!D15</f>
        <v>43</v>
      </c>
      <c r="E493" s="114"/>
      <c r="F493" s="114"/>
    </row>
    <row r="494" spans="1:6" x14ac:dyDescent="0.25">
      <c r="A494" s="26" t="str">
        <f>'[2]16'!A16</f>
        <v>MKN 100-575</v>
      </c>
      <c r="B494" s="27" t="str">
        <f>'[2]16'!B16</f>
        <v>POLYMRT CLAY CONTROL</v>
      </c>
      <c r="C494" s="29" t="str">
        <f>'[2]16'!C16</f>
        <v>USG</v>
      </c>
      <c r="D494" s="29">
        <f>'[2]16'!D16</f>
        <v>84</v>
      </c>
      <c r="E494" s="114"/>
      <c r="F494" s="114"/>
    </row>
    <row r="495" spans="1:6" x14ac:dyDescent="0.25">
      <c r="A495" s="26" t="str">
        <f>'[2]16'!A17</f>
        <v>MKN 100-576</v>
      </c>
      <c r="B495" s="27" t="str">
        <f>'[2]16'!B17</f>
        <v>CLAY STABILIZER</v>
      </c>
      <c r="C495" s="29" t="str">
        <f>'[2]16'!C17</f>
        <v>USG</v>
      </c>
      <c r="D495" s="29">
        <f>'[2]16'!D17</f>
        <v>84</v>
      </c>
      <c r="E495" s="114"/>
      <c r="F495" s="114"/>
    </row>
    <row r="496" spans="1:6" ht="6" customHeight="1" x14ac:dyDescent="0.25">
      <c r="A496" s="112"/>
      <c r="B496" s="113"/>
      <c r="C496" s="114"/>
      <c r="D496" s="114"/>
      <c r="E496" s="114"/>
      <c r="F496" s="114"/>
    </row>
    <row r="497" spans="1:6" ht="15.95" customHeight="1" x14ac:dyDescent="0.25">
      <c r="A497" s="115" t="s">
        <v>430</v>
      </c>
      <c r="B497" s="116"/>
      <c r="C497" s="117"/>
      <c r="D497" s="117"/>
      <c r="E497" s="117"/>
      <c r="F497" s="117"/>
    </row>
    <row r="498" spans="1:6" x14ac:dyDescent="0.25">
      <c r="A498" s="118" t="s">
        <v>7</v>
      </c>
      <c r="B498" s="118" t="s">
        <v>8</v>
      </c>
      <c r="C498" s="119" t="s">
        <v>404</v>
      </c>
      <c r="D498" s="119" t="s">
        <v>344</v>
      </c>
      <c r="E498" s="120"/>
      <c r="F498" s="120"/>
    </row>
    <row r="499" spans="1:6" x14ac:dyDescent="0.25">
      <c r="A499" s="22" t="str">
        <f>'[2]16'!A21</f>
        <v>MKN 100-577</v>
      </c>
      <c r="B499" s="23" t="str">
        <f>'[2]16'!B21</f>
        <v>PARAFFIN SOLVENT PS1</v>
      </c>
      <c r="C499" s="25" t="str">
        <f>'[2]16'!C21</f>
        <v>USG</v>
      </c>
      <c r="D499" s="25">
        <f>'[2]16'!D21</f>
        <v>77</v>
      </c>
      <c r="E499" s="114"/>
      <c r="F499" s="114"/>
    </row>
    <row r="500" spans="1:6" x14ac:dyDescent="0.25">
      <c r="A500" s="26" t="str">
        <f>'[2]16'!A22</f>
        <v>MKN 100-578</v>
      </c>
      <c r="B500" s="27" t="str">
        <f>'[2]16'!B22</f>
        <v>ASPHALTENE SOLVENT</v>
      </c>
      <c r="C500" s="29" t="str">
        <f>'[2]16'!C22</f>
        <v>USG</v>
      </c>
      <c r="D500" s="29">
        <f>'[2]16'!D22</f>
        <v>87</v>
      </c>
      <c r="E500" s="114"/>
      <c r="F500" s="114"/>
    </row>
    <row r="501" spans="1:6" ht="6" customHeight="1" x14ac:dyDescent="0.25">
      <c r="A501" s="112"/>
      <c r="B501" s="113"/>
      <c r="C501" s="114"/>
      <c r="D501" s="114"/>
      <c r="E501" s="114"/>
      <c r="F501" s="114"/>
    </row>
    <row r="502" spans="1:6" ht="15.95" customHeight="1" x14ac:dyDescent="0.25">
      <c r="A502" s="115" t="s">
        <v>431</v>
      </c>
      <c r="B502" s="116"/>
      <c r="C502" s="117"/>
      <c r="D502" s="117"/>
      <c r="E502" s="117"/>
      <c r="F502" s="117"/>
    </row>
    <row r="503" spans="1:6" x14ac:dyDescent="0.25">
      <c r="A503" s="118" t="s">
        <v>7</v>
      </c>
      <c r="B503" s="118" t="s">
        <v>8</v>
      </c>
      <c r="C503" s="119" t="s">
        <v>404</v>
      </c>
      <c r="D503" s="119" t="s">
        <v>344</v>
      </c>
      <c r="E503" s="120"/>
      <c r="F503" s="120"/>
    </row>
    <row r="504" spans="1:6" x14ac:dyDescent="0.25">
      <c r="A504" s="22" t="str">
        <f>'[2]16'!A26</f>
        <v>MKN 100-579</v>
      </c>
      <c r="B504" s="23" t="str">
        <f>'[2]16'!B26</f>
        <v>NON EMULSIFIER</v>
      </c>
      <c r="C504" s="25" t="str">
        <f>'[2]16'!C26</f>
        <v>USG</v>
      </c>
      <c r="D504" s="25">
        <f>'[2]16'!D26</f>
        <v>67</v>
      </c>
      <c r="E504" s="114"/>
      <c r="F504" s="114"/>
    </row>
    <row r="505" spans="1:6" x14ac:dyDescent="0.25">
      <c r="A505" s="26" t="str">
        <f>'[2]16'!A27</f>
        <v>MKN 100-580</v>
      </c>
      <c r="B505" s="27" t="str">
        <f>'[2]16'!B27</f>
        <v>ANTI SLUDGE</v>
      </c>
      <c r="C505" s="29" t="str">
        <f>'[2]16'!C27</f>
        <v>USG</v>
      </c>
      <c r="D505" s="29">
        <f>'[2]16'!D27</f>
        <v>64</v>
      </c>
      <c r="E505" s="114"/>
      <c r="F505" s="114"/>
    </row>
    <row r="506" spans="1:6" ht="6" customHeight="1" x14ac:dyDescent="0.25">
      <c r="A506" s="112"/>
      <c r="B506" s="113"/>
      <c r="C506" s="114"/>
      <c r="D506" s="114"/>
      <c r="E506" s="114"/>
      <c r="F506" s="114"/>
    </row>
    <row r="507" spans="1:6" ht="21.95" customHeight="1" thickBot="1" x14ac:dyDescent="0.3">
      <c r="A507" s="10" t="s">
        <v>432</v>
      </c>
      <c r="B507" s="11"/>
      <c r="C507" s="13"/>
      <c r="D507" s="13"/>
      <c r="E507" s="13"/>
      <c r="F507" s="14" t="s">
        <v>5</v>
      </c>
    </row>
    <row r="508" spans="1:6" ht="6" customHeight="1" thickTop="1" x14ac:dyDescent="0.25">
      <c r="A508" s="112"/>
      <c r="B508" s="113"/>
      <c r="C508" s="114"/>
      <c r="D508" s="114"/>
      <c r="E508" s="114"/>
      <c r="F508" s="114"/>
    </row>
    <row r="509" spans="1:6" ht="15.95" customHeight="1" x14ac:dyDescent="0.25">
      <c r="A509" s="115" t="s">
        <v>433</v>
      </c>
      <c r="B509" s="116"/>
      <c r="C509" s="117"/>
      <c r="D509" s="117"/>
      <c r="E509" s="117"/>
      <c r="F509" s="117"/>
    </row>
    <row r="510" spans="1:6" x14ac:dyDescent="0.25">
      <c r="A510" s="118" t="s">
        <v>7</v>
      </c>
      <c r="B510" s="118" t="s">
        <v>8</v>
      </c>
      <c r="C510" s="119" t="s">
        <v>404</v>
      </c>
      <c r="D510" s="119" t="s">
        <v>344</v>
      </c>
      <c r="E510" s="120"/>
      <c r="F510" s="120"/>
    </row>
    <row r="511" spans="1:6" x14ac:dyDescent="0.25">
      <c r="A511" s="22" t="str">
        <f>'[2]17'!A5</f>
        <v>MKN100-581</v>
      </c>
      <c r="B511" s="23" t="str">
        <f>'[2]17'!B5</f>
        <v>Tubing (2-3/8" to 4-1/2") W/TRI/GRIP Backup</v>
      </c>
      <c r="C511" s="25" t="str">
        <f>'[2]17'!C5</f>
        <v>Per Day</v>
      </c>
      <c r="D511" s="25">
        <f>'[2]17'!D5</f>
        <v>1500</v>
      </c>
      <c r="E511" s="114"/>
      <c r="F511" s="114"/>
    </row>
    <row r="512" spans="1:6" x14ac:dyDescent="0.25">
      <c r="A512" s="26" t="str">
        <f>'[2]17'!A6</f>
        <v>MKN100-582</v>
      </c>
      <c r="B512" s="27" t="str">
        <f>'[2]17'!B6</f>
        <v>Casing (5" to 13-3/8")</v>
      </c>
      <c r="C512" s="29" t="str">
        <f>'[2]17'!C6</f>
        <v>Per Day</v>
      </c>
      <c r="D512" s="29">
        <f>'[2]17'!D6</f>
        <v>1750</v>
      </c>
      <c r="E512" s="114"/>
      <c r="F512" s="114"/>
    </row>
    <row r="513" spans="1:6" x14ac:dyDescent="0.25">
      <c r="A513" s="26" t="str">
        <f>'[2]17'!A7</f>
        <v>MKN100-583</v>
      </c>
      <c r="B513" s="27" t="str">
        <f>'[2]17'!B7</f>
        <v>Casing (16" to 20")</v>
      </c>
      <c r="C513" s="29" t="str">
        <f>'[2]17'!C7</f>
        <v>Per Day</v>
      </c>
      <c r="D513" s="29">
        <f>'[2]17'!D7</f>
        <v>1900</v>
      </c>
      <c r="E513" s="114"/>
      <c r="F513" s="114"/>
    </row>
    <row r="514" spans="1:6" x14ac:dyDescent="0.25">
      <c r="A514" s="26" t="str">
        <f>'[2]17'!A8</f>
        <v>MKN100-584</v>
      </c>
      <c r="B514" s="27" t="str">
        <f>'[2]17'!B8</f>
        <v>Toque Control Computer &amp; Analyzer</v>
      </c>
      <c r="C514" s="29" t="str">
        <f>'[2]17'!C8</f>
        <v>Per Day</v>
      </c>
      <c r="D514" s="29">
        <f>'[2]17'!D8</f>
        <v>950</v>
      </c>
      <c r="E514" s="114"/>
      <c r="F514" s="114"/>
    </row>
    <row r="515" spans="1:6" x14ac:dyDescent="0.25">
      <c r="A515" s="26" t="str">
        <f>'[2]17'!A9</f>
        <v>MKN100-585</v>
      </c>
      <c r="B515" s="27" t="str">
        <f>'[2]17'!B9</f>
        <v>Pickup / Lay Down Machine</v>
      </c>
      <c r="C515" s="29" t="str">
        <f>'[2]17'!C9</f>
        <v>Per Day</v>
      </c>
      <c r="D515" s="29">
        <f>'[2]17'!D9</f>
        <v>3500</v>
      </c>
      <c r="E515" s="114"/>
      <c r="F515" s="114"/>
    </row>
    <row r="516" spans="1:6" x14ac:dyDescent="0.25">
      <c r="A516" s="26" t="str">
        <f>'[2]17'!A10</f>
        <v>MKN100-586</v>
      </c>
      <c r="B516" s="27" t="str">
        <f>'[2]17'!B10</f>
        <v>Stabbing Guides (2-3/8" to 13-3/8")</v>
      </c>
      <c r="C516" s="29" t="str">
        <f>'[2]17'!C10</f>
        <v>Per Day</v>
      </c>
      <c r="D516" s="29">
        <f>'[2]17'!D10</f>
        <v>195</v>
      </c>
      <c r="E516" s="114"/>
      <c r="F516" s="114"/>
    </row>
    <row r="517" spans="1:6" x14ac:dyDescent="0.25">
      <c r="A517" s="26" t="str">
        <f>'[2]17'!A11</f>
        <v>MKN100-587</v>
      </c>
      <c r="B517" s="27" t="str">
        <f>'[2]17'!B11</f>
        <v>Hand Slips (2-3/8" to 13-3/8")</v>
      </c>
      <c r="C517" s="29" t="str">
        <f>'[2]17'!C11</f>
        <v>Per Day</v>
      </c>
      <c r="D517" s="29">
        <f>'[2]17'!D11</f>
        <v>170</v>
      </c>
      <c r="E517" s="114"/>
      <c r="F517" s="114"/>
    </row>
    <row r="518" spans="1:6" x14ac:dyDescent="0.25">
      <c r="A518" s="26" t="str">
        <f>'[2]17'!A12</f>
        <v>MKN100-588</v>
      </c>
      <c r="B518" s="27" t="str">
        <f>'[2]17'!B12</f>
        <v>Inflatable Thread Protectors (7" to 13-3/8")</v>
      </c>
      <c r="C518" s="29" t="str">
        <f>'[2]17'!C12</f>
        <v>Per Day</v>
      </c>
      <c r="D518" s="29">
        <f>'[2]17'!D12</f>
        <v>275</v>
      </c>
      <c r="E518" s="114"/>
      <c r="F518" s="114"/>
    </row>
    <row r="519" spans="1:6" x14ac:dyDescent="0.25">
      <c r="A519" s="26" t="str">
        <f>'[2]17'!A13</f>
        <v>MKN100-589</v>
      </c>
      <c r="B519" s="27" t="str">
        <f>'[2]17'!B13</f>
        <v>API Thread Compound 5 GL</v>
      </c>
      <c r="C519" s="29" t="str">
        <f>'[2]17'!C13</f>
        <v>*</v>
      </c>
      <c r="D519" s="29">
        <f>'[2]17'!D13</f>
        <v>450</v>
      </c>
      <c r="E519" s="114"/>
      <c r="F519" s="114"/>
    </row>
    <row r="520" spans="1:6" ht="6" customHeight="1" x14ac:dyDescent="0.25">
      <c r="A520" s="112"/>
      <c r="B520" s="113"/>
      <c r="C520" s="114"/>
      <c r="D520" s="114"/>
      <c r="E520" s="114"/>
      <c r="F520" s="114"/>
    </row>
    <row r="521" spans="1:6" ht="15.95" customHeight="1" x14ac:dyDescent="0.25">
      <c r="A521" s="115" t="s">
        <v>434</v>
      </c>
      <c r="B521" s="116"/>
      <c r="C521" s="117"/>
      <c r="D521" s="117"/>
      <c r="E521" s="117"/>
      <c r="F521" s="117"/>
    </row>
    <row r="522" spans="1:6" x14ac:dyDescent="0.25">
      <c r="A522" s="118" t="s">
        <v>7</v>
      </c>
      <c r="B522" s="118" t="s">
        <v>8</v>
      </c>
      <c r="C522" s="119" t="s">
        <v>404</v>
      </c>
      <c r="D522" s="119" t="s">
        <v>344</v>
      </c>
      <c r="E522" s="120"/>
      <c r="F522" s="120"/>
    </row>
    <row r="523" spans="1:6" x14ac:dyDescent="0.25">
      <c r="A523" s="22" t="str">
        <f>'[2]17'!A17</f>
        <v>MKN100-590</v>
      </c>
      <c r="B523" s="23" t="str">
        <f>'[2]17'!B17</f>
        <v>Tubing / Singles (2-3/8" to 4-1/2")</v>
      </c>
      <c r="C523" s="25">
        <f>'[2]17'!C17</f>
        <v>0.75</v>
      </c>
      <c r="D523" s="25">
        <f>'[2]17'!D17</f>
        <v>0.85</v>
      </c>
      <c r="E523" s="114"/>
      <c r="F523" s="114"/>
    </row>
    <row r="524" spans="1:6" x14ac:dyDescent="0.25">
      <c r="A524" s="26" t="str">
        <f>'[2]17'!A18</f>
        <v>MKN100-591</v>
      </c>
      <c r="B524" s="27" t="str">
        <f>'[2]17'!B18</f>
        <v>Tubing / Triples</v>
      </c>
      <c r="C524" s="29">
        <f>'[2]17'!C18</f>
        <v>0.9</v>
      </c>
      <c r="D524" s="29">
        <f>'[2]17'!D18</f>
        <v>1.5</v>
      </c>
      <c r="E524" s="114"/>
      <c r="F524" s="114"/>
    </row>
    <row r="525" spans="1:6" x14ac:dyDescent="0.25">
      <c r="A525" s="26" t="str">
        <f>'[2]17'!A19</f>
        <v>MKN100-592</v>
      </c>
      <c r="B525" s="27" t="str">
        <f>'[2]17'!B19</f>
        <v>Casing (5" to 13-3/8")</v>
      </c>
      <c r="C525" s="29">
        <f>'[2]17'!C19</f>
        <v>1.95</v>
      </c>
      <c r="D525" s="29">
        <f>'[2]17'!D19</f>
        <v>2.1</v>
      </c>
      <c r="E525" s="114"/>
      <c r="F525" s="114"/>
    </row>
    <row r="526" spans="1:6" x14ac:dyDescent="0.25">
      <c r="A526" s="26" t="str">
        <f>'[2]17'!A20</f>
        <v>MKN100-593</v>
      </c>
      <c r="B526" s="27" t="str">
        <f>'[2]17'!B20</f>
        <v>Casing (16" to 20")</v>
      </c>
      <c r="C526" s="29">
        <f>'[2]17'!C20</f>
        <v>2.5</v>
      </c>
      <c r="D526" s="29">
        <f>'[2]17'!D20</f>
        <v>3</v>
      </c>
      <c r="E526" s="114"/>
      <c r="F526" s="114"/>
    </row>
    <row r="527" spans="1:6" ht="6" customHeight="1" x14ac:dyDescent="0.25">
      <c r="A527" s="112"/>
      <c r="B527" s="113"/>
      <c r="C527" s="114"/>
      <c r="D527" s="114"/>
      <c r="E527" s="114"/>
      <c r="F527" s="114"/>
    </row>
    <row r="528" spans="1:6" ht="15.95" customHeight="1" x14ac:dyDescent="0.25">
      <c r="A528" s="115" t="s">
        <v>435</v>
      </c>
      <c r="B528" s="116"/>
      <c r="C528" s="117"/>
      <c r="D528" s="117"/>
      <c r="E528" s="117"/>
      <c r="F528" s="117"/>
    </row>
    <row r="529" spans="1:6" x14ac:dyDescent="0.25">
      <c r="A529" s="118" t="s">
        <v>7</v>
      </c>
      <c r="B529" s="118" t="s">
        <v>8</v>
      </c>
      <c r="C529" s="119" t="s">
        <v>404</v>
      </c>
      <c r="D529" s="119" t="s">
        <v>344</v>
      </c>
      <c r="E529" s="120"/>
      <c r="F529" s="120"/>
    </row>
    <row r="530" spans="1:6" x14ac:dyDescent="0.25">
      <c r="A530" s="22" t="str">
        <f>'[2]17'!A24</f>
        <v>MKN100-596</v>
      </c>
      <c r="B530" s="23" t="str">
        <f>'[2]17'!B24</f>
        <v>Computer Operator</v>
      </c>
      <c r="C530" s="25" t="str">
        <f>'[2]17'!C24</f>
        <v>Per Day</v>
      </c>
      <c r="D530" s="25">
        <f>'[2]17'!D24</f>
        <v>950</v>
      </c>
      <c r="E530" s="114"/>
      <c r="F530" s="114"/>
    </row>
    <row r="531" spans="1:6" x14ac:dyDescent="0.25">
      <c r="A531" s="26" t="str">
        <f>'[2]17'!A25</f>
        <v>MKN100-597</v>
      </c>
      <c r="B531" s="27" t="str">
        <f>'[2]17'!B25</f>
        <v>Tong Operator</v>
      </c>
      <c r="C531" s="29" t="str">
        <f>'[2]17'!C25</f>
        <v>Per Day</v>
      </c>
      <c r="D531" s="29">
        <f>'[2]17'!D25</f>
        <v>1200</v>
      </c>
      <c r="E531" s="114"/>
      <c r="F531" s="114"/>
    </row>
    <row r="532" spans="1:6" x14ac:dyDescent="0.25">
      <c r="A532" s="26" t="str">
        <f>'[2]17'!A26</f>
        <v>MKN100-598</v>
      </c>
      <c r="B532" s="27" t="str">
        <f>'[2]17'!B26</f>
        <v>Tong Operator Assistance</v>
      </c>
      <c r="C532" s="29" t="str">
        <f>'[2]17'!C26</f>
        <v>Per Day</v>
      </c>
      <c r="D532" s="29">
        <f>'[2]17'!D26</f>
        <v>850</v>
      </c>
      <c r="E532" s="114"/>
      <c r="F532" s="114"/>
    </row>
    <row r="533" spans="1:6" x14ac:dyDescent="0.25">
      <c r="A533" s="26" t="str">
        <f>'[2]17'!A27</f>
        <v>MKN100-599</v>
      </c>
      <c r="B533" s="27" t="str">
        <f>'[2]17'!B27</f>
        <v>Stabber</v>
      </c>
      <c r="C533" s="29" t="str">
        <f>'[2]17'!C27</f>
        <v>Per Day</v>
      </c>
      <c r="D533" s="29">
        <f>'[2]17'!D27</f>
        <v>1100</v>
      </c>
      <c r="E533" s="114"/>
      <c r="F533" s="114"/>
    </row>
    <row r="534" spans="1:6" ht="6" customHeight="1" x14ac:dyDescent="0.25">
      <c r="A534" s="112"/>
      <c r="B534" s="113"/>
      <c r="C534" s="114"/>
      <c r="D534" s="114"/>
      <c r="E534" s="114"/>
      <c r="F534" s="114"/>
    </row>
    <row r="535" spans="1:6" ht="15.95" customHeight="1" x14ac:dyDescent="0.25">
      <c r="A535" s="115" t="s">
        <v>436</v>
      </c>
      <c r="B535" s="116"/>
      <c r="C535" s="117"/>
      <c r="D535" s="117"/>
      <c r="E535" s="117"/>
      <c r="F535" s="117"/>
    </row>
    <row r="536" spans="1:6" x14ac:dyDescent="0.25">
      <c r="A536" s="118" t="s">
        <v>7</v>
      </c>
      <c r="B536" s="118" t="s">
        <v>8</v>
      </c>
      <c r="C536" s="119" t="s">
        <v>404</v>
      </c>
      <c r="D536" s="119" t="s">
        <v>344</v>
      </c>
      <c r="E536" s="120"/>
      <c r="F536" s="120"/>
    </row>
    <row r="537" spans="1:6" x14ac:dyDescent="0.25">
      <c r="A537" s="22" t="str">
        <f>'[2]17'!A31</f>
        <v>MKN100-600</v>
      </c>
      <c r="B537" s="23" t="str">
        <f>'[2]17'!B31</f>
        <v>Equipment</v>
      </c>
      <c r="C537" s="25" t="str">
        <f>'[2]17'!C31</f>
        <v>Per Day</v>
      </c>
      <c r="D537" s="25">
        <f>'[2]17'!D31</f>
        <v>3500</v>
      </c>
      <c r="E537" s="114"/>
      <c r="F537" s="114"/>
    </row>
    <row r="538" spans="1:6" x14ac:dyDescent="0.25">
      <c r="A538" s="26" t="str">
        <f>'[2]17'!A32</f>
        <v>MKN100-601</v>
      </c>
      <c r="B538" s="27" t="str">
        <f>'[2]17'!B32</f>
        <v>Personnel</v>
      </c>
      <c r="C538" s="29" t="str">
        <f>'[2]17'!C32</f>
        <v>Per Day</v>
      </c>
      <c r="D538" s="29">
        <f>'[2]17'!D32</f>
        <v>3000</v>
      </c>
      <c r="E538" s="114"/>
      <c r="F538" s="114"/>
    </row>
    <row r="539" spans="1:6" ht="6" customHeight="1" x14ac:dyDescent="0.25">
      <c r="A539" s="112"/>
      <c r="B539" s="113"/>
      <c r="C539" s="114"/>
      <c r="D539" s="114"/>
      <c r="E539" s="114"/>
      <c r="F539" s="114"/>
    </row>
    <row r="540" spans="1:6" ht="15.95" customHeight="1" x14ac:dyDescent="0.25">
      <c r="A540" s="115" t="s">
        <v>437</v>
      </c>
      <c r="B540" s="116"/>
      <c r="C540" s="117"/>
      <c r="D540" s="117"/>
      <c r="E540" s="117"/>
      <c r="F540" s="117"/>
    </row>
    <row r="541" spans="1:6" x14ac:dyDescent="0.25">
      <c r="A541" s="118" t="s">
        <v>7</v>
      </c>
      <c r="B541" s="118" t="s">
        <v>8</v>
      </c>
      <c r="C541" s="119" t="s">
        <v>344</v>
      </c>
      <c r="D541" s="120"/>
      <c r="E541" s="120"/>
      <c r="F541" s="120"/>
    </row>
    <row r="542" spans="1:6" ht="24" x14ac:dyDescent="0.25">
      <c r="A542" s="22" t="str">
        <f>'[2]17'!A36</f>
        <v>MKN100-634</v>
      </c>
      <c r="B542" s="23" t="str">
        <f>'[2]17'!B36</f>
        <v>Inflatable thread protectors damaged beyond repair</v>
      </c>
      <c r="C542" s="25">
        <f>'[2]17'!C36</f>
        <v>1500</v>
      </c>
      <c r="D542" s="114"/>
      <c r="E542" s="114"/>
      <c r="F542" s="114"/>
    </row>
    <row r="543" spans="1:6" ht="36" x14ac:dyDescent="0.25">
      <c r="A543" s="26" t="str">
        <f>'[2]17'!A37</f>
        <v>MKN100-635</v>
      </c>
      <c r="B543" s="27" t="str">
        <f>'[2]17'!B37</f>
        <v>When called to location &amp; no job is run for circumstances beyond Makaman Libya Company's control. Minimum charge plus transportation</v>
      </c>
      <c r="C543" s="29">
        <f>'[2]17'!C37</f>
        <v>9750</v>
      </c>
      <c r="D543" s="114"/>
      <c r="E543" s="114"/>
      <c r="F543" s="114"/>
    </row>
    <row r="544" spans="1:6" ht="6" customHeight="1" x14ac:dyDescent="0.25">
      <c r="A544" s="112"/>
      <c r="B544" s="113"/>
      <c r="C544" s="114"/>
      <c r="D544" s="114"/>
      <c r="E544" s="114"/>
      <c r="F544" s="114"/>
    </row>
    <row r="545" spans="1:6" ht="21.95" customHeight="1" thickBot="1" x14ac:dyDescent="0.3">
      <c r="A545" s="10" t="s">
        <v>438</v>
      </c>
      <c r="B545" s="11"/>
      <c r="C545" s="13"/>
      <c r="D545" s="13"/>
      <c r="E545" s="13"/>
      <c r="F545" s="14" t="s">
        <v>5</v>
      </c>
    </row>
    <row r="546" spans="1:6" ht="6" customHeight="1" thickTop="1" x14ac:dyDescent="0.25">
      <c r="A546" s="112"/>
      <c r="B546" s="113"/>
      <c r="C546" s="114"/>
      <c r="D546" s="114"/>
      <c r="E546" s="114"/>
      <c r="F546" s="114"/>
    </row>
    <row r="547" spans="1:6" ht="15.95" customHeight="1" x14ac:dyDescent="0.25">
      <c r="A547" s="115" t="s">
        <v>439</v>
      </c>
      <c r="B547" s="116"/>
      <c r="C547" s="117"/>
      <c r="D547" s="117"/>
      <c r="E547" s="117"/>
      <c r="F547" s="117"/>
    </row>
    <row r="548" spans="1:6" x14ac:dyDescent="0.25">
      <c r="A548" s="118" t="s">
        <v>7</v>
      </c>
      <c r="B548" s="118" t="s">
        <v>8</v>
      </c>
      <c r="C548" s="119" t="s">
        <v>440</v>
      </c>
      <c r="D548" s="119" t="s">
        <v>441</v>
      </c>
      <c r="E548" s="119" t="s">
        <v>442</v>
      </c>
      <c r="F548" s="119" t="s">
        <v>443</v>
      </c>
    </row>
    <row r="549" spans="1:6" x14ac:dyDescent="0.25">
      <c r="A549" s="22" t="str">
        <f>'[2]18'!A7</f>
        <v>MKN100-594</v>
      </c>
      <c r="B549" s="23" t="str">
        <f>'[2]18'!B7</f>
        <v>Redress Kit for Mechanical Packer</v>
      </c>
      <c r="C549" s="25">
        <f>'[2]18'!C7</f>
        <v>4100</v>
      </c>
      <c r="D549" s="25">
        <f>'[2]18'!D7</f>
        <v>3250</v>
      </c>
      <c r="E549" s="25">
        <f>'[2]18'!E7</f>
        <v>2750</v>
      </c>
      <c r="F549" s="25">
        <f>'[2]18'!F7</f>
        <v>2710</v>
      </c>
    </row>
    <row r="550" spans="1:6" x14ac:dyDescent="0.25">
      <c r="A550" s="26" t="str">
        <f>'[2]18'!A8</f>
        <v>MKN100-595</v>
      </c>
      <c r="B550" s="27" t="str">
        <f>'[2]18'!B8</f>
        <v>Redress Kit for Hydraulic Packer</v>
      </c>
      <c r="C550" s="29">
        <f>'[2]18'!C8</f>
        <v>3900</v>
      </c>
      <c r="D550" s="29">
        <f>'[2]18'!D8</f>
        <v>3600</v>
      </c>
      <c r="E550" s="29">
        <f>'[2]18'!E8</f>
        <v>3250</v>
      </c>
      <c r="F550" s="29">
        <f>'[2]18'!F8</f>
        <v>3200</v>
      </c>
    </row>
    <row r="551" spans="1:6" ht="6" customHeight="1" x14ac:dyDescent="0.25">
      <c r="A551" s="112"/>
      <c r="B551" s="113"/>
      <c r="C551" s="114"/>
      <c r="D551" s="114"/>
      <c r="E551" s="114"/>
      <c r="F551" s="114"/>
    </row>
    <row r="552" spans="1:6" ht="21.95" customHeight="1" thickBot="1" x14ac:dyDescent="0.3">
      <c r="A552" s="10" t="s">
        <v>444</v>
      </c>
      <c r="B552" s="11"/>
      <c r="C552" s="13"/>
      <c r="D552" s="13"/>
      <c r="E552" s="13"/>
      <c r="F552" s="14" t="s">
        <v>5</v>
      </c>
    </row>
    <row r="553" spans="1:6" ht="6" customHeight="1" thickTop="1" x14ac:dyDescent="0.25">
      <c r="A553" s="112"/>
      <c r="B553" s="113"/>
      <c r="C553" s="114"/>
      <c r="D553" s="114"/>
      <c r="E553" s="114"/>
      <c r="F553" s="114"/>
    </row>
    <row r="554" spans="1:6" ht="15.95" customHeight="1" x14ac:dyDescent="0.25">
      <c r="A554" s="115" t="s">
        <v>445</v>
      </c>
      <c r="B554" s="116"/>
      <c r="C554" s="117"/>
      <c r="D554" s="117"/>
      <c r="E554" s="117"/>
      <c r="F554" s="117"/>
    </row>
    <row r="555" spans="1:6" x14ac:dyDescent="0.25">
      <c r="A555" s="118" t="s">
        <v>7</v>
      </c>
      <c r="B555" s="118" t="s">
        <v>8</v>
      </c>
      <c r="C555" s="119" t="s">
        <v>344</v>
      </c>
      <c r="D555" s="120"/>
      <c r="E555" s="120"/>
      <c r="F555" s="120"/>
    </row>
    <row r="556" spans="1:6" x14ac:dyDescent="0.25">
      <c r="A556" s="22" t="str">
        <f>'[2]19'!A9</f>
        <v>MKN100-602</v>
      </c>
      <c r="B556" s="23" t="str">
        <f>'[2]19'!B9</f>
        <v>7", 8-rd</v>
      </c>
      <c r="C556" s="25">
        <f>'[2]19'!C9</f>
        <v>4400</v>
      </c>
      <c r="D556" s="114"/>
      <c r="E556" s="114"/>
      <c r="F556" s="114"/>
    </row>
    <row r="557" spans="1:6" x14ac:dyDescent="0.25">
      <c r="A557" s="26" t="str">
        <f>'[2]19'!A10</f>
        <v>MKN100-603</v>
      </c>
      <c r="B557" s="27" t="str">
        <f>'[2]19'!B10</f>
        <v>7", BTC</v>
      </c>
      <c r="C557" s="29">
        <f>'[2]19'!C10</f>
        <v>4750</v>
      </c>
      <c r="D557" s="114"/>
      <c r="E557" s="114"/>
      <c r="F557" s="114"/>
    </row>
    <row r="558" spans="1:6" x14ac:dyDescent="0.25">
      <c r="A558" s="26" t="str">
        <f>'[2]19'!A11</f>
        <v>MKN100-604</v>
      </c>
      <c r="B558" s="27" t="str">
        <f>'[2]19'!B11</f>
        <v>9 5/8", 8-rd</v>
      </c>
      <c r="C558" s="29">
        <f>'[2]19'!C11</f>
        <v>5800</v>
      </c>
      <c r="D558" s="114"/>
      <c r="E558" s="114"/>
      <c r="F558" s="114"/>
    </row>
    <row r="559" spans="1:6" x14ac:dyDescent="0.25">
      <c r="A559" s="26" t="str">
        <f>'[2]19'!A12</f>
        <v>MKN100-605</v>
      </c>
      <c r="B559" s="27" t="str">
        <f>'[2]19'!B12</f>
        <v>13 3/8", 8-rd</v>
      </c>
      <c r="C559" s="29">
        <f>'[2]19'!C12</f>
        <v>7500</v>
      </c>
      <c r="D559" s="114"/>
      <c r="E559" s="114"/>
      <c r="F559" s="114"/>
    </row>
    <row r="560" spans="1:6" x14ac:dyDescent="0.25">
      <c r="A560" s="26" t="str">
        <f>'[2]19'!A13</f>
        <v>MKN100-606</v>
      </c>
      <c r="B560" s="27" t="str">
        <f>'[2]19'!B13</f>
        <v>13 3/8", Buttress K-55 63-73 PPF</v>
      </c>
      <c r="C560" s="29">
        <f>'[2]19'!C13</f>
        <v>8500</v>
      </c>
      <c r="D560" s="114"/>
      <c r="E560" s="114"/>
      <c r="F560" s="114"/>
    </row>
    <row r="561" spans="1:6" x14ac:dyDescent="0.25">
      <c r="A561" s="26" t="str">
        <f>'[2]19'!A14</f>
        <v>MKN100-607</v>
      </c>
      <c r="B561" s="27" t="str">
        <f>'[2]19'!B14</f>
        <v>18 5/8" Buttress K-55 87-90 PPF</v>
      </c>
      <c r="C561" s="29">
        <f>'[2]19'!C14</f>
        <v>8500</v>
      </c>
      <c r="D561" s="114"/>
      <c r="E561" s="114"/>
      <c r="F561" s="114"/>
    </row>
    <row r="562" spans="1:6" x14ac:dyDescent="0.25">
      <c r="A562" s="26" t="str">
        <f>'[2]19'!A15</f>
        <v>MKN100-608</v>
      </c>
      <c r="B562" s="27" t="str">
        <f>'[2]19'!B15</f>
        <v>20", 8-rd</v>
      </c>
      <c r="C562" s="29">
        <f>'[2]19'!C15</f>
        <v>9500</v>
      </c>
      <c r="D562" s="114"/>
      <c r="E562" s="114"/>
      <c r="F562" s="114"/>
    </row>
    <row r="563" spans="1:6" x14ac:dyDescent="0.25">
      <c r="A563" s="26" t="str">
        <f>'[2]19'!A16</f>
        <v>MKN100-609</v>
      </c>
      <c r="B563" s="27" t="str">
        <f>'[2]19'!B16</f>
        <v>20", Buttress K-55 90-106 PPF</v>
      </c>
      <c r="C563" s="29">
        <f>'[2]19'!C16</f>
        <v>9750</v>
      </c>
      <c r="D563" s="114"/>
      <c r="E563" s="114"/>
      <c r="F563" s="114"/>
    </row>
    <row r="564" spans="1:6" ht="6" customHeight="1" x14ac:dyDescent="0.25">
      <c r="A564" s="112"/>
      <c r="B564" s="113"/>
      <c r="C564" s="114"/>
      <c r="D564" s="114"/>
      <c r="E564" s="114"/>
      <c r="F564" s="114"/>
    </row>
    <row r="565" spans="1:6" ht="15.95" customHeight="1" x14ac:dyDescent="0.25">
      <c r="A565" s="115" t="s">
        <v>446</v>
      </c>
      <c r="B565" s="116"/>
      <c r="C565" s="117"/>
      <c r="D565" s="117"/>
      <c r="E565" s="117"/>
      <c r="F565" s="117"/>
    </row>
    <row r="566" spans="1:6" x14ac:dyDescent="0.25">
      <c r="A566" s="118" t="s">
        <v>7</v>
      </c>
      <c r="B566" s="118" t="s">
        <v>8</v>
      </c>
      <c r="C566" s="119" t="s">
        <v>344</v>
      </c>
      <c r="D566" s="120"/>
      <c r="E566" s="120"/>
      <c r="F566" s="120"/>
    </row>
    <row r="567" spans="1:6" x14ac:dyDescent="0.25">
      <c r="A567" s="22" t="str">
        <f>'[2]19'!A20</f>
        <v>MKN100-610</v>
      </c>
      <c r="B567" s="23" t="str">
        <f>'[2]19'!B20</f>
        <v>5", N80</v>
      </c>
      <c r="C567" s="25">
        <f>'[2]19'!C20</f>
        <v>5400</v>
      </c>
      <c r="D567" s="114"/>
      <c r="E567" s="114"/>
      <c r="F567" s="114"/>
    </row>
    <row r="568" spans="1:6" x14ac:dyDescent="0.25">
      <c r="A568" s="26" t="str">
        <f>'[2]19'!A21</f>
        <v>MKN100-611</v>
      </c>
      <c r="B568" s="27" t="str">
        <f>'[2]19'!B21</f>
        <v>7", 8-rd LTC N-80 20-35 PPF</v>
      </c>
      <c r="C568" s="29">
        <f>'[2]19'!C21</f>
        <v>5600</v>
      </c>
      <c r="D568" s="114"/>
      <c r="E568" s="114"/>
      <c r="F568" s="114"/>
    </row>
    <row r="569" spans="1:6" x14ac:dyDescent="0.25">
      <c r="A569" s="26" t="str">
        <f>'[2]19'!A22</f>
        <v>MKN100-612</v>
      </c>
      <c r="B569" s="27" t="str">
        <f>'[2]19'!B22</f>
        <v>7", BTC L-80 20-32 PPF</v>
      </c>
      <c r="C569" s="29">
        <f>'[2]19'!C22</f>
        <v>5670</v>
      </c>
      <c r="D569" s="114"/>
      <c r="E569" s="114"/>
      <c r="F569" s="114"/>
    </row>
    <row r="570" spans="1:6" x14ac:dyDescent="0.25">
      <c r="A570" s="26" t="str">
        <f>'[2]19'!A23</f>
        <v>MKN100-613</v>
      </c>
      <c r="B570" s="27" t="str">
        <f>'[2]19'!B23</f>
        <v>9 5/8", 8-rd LTC N-80 32.5-53.5 PPF</v>
      </c>
      <c r="C570" s="29">
        <f>'[2]19'!C23</f>
        <v>6650</v>
      </c>
      <c r="D570" s="114"/>
      <c r="E570" s="114"/>
      <c r="F570" s="114"/>
    </row>
    <row r="571" spans="1:6" x14ac:dyDescent="0.25">
      <c r="A571" s="26" t="str">
        <f>'[2]19'!A24</f>
        <v>MKN100-614</v>
      </c>
      <c r="B571" s="27" t="str">
        <f>'[2]19'!B24</f>
        <v>9 5/8", BTC L-80 32.5-53.5 PPF</v>
      </c>
      <c r="C571" s="29">
        <f>'[2]19'!C24</f>
        <v>6800</v>
      </c>
      <c r="D571" s="114"/>
      <c r="E571" s="114"/>
      <c r="F571" s="114"/>
    </row>
    <row r="572" spans="1:6" x14ac:dyDescent="0.25">
      <c r="A572" s="26" t="str">
        <f>'[2]19'!A25</f>
        <v>MKN100-615</v>
      </c>
      <c r="B572" s="27" t="str">
        <f>'[2]19'!B25</f>
        <v>13 3/8", 8-rd STC K-55 48-72 PPF</v>
      </c>
      <c r="C572" s="29">
        <f>'[2]19'!C25</f>
        <v>7900</v>
      </c>
      <c r="D572" s="114"/>
      <c r="E572" s="114"/>
      <c r="F572" s="114"/>
    </row>
    <row r="573" spans="1:6" x14ac:dyDescent="0.25">
      <c r="A573" s="26" t="str">
        <f>'[2]19'!A26</f>
        <v>MKN100-616</v>
      </c>
      <c r="B573" s="27" t="str">
        <f>'[2]19'!B26</f>
        <v>13 3/8", BTC K-55 48-72 PPF</v>
      </c>
      <c r="C573" s="29">
        <f>'[2]19'!C26</f>
        <v>7900</v>
      </c>
      <c r="D573" s="114"/>
      <c r="E573" s="114"/>
      <c r="F573" s="114"/>
    </row>
    <row r="574" spans="1:6" x14ac:dyDescent="0.25">
      <c r="A574" s="26" t="str">
        <f>'[2]19'!A27</f>
        <v>MKN100-617</v>
      </c>
      <c r="B574" s="27" t="str">
        <f>'[2]19'!B27</f>
        <v>13 3/8", BTC L-80 48-72 PPF</v>
      </c>
      <c r="C574" s="29">
        <f>'[2]19'!C27</f>
        <v>7900</v>
      </c>
      <c r="D574" s="114"/>
      <c r="E574" s="114"/>
      <c r="F574" s="114"/>
    </row>
    <row r="575" spans="1:6" x14ac:dyDescent="0.25">
      <c r="A575" s="26" t="str">
        <f>'[2]19'!A28</f>
        <v>MKN100-618</v>
      </c>
      <c r="B575" s="27" t="str">
        <f>'[2]19'!B28</f>
        <v>20", 8-rd 94 PPF</v>
      </c>
      <c r="C575" s="29">
        <f>'[2]19'!C28</f>
        <v>9500</v>
      </c>
      <c r="D575" s="114"/>
      <c r="E575" s="114"/>
      <c r="F575" s="114"/>
    </row>
    <row r="576" spans="1:6" x14ac:dyDescent="0.25">
      <c r="A576" s="26" t="str">
        <f>'[2]19'!A29</f>
        <v>MKN100-619</v>
      </c>
      <c r="B576" s="27" t="str">
        <f>'[2]19'!B29</f>
        <v>20", BTC 94 PPF</v>
      </c>
      <c r="C576" s="29">
        <f>'[2]19'!C29</f>
        <v>9500</v>
      </c>
      <c r="D576" s="114"/>
      <c r="E576" s="114"/>
      <c r="F576" s="114"/>
    </row>
    <row r="577" spans="1:6" ht="6" customHeight="1" x14ac:dyDescent="0.25">
      <c r="A577" s="112"/>
      <c r="B577" s="113"/>
      <c r="C577" s="114"/>
      <c r="D577" s="114"/>
      <c r="E577" s="114"/>
      <c r="F577" s="114"/>
    </row>
    <row r="578" spans="1:6" ht="15.95" customHeight="1" x14ac:dyDescent="0.25">
      <c r="A578" s="115" t="s">
        <v>447</v>
      </c>
      <c r="B578" s="116"/>
      <c r="C578" s="117"/>
      <c r="D578" s="117"/>
      <c r="E578" s="117"/>
      <c r="F578" s="117"/>
    </row>
    <row r="579" spans="1:6" x14ac:dyDescent="0.25">
      <c r="A579" s="118" t="s">
        <v>7</v>
      </c>
      <c r="B579" s="118" t="s">
        <v>8</v>
      </c>
      <c r="C579" s="119" t="s">
        <v>344</v>
      </c>
      <c r="D579" s="120"/>
      <c r="E579" s="120"/>
      <c r="F579" s="120"/>
    </row>
    <row r="580" spans="1:6" x14ac:dyDescent="0.25">
      <c r="A580" s="22" t="str">
        <f>'[2]19'!A33</f>
        <v>MKN100-620</v>
      </c>
      <c r="B580" s="23" t="str">
        <f>'[2]19'!B33</f>
        <v>18 5/8", 8-rd STC K-55 87.5-139 PPF</v>
      </c>
      <c r="C580" s="25">
        <f>'[2]19'!C33</f>
        <v>8850</v>
      </c>
      <c r="D580" s="114"/>
      <c r="E580" s="114"/>
      <c r="F580" s="114"/>
    </row>
    <row r="581" spans="1:6" x14ac:dyDescent="0.25">
      <c r="A581" s="26" t="str">
        <f>'[2]19'!A34</f>
        <v>MKN100-621</v>
      </c>
      <c r="B581" s="27" t="str">
        <f>'[2]19'!B34</f>
        <v>18 5/8", BTC K-55 85.5-139 PPF</v>
      </c>
      <c r="C581" s="29">
        <f>'[2]19'!C34</f>
        <v>8850</v>
      </c>
      <c r="D581" s="114"/>
      <c r="E581" s="114"/>
      <c r="F581" s="114"/>
    </row>
    <row r="582" spans="1:6" x14ac:dyDescent="0.25">
      <c r="A582" s="26" t="str">
        <f>'[2]19'!A35</f>
        <v>MKN100-622</v>
      </c>
      <c r="B582" s="27" t="str">
        <f>'[2]19'!B35</f>
        <v>20", 8-rd STC K-55 94-133 PPF</v>
      </c>
      <c r="C582" s="29">
        <f>'[2]19'!C35</f>
        <v>9700</v>
      </c>
      <c r="D582" s="114"/>
      <c r="E582" s="114"/>
      <c r="F582" s="114"/>
    </row>
    <row r="583" spans="1:6" x14ac:dyDescent="0.25">
      <c r="A583" s="26" t="str">
        <f>'[2]19'!A36</f>
        <v>MKN100-623</v>
      </c>
      <c r="B583" s="27" t="str">
        <f>'[2]19'!B36</f>
        <v>20", BTC K-55 94-133 PPF</v>
      </c>
      <c r="C583" s="29">
        <f>'[2]19'!C36</f>
        <v>9700</v>
      </c>
      <c r="D583" s="114"/>
      <c r="E583" s="114"/>
      <c r="F583" s="114"/>
    </row>
    <row r="584" spans="1:6" ht="6" customHeight="1" x14ac:dyDescent="0.25">
      <c r="A584" s="112"/>
      <c r="B584" s="113"/>
      <c r="C584" s="114"/>
      <c r="D584" s="114"/>
      <c r="E584" s="114"/>
      <c r="F584" s="114"/>
    </row>
    <row r="585" spans="1:6" ht="15.95" customHeight="1" x14ac:dyDescent="0.25">
      <c r="A585" s="115" t="s">
        <v>448</v>
      </c>
      <c r="B585" s="116"/>
      <c r="C585" s="117"/>
      <c r="D585" s="117"/>
      <c r="E585" s="117"/>
      <c r="F585" s="117"/>
    </row>
    <row r="586" spans="1:6" x14ac:dyDescent="0.25">
      <c r="A586" s="118" t="s">
        <v>7</v>
      </c>
      <c r="B586" s="118" t="s">
        <v>8</v>
      </c>
      <c r="C586" s="119" t="s">
        <v>344</v>
      </c>
      <c r="D586" s="120"/>
      <c r="E586" s="120"/>
      <c r="F586" s="120"/>
    </row>
    <row r="587" spans="1:6" x14ac:dyDescent="0.25">
      <c r="A587" s="22" t="str">
        <f>'[2]19'!A40</f>
        <v>MKN100-624</v>
      </c>
      <c r="B587" s="23" t="str">
        <f>'[2]19'!B40</f>
        <v>7", 8-rd LTC N-80 20-32 PPF</v>
      </c>
      <c r="C587" s="25">
        <f>'[2]19'!C40</f>
        <v>5800</v>
      </c>
      <c r="D587" s="114"/>
      <c r="E587" s="114"/>
      <c r="F587" s="114"/>
    </row>
    <row r="588" spans="1:6" x14ac:dyDescent="0.25">
      <c r="A588" s="26" t="str">
        <f>'[2]19'!A41</f>
        <v>MKN100-625</v>
      </c>
      <c r="B588" s="27" t="str">
        <f>'[2]19'!B41</f>
        <v>7", BTC L-80 20-32 PPF</v>
      </c>
      <c r="C588" s="29">
        <f>'[2]19'!C41</f>
        <v>5970</v>
      </c>
      <c r="D588" s="114"/>
      <c r="E588" s="114"/>
      <c r="F588" s="114"/>
    </row>
    <row r="589" spans="1:6" x14ac:dyDescent="0.25">
      <c r="A589" s="26" t="str">
        <f>'[2]19'!A42</f>
        <v>MKN100-626</v>
      </c>
      <c r="B589" s="27" t="str">
        <f>'[2]19'!B42</f>
        <v>9 5/8", LTC N-80 32.5-53.5 PPF</v>
      </c>
      <c r="C589" s="29">
        <f>'[2]19'!C42</f>
        <v>7950</v>
      </c>
      <c r="D589" s="114"/>
      <c r="E589" s="114"/>
      <c r="F589" s="114"/>
    </row>
    <row r="590" spans="1:6" x14ac:dyDescent="0.25">
      <c r="A590" s="26" t="str">
        <f>'[2]19'!A43</f>
        <v>MKN100-627</v>
      </c>
      <c r="B590" s="27" t="str">
        <f>'[2]19'!B43</f>
        <v>9 5/8", BTC L-80 32.5-53.5 PPF</v>
      </c>
      <c r="C590" s="29">
        <f>'[2]19'!C43</f>
        <v>7950</v>
      </c>
      <c r="D590" s="114"/>
      <c r="E590" s="114"/>
      <c r="F590" s="114"/>
    </row>
    <row r="591" spans="1:6" x14ac:dyDescent="0.25">
      <c r="A591" s="26" t="str">
        <f>'[2]19'!A44</f>
        <v>MKN100-628</v>
      </c>
      <c r="B591" s="27" t="str">
        <f>'[2]19'!B44</f>
        <v>13 3/8", 8-RD STC K-55 48-72 PPF</v>
      </c>
      <c r="C591" s="29">
        <f>'[2]19'!C44</f>
        <v>9800</v>
      </c>
      <c r="D591" s="114"/>
      <c r="E591" s="114"/>
      <c r="F591" s="114"/>
    </row>
    <row r="592" spans="1:6" x14ac:dyDescent="0.25">
      <c r="A592" s="26" t="str">
        <f>'[2]19'!A45</f>
        <v>MKN100-629</v>
      </c>
      <c r="B592" s="27" t="str">
        <f>'[2]19'!B45</f>
        <v>13 3/8", BTC K-55 48-72 PPF</v>
      </c>
      <c r="C592" s="29">
        <f>'[2]19'!C45</f>
        <v>9800</v>
      </c>
      <c r="D592" s="114"/>
      <c r="E592" s="114"/>
      <c r="F592" s="114"/>
    </row>
    <row r="593" spans="1:6" x14ac:dyDescent="0.25">
      <c r="A593" s="26" t="str">
        <f>'[2]19'!A46</f>
        <v>MKN100-630</v>
      </c>
      <c r="B593" s="27" t="str">
        <f>'[2]19'!B46</f>
        <v>13 3/8", BTC L-80 48-72 PPF</v>
      </c>
      <c r="C593" s="29">
        <f>'[2]19'!C46</f>
        <v>9950</v>
      </c>
      <c r="D593" s="114"/>
      <c r="E593" s="114"/>
      <c r="F593" s="114"/>
    </row>
    <row r="594" spans="1:6" x14ac:dyDescent="0.25">
      <c r="A594" s="26" t="str">
        <f>'[2]19'!A47</f>
        <v>MKN100-631</v>
      </c>
      <c r="B594" s="27" t="str">
        <f>'[2]19'!B47</f>
        <v>20", 8-rd</v>
      </c>
      <c r="C594" s="29">
        <f>'[2]19'!C47</f>
        <v>10780</v>
      </c>
      <c r="D594" s="114"/>
      <c r="E594" s="114"/>
      <c r="F594" s="114"/>
    </row>
    <row r="595" spans="1:6" x14ac:dyDescent="0.25">
      <c r="A595" s="26" t="str">
        <f>'[2]19'!A48</f>
        <v>MKN100-632</v>
      </c>
      <c r="B595" s="27" t="str">
        <f>'[2]19'!B48</f>
        <v>20", BTC</v>
      </c>
      <c r="C595" s="29">
        <f>'[2]19'!C48</f>
        <v>10780</v>
      </c>
      <c r="D595" s="114"/>
      <c r="E595" s="114"/>
      <c r="F595" s="114"/>
    </row>
    <row r="596" spans="1:6" ht="6" customHeight="1" x14ac:dyDescent="0.25">
      <c r="A596" s="112"/>
      <c r="B596" s="113"/>
      <c r="C596" s="114"/>
      <c r="D596" s="114"/>
      <c r="E596" s="114"/>
      <c r="F596" s="114"/>
    </row>
    <row r="597" spans="1:6" ht="15.95" customHeight="1" x14ac:dyDescent="0.25">
      <c r="A597" s="115" t="s">
        <v>449</v>
      </c>
      <c r="B597" s="116"/>
      <c r="C597" s="117"/>
      <c r="D597" s="117"/>
      <c r="E597" s="117"/>
      <c r="F597" s="117"/>
    </row>
    <row r="598" spans="1:6" x14ac:dyDescent="0.25">
      <c r="A598" s="118" t="s">
        <v>7</v>
      </c>
      <c r="B598" s="118" t="s">
        <v>8</v>
      </c>
      <c r="C598" s="119" t="s">
        <v>344</v>
      </c>
      <c r="D598" s="120"/>
      <c r="E598" s="120"/>
      <c r="F598" s="120"/>
    </row>
    <row r="599" spans="1:6" x14ac:dyDescent="0.25">
      <c r="A599" s="22" t="str">
        <f>'[2]20'!A3</f>
        <v>MKN100-633</v>
      </c>
      <c r="B599" s="23" t="str">
        <f>'[2]20'!B3</f>
        <v>20", BTC 94 PPF</v>
      </c>
      <c r="C599" s="25">
        <f>'[2]20'!C3</f>
        <v>10900</v>
      </c>
      <c r="D599" s="114"/>
      <c r="E599" s="114"/>
      <c r="F599" s="114"/>
    </row>
    <row r="600" spans="1:6" ht="6" customHeight="1" x14ac:dyDescent="0.25">
      <c r="A600" s="112"/>
      <c r="B600" s="113"/>
      <c r="C600" s="114"/>
      <c r="D600" s="114"/>
      <c r="E600" s="114"/>
      <c r="F600" s="114"/>
    </row>
    <row r="601" spans="1:6" ht="15.95" customHeight="1" x14ac:dyDescent="0.25">
      <c r="A601" s="115" t="s">
        <v>450</v>
      </c>
      <c r="B601" s="116"/>
      <c r="C601" s="117"/>
      <c r="D601" s="117"/>
      <c r="E601" s="117"/>
      <c r="F601" s="117"/>
    </row>
    <row r="602" spans="1:6" x14ac:dyDescent="0.25">
      <c r="A602" s="118" t="s">
        <v>7</v>
      </c>
      <c r="B602" s="118" t="s">
        <v>8</v>
      </c>
      <c r="C602" s="119" t="s">
        <v>344</v>
      </c>
      <c r="D602" s="120"/>
      <c r="E602" s="120"/>
      <c r="F602" s="120"/>
    </row>
    <row r="603" spans="1:6" x14ac:dyDescent="0.25">
      <c r="A603" s="22" t="str">
        <f>'[2]20'!A7</f>
        <v>MKN100-646</v>
      </c>
      <c r="B603" s="23" t="str">
        <f>'[2]20'!B7</f>
        <v>7", 23-38 PPF</v>
      </c>
      <c r="C603" s="25">
        <f>'[2]20'!C7</f>
        <v>975</v>
      </c>
      <c r="D603" s="114"/>
      <c r="E603" s="114"/>
      <c r="F603" s="114"/>
    </row>
    <row r="604" spans="1:6" x14ac:dyDescent="0.25">
      <c r="A604" s="26" t="str">
        <f>'[2]20'!A8</f>
        <v>MKN100-647</v>
      </c>
      <c r="B604" s="27" t="str">
        <f>'[2]20'!B8</f>
        <v>9 5/8", 36-53.5 PPF</v>
      </c>
      <c r="C604" s="29">
        <f>'[2]20'!C8</f>
        <v>1150</v>
      </c>
      <c r="D604" s="114"/>
      <c r="E604" s="114"/>
      <c r="F604" s="114"/>
    </row>
    <row r="605" spans="1:6" x14ac:dyDescent="0.25">
      <c r="A605" s="26" t="str">
        <f>'[2]20'!A9</f>
        <v>MKN100-648</v>
      </c>
      <c r="B605" s="27" t="str">
        <f>'[2]20'!B9</f>
        <v>13 3/8", 54.5-72 PPF</v>
      </c>
      <c r="C605" s="29">
        <f>'[2]20'!C9</f>
        <v>1350</v>
      </c>
      <c r="D605" s="114"/>
      <c r="E605" s="114"/>
      <c r="F605" s="114"/>
    </row>
    <row r="606" spans="1:6" x14ac:dyDescent="0.25">
      <c r="A606" s="26" t="str">
        <f>'[2]20'!A10</f>
        <v>MKN100-649</v>
      </c>
      <c r="B606" s="27" t="str">
        <f>'[2]20'!B10</f>
        <v>Centralizer Std Bow</v>
      </c>
      <c r="C606" s="29">
        <f>'[2]20'!C10</f>
        <v>500</v>
      </c>
      <c r="D606" s="114"/>
      <c r="E606" s="114"/>
      <c r="F606" s="114"/>
    </row>
    <row r="607" spans="1:6" x14ac:dyDescent="0.25">
      <c r="A607" s="26" t="str">
        <f>'[2]20'!A11</f>
        <v>MKN100-650</v>
      </c>
      <c r="B607" s="27" t="str">
        <f>'[2]20'!B11</f>
        <v>20" Csg Stabilizers for 24"-26"hole</v>
      </c>
      <c r="C607" s="29">
        <f>'[2]20'!C11</f>
        <v>150</v>
      </c>
      <c r="D607" s="114"/>
      <c r="E607" s="114"/>
      <c r="F607" s="114"/>
    </row>
    <row r="608" spans="1:6" x14ac:dyDescent="0.25">
      <c r="A608" s="26" t="str">
        <f>'[2]20'!A12</f>
        <v>MKN100-651</v>
      </c>
      <c r="B608" s="27" t="str">
        <f>'[2]20'!B12</f>
        <v>Welded centralizer for 20" Csg x 5" Dp</v>
      </c>
      <c r="C608" s="29">
        <f>'[2]20'!C12</f>
        <v>195</v>
      </c>
      <c r="D608" s="114"/>
      <c r="E608" s="114"/>
      <c r="F608" s="114"/>
    </row>
    <row r="609" spans="1:6" x14ac:dyDescent="0.25">
      <c r="A609" s="26" t="str">
        <f>'[2]20'!A13</f>
        <v>MKN100-652</v>
      </c>
      <c r="B609" s="27" t="str">
        <f>'[2]20'!B13</f>
        <v>18 5/8" Csg for 24" hole</v>
      </c>
      <c r="C609" s="29">
        <f>'[2]20'!C13</f>
        <v>185</v>
      </c>
      <c r="D609" s="114"/>
      <c r="E609" s="114"/>
      <c r="F609" s="114"/>
    </row>
    <row r="610" spans="1:6" x14ac:dyDescent="0.25">
      <c r="A610" s="26" t="str">
        <f>'[2]20'!A14</f>
        <v>MKN100-653</v>
      </c>
      <c r="B610" s="27" t="str">
        <f>'[2]20'!B14</f>
        <v>Welded centralizer for 18 5/8" Csg x-5" Dp</v>
      </c>
      <c r="C610" s="29">
        <f>'[2]20'!C14</f>
        <v>185</v>
      </c>
      <c r="D610" s="114"/>
      <c r="E610" s="114"/>
      <c r="F610" s="114"/>
    </row>
    <row r="611" spans="1:6" x14ac:dyDescent="0.25">
      <c r="A611" s="26" t="str">
        <f>'[2]20'!A15</f>
        <v>MKN100-654</v>
      </c>
      <c r="B611" s="27" t="str">
        <f>'[2]20'!B15</f>
        <v>13 3/8" Csg for 17 1/2" hole</v>
      </c>
      <c r="C611" s="29">
        <f>'[2]20'!C15</f>
        <v>170</v>
      </c>
      <c r="D611" s="114"/>
      <c r="E611" s="114"/>
      <c r="F611" s="114"/>
    </row>
    <row r="612" spans="1:6" x14ac:dyDescent="0.25">
      <c r="A612" s="26" t="str">
        <f>'[2]20'!A16</f>
        <v>MKN100-655</v>
      </c>
      <c r="B612" s="27" t="str">
        <f>'[2]20'!B16</f>
        <v>10 3/4" Csg for 12 1/4" hole</v>
      </c>
      <c r="C612" s="29">
        <f>'[2]20'!C16</f>
        <v>165</v>
      </c>
      <c r="D612" s="114"/>
      <c r="E612" s="114"/>
      <c r="F612" s="114"/>
    </row>
    <row r="613" spans="1:6" x14ac:dyDescent="0.25">
      <c r="A613" s="26" t="str">
        <f>'[2]20'!A17</f>
        <v>MKN100-656</v>
      </c>
      <c r="B613" s="27" t="str">
        <f>'[2]20'!B17</f>
        <v>9 5/8" Csg for 11 3/4"-12 1/4"</v>
      </c>
      <c r="C613" s="29">
        <f>'[2]20'!C17</f>
        <v>155</v>
      </c>
      <c r="D613" s="114"/>
      <c r="E613" s="114"/>
      <c r="F613" s="114"/>
    </row>
    <row r="614" spans="1:6" x14ac:dyDescent="0.25">
      <c r="A614" s="26" t="str">
        <f>'[2]20'!A18</f>
        <v>MKN100-657</v>
      </c>
      <c r="B614" s="27" t="str">
        <f>'[2]20'!B18</f>
        <v>7" Csg for 8 3/8"-8 1/2" hole</v>
      </c>
      <c r="C614" s="29">
        <f>'[2]20'!C18</f>
        <v>155</v>
      </c>
      <c r="D614" s="114"/>
      <c r="E614" s="114"/>
      <c r="F614" s="114"/>
    </row>
    <row r="615" spans="1:6" x14ac:dyDescent="0.25">
      <c r="A615" s="26" t="str">
        <f>'[2]20'!A19</f>
        <v>MKN100-658</v>
      </c>
      <c r="B615" s="27" t="str">
        <f>'[2]20'!B19</f>
        <v>5 1/2" Csg for 8 1/2" hole</v>
      </c>
      <c r="C615" s="29">
        <f>'[2]20'!C19</f>
        <v>150</v>
      </c>
      <c r="D615" s="114"/>
      <c r="E615" s="114"/>
      <c r="F615" s="114"/>
    </row>
    <row r="616" spans="1:6" x14ac:dyDescent="0.25">
      <c r="A616" s="26" t="str">
        <f>'[2]20'!A20</f>
        <v>MKN100-659</v>
      </c>
      <c r="B616" s="27" t="str">
        <f>'[2]20'!B20</f>
        <v>4 1/2" Csg for 6 1/8" hole</v>
      </c>
      <c r="C616" s="29">
        <f>'[2]20'!C20</f>
        <v>150</v>
      </c>
      <c r="D616" s="114"/>
      <c r="E616" s="114"/>
      <c r="F616" s="114"/>
    </row>
    <row r="617" spans="1:6" ht="6" customHeight="1" x14ac:dyDescent="0.25">
      <c r="A617" s="112"/>
      <c r="B617" s="113"/>
      <c r="C617" s="114"/>
      <c r="D617" s="114"/>
      <c r="E617" s="114"/>
      <c r="F617" s="114"/>
    </row>
    <row r="618" spans="1:6" ht="15.95" customHeight="1" x14ac:dyDescent="0.25">
      <c r="A618" s="115" t="s">
        <v>451</v>
      </c>
      <c r="B618" s="116"/>
      <c r="C618" s="117"/>
      <c r="D618" s="117"/>
      <c r="E618" s="117"/>
      <c r="F618" s="117"/>
    </row>
    <row r="619" spans="1:6" x14ac:dyDescent="0.25">
      <c r="A619" s="118" t="s">
        <v>7</v>
      </c>
      <c r="B619" s="118" t="s">
        <v>8</v>
      </c>
      <c r="C619" s="119" t="s">
        <v>344</v>
      </c>
      <c r="D619" s="120"/>
      <c r="E619" s="120"/>
      <c r="F619" s="120"/>
    </row>
    <row r="620" spans="1:6" ht="24" x14ac:dyDescent="0.25">
      <c r="A620" s="22" t="str">
        <f>'[2]20'!A24</f>
        <v>MKN100-660</v>
      </c>
      <c r="B620" s="23" t="str">
        <f>'[2]20'!B24</f>
        <v>13 3/8" OD Csg with 18 5/8" OD (for use inside 20" Csg)</v>
      </c>
      <c r="C620" s="25">
        <f>'[2]20'!C24</f>
        <v>175</v>
      </c>
      <c r="D620" s="114"/>
      <c r="E620" s="114"/>
      <c r="F620" s="114"/>
    </row>
    <row r="621" spans="1:6" ht="24" x14ac:dyDescent="0.25">
      <c r="A621" s="26" t="str">
        <f>'[2]20'!A25</f>
        <v>MKN100-661</v>
      </c>
      <c r="B621" s="27" t="str">
        <f>'[2]20'!B25</f>
        <v>13 3/8" OD Csg with 17" OD (for use inside 18 5/8" Csg)</v>
      </c>
      <c r="C621" s="29">
        <f>'[2]20'!C25</f>
        <v>165</v>
      </c>
      <c r="D621" s="114"/>
      <c r="E621" s="114"/>
      <c r="F621" s="114"/>
    </row>
    <row r="622" spans="1:6" ht="24" x14ac:dyDescent="0.25">
      <c r="A622" s="26" t="str">
        <f>'[2]20'!A26</f>
        <v>MKN100-662</v>
      </c>
      <c r="B622" s="27" t="str">
        <f>'[2]20'!B26</f>
        <v>9 5/8" OD Csg with 12 1/8" OD (for use inside 13 3/8"Csg)</v>
      </c>
      <c r="C622" s="29">
        <f>'[2]20'!C26</f>
        <v>125</v>
      </c>
      <c r="D622" s="114"/>
      <c r="E622" s="114"/>
      <c r="F622" s="114"/>
    </row>
    <row r="623" spans="1:6" ht="24" x14ac:dyDescent="0.25">
      <c r="A623" s="26" t="str">
        <f>'[2]20'!A27</f>
        <v>MKN100-663</v>
      </c>
      <c r="B623" s="27" t="str">
        <f>'[2]20'!B27</f>
        <v>7" OD Csg with 8 1/2" OD (for use inside 9 5/8" Csg)</v>
      </c>
      <c r="C623" s="29">
        <f>'[2]20'!C27</f>
        <v>99</v>
      </c>
      <c r="D623" s="114"/>
      <c r="E623" s="114"/>
      <c r="F623" s="114"/>
    </row>
    <row r="624" spans="1:6" ht="6" customHeight="1" x14ac:dyDescent="0.25">
      <c r="A624" s="112"/>
      <c r="B624" s="113"/>
      <c r="C624" s="114"/>
      <c r="D624" s="114"/>
      <c r="E624" s="114"/>
      <c r="F624" s="114"/>
    </row>
    <row r="625" spans="1:6" ht="15.95" customHeight="1" x14ac:dyDescent="0.25">
      <c r="A625" s="115" t="s">
        <v>452</v>
      </c>
      <c r="B625" s="116"/>
      <c r="C625" s="117"/>
      <c r="D625" s="117"/>
      <c r="E625" s="117"/>
      <c r="F625" s="117"/>
    </row>
    <row r="626" spans="1:6" x14ac:dyDescent="0.25">
      <c r="A626" s="118" t="s">
        <v>7</v>
      </c>
      <c r="B626" s="118" t="s">
        <v>8</v>
      </c>
      <c r="C626" s="119" t="s">
        <v>344</v>
      </c>
      <c r="D626" s="120"/>
      <c r="E626" s="120"/>
      <c r="F626" s="120"/>
    </row>
    <row r="627" spans="1:6" x14ac:dyDescent="0.25">
      <c r="A627" s="22" t="str">
        <f>'[2]20'!A31</f>
        <v>MKN100-664</v>
      </c>
      <c r="B627" s="23" t="str">
        <f>'[2]20'!B31</f>
        <v>20" Csg size, hinged</v>
      </c>
      <c r="C627" s="25">
        <f>'[2]20'!C31</f>
        <v>125</v>
      </c>
      <c r="D627" s="114"/>
      <c r="E627" s="114"/>
      <c r="F627" s="114"/>
    </row>
    <row r="628" spans="1:6" x14ac:dyDescent="0.25">
      <c r="A628" s="26" t="str">
        <f>'[2]20'!A32</f>
        <v>MKN100-665</v>
      </c>
      <c r="B628" s="27" t="str">
        <f>'[2]20'!B32</f>
        <v>18 5/8" Csg size, hinged</v>
      </c>
      <c r="C628" s="29">
        <f>'[2]20'!C32</f>
        <v>100</v>
      </c>
      <c r="D628" s="114"/>
      <c r="E628" s="114"/>
      <c r="F628" s="114"/>
    </row>
    <row r="629" spans="1:6" x14ac:dyDescent="0.25">
      <c r="A629" s="26" t="str">
        <f>'[2]20'!A33</f>
        <v>MKN100-666</v>
      </c>
      <c r="B629" s="27" t="str">
        <f>'[2]20'!B33</f>
        <v>13 3/8" Csg size</v>
      </c>
      <c r="C629" s="29">
        <f>'[2]20'!C33</f>
        <v>100</v>
      </c>
      <c r="D629" s="114"/>
      <c r="E629" s="114"/>
      <c r="F629" s="114"/>
    </row>
    <row r="630" spans="1:6" x14ac:dyDescent="0.25">
      <c r="A630" s="26" t="str">
        <f>'[2]20'!A34</f>
        <v>MKN100-667</v>
      </c>
      <c r="B630" s="27" t="str">
        <f>'[2]20'!B34</f>
        <v>10 3/4" Csg size</v>
      </c>
      <c r="C630" s="29">
        <f>'[2]20'!C34</f>
        <v>95</v>
      </c>
      <c r="D630" s="114"/>
      <c r="E630" s="114"/>
      <c r="F630" s="114"/>
    </row>
    <row r="631" spans="1:6" x14ac:dyDescent="0.25">
      <c r="A631" s="26" t="str">
        <f>'[2]20'!A35</f>
        <v>MKN100-668</v>
      </c>
      <c r="B631" s="27" t="str">
        <f>'[2]20'!B35</f>
        <v>9 5/8" Csg size</v>
      </c>
      <c r="C631" s="29">
        <f>'[2]20'!C35</f>
        <v>87</v>
      </c>
      <c r="D631" s="114"/>
      <c r="E631" s="114"/>
      <c r="F631" s="114"/>
    </row>
    <row r="632" spans="1:6" x14ac:dyDescent="0.25">
      <c r="A632" s="26" t="str">
        <f>'[2]20'!A36</f>
        <v>MKN100-669</v>
      </c>
      <c r="B632" s="27" t="str">
        <f>'[2]20'!B36</f>
        <v>7" Csg size</v>
      </c>
      <c r="C632" s="29">
        <f>'[2]20'!C36</f>
        <v>68</v>
      </c>
      <c r="D632" s="114"/>
      <c r="E632" s="114"/>
      <c r="F632" s="114"/>
    </row>
    <row r="633" spans="1:6" x14ac:dyDescent="0.25">
      <c r="A633" s="26" t="str">
        <f>'[2]20'!A37</f>
        <v>MKN100-670</v>
      </c>
      <c r="B633" s="27" t="str">
        <f>'[2]20'!B37</f>
        <v>5 1/2" Csg size</v>
      </c>
      <c r="C633" s="29">
        <f>'[2]20'!C37</f>
        <v>60</v>
      </c>
      <c r="D633" s="114"/>
      <c r="E633" s="114"/>
      <c r="F633" s="114"/>
    </row>
    <row r="634" spans="1:6" x14ac:dyDescent="0.25">
      <c r="A634" s="26" t="str">
        <f>'[2]20'!A38</f>
        <v>MKN100-671</v>
      </c>
      <c r="B634" s="27" t="str">
        <f>'[2]20'!B38</f>
        <v>4 1/2" Csg size</v>
      </c>
      <c r="C634" s="29">
        <f>'[2]20'!C38</f>
        <v>60</v>
      </c>
      <c r="D634" s="114"/>
      <c r="E634" s="114"/>
      <c r="F634" s="114"/>
    </row>
    <row r="635" spans="1:6" ht="6" customHeight="1" x14ac:dyDescent="0.25">
      <c r="A635" s="112"/>
      <c r="B635" s="113"/>
      <c r="C635" s="114"/>
      <c r="D635" s="114"/>
      <c r="E635" s="114"/>
      <c r="F635" s="114"/>
    </row>
    <row r="636" spans="1:6" ht="15.95" customHeight="1" x14ac:dyDescent="0.25">
      <c r="A636" s="115" t="s">
        <v>453</v>
      </c>
      <c r="B636" s="116"/>
      <c r="C636" s="117"/>
      <c r="D636" s="117"/>
      <c r="E636" s="117"/>
      <c r="F636" s="117"/>
    </row>
    <row r="637" spans="1:6" x14ac:dyDescent="0.25">
      <c r="A637" s="118" t="s">
        <v>7</v>
      </c>
      <c r="B637" s="118" t="s">
        <v>8</v>
      </c>
      <c r="C637" s="119" t="s">
        <v>344</v>
      </c>
      <c r="D637" s="120"/>
      <c r="E637" s="120"/>
      <c r="F637" s="120"/>
    </row>
    <row r="638" spans="1:6" x14ac:dyDescent="0.25">
      <c r="A638" s="22" t="str">
        <f>'[2]20'!A42</f>
        <v>MKN100-675</v>
      </c>
      <c r="B638" s="23" t="str">
        <f>'[2]20'!B42</f>
        <v>20" Csg size</v>
      </c>
      <c r="C638" s="25">
        <f>'[2]20'!C42</f>
        <v>175</v>
      </c>
      <c r="D638" s="114"/>
      <c r="E638" s="114"/>
      <c r="F638" s="114"/>
    </row>
    <row r="639" spans="1:6" x14ac:dyDescent="0.25">
      <c r="A639" s="26" t="str">
        <f>'[2]20'!A43</f>
        <v>MKN100-676</v>
      </c>
      <c r="B639" s="27" t="str">
        <f>'[2]20'!B43</f>
        <v>13 3/8" Csg size</v>
      </c>
      <c r="C639" s="29">
        <f>'[2]20'!C43</f>
        <v>165</v>
      </c>
      <c r="D639" s="114"/>
      <c r="E639" s="114"/>
      <c r="F639" s="114"/>
    </row>
    <row r="640" spans="1:6" x14ac:dyDescent="0.25">
      <c r="A640" s="26" t="str">
        <f>'[2]20'!A44</f>
        <v>MKN100-677</v>
      </c>
      <c r="B640" s="27" t="str">
        <f>'[2]20'!B44</f>
        <v>9 5/8" Csg size</v>
      </c>
      <c r="C640" s="29">
        <f>'[2]20'!C44</f>
        <v>155</v>
      </c>
      <c r="D640" s="114"/>
      <c r="E640" s="114"/>
      <c r="F640" s="114"/>
    </row>
    <row r="641" spans="1:6" x14ac:dyDescent="0.25">
      <c r="A641" s="26" t="str">
        <f>'[2]20'!A45</f>
        <v>MKN100-678</v>
      </c>
      <c r="B641" s="27" t="str">
        <f>'[2]20'!B45</f>
        <v>7" Csg size</v>
      </c>
      <c r="C641" s="29">
        <f>'[2]20'!C45</f>
        <v>150</v>
      </c>
      <c r="D641" s="114"/>
      <c r="E641" s="114"/>
      <c r="F641" s="114"/>
    </row>
    <row r="642" spans="1:6" ht="6" customHeight="1" x14ac:dyDescent="0.25">
      <c r="A642" s="112"/>
      <c r="B642" s="113"/>
      <c r="C642" s="114"/>
      <c r="D642" s="114"/>
      <c r="E642" s="114"/>
      <c r="F642" s="114"/>
    </row>
    <row r="643" spans="1:6" ht="15.95" customHeight="1" x14ac:dyDescent="0.25">
      <c r="A643" s="115" t="s">
        <v>454</v>
      </c>
      <c r="B643" s="116"/>
      <c r="C643" s="117"/>
      <c r="D643" s="117"/>
      <c r="E643" s="117"/>
      <c r="F643" s="117"/>
    </row>
    <row r="644" spans="1:6" x14ac:dyDescent="0.25">
      <c r="A644" s="118" t="s">
        <v>7</v>
      </c>
      <c r="B644" s="118" t="s">
        <v>8</v>
      </c>
      <c r="C644" s="119" t="s">
        <v>344</v>
      </c>
      <c r="D644" s="120"/>
      <c r="E644" s="120"/>
      <c r="F644" s="120"/>
    </row>
    <row r="645" spans="1:6" ht="24" x14ac:dyDescent="0.25">
      <c r="A645" s="22" t="str">
        <f>'[2]21'!A4</f>
        <v>MKN100-679</v>
      </c>
      <c r="B645" s="23" t="str">
        <f>'[2]21'!B4</f>
        <v>API Modified Thread Compound Baker, 2gal -25 (Ib/pail)</v>
      </c>
      <c r="C645" s="25">
        <f>'[2]21'!C4</f>
        <v>300</v>
      </c>
      <c r="D645" s="114"/>
      <c r="E645" s="114"/>
      <c r="F645" s="114"/>
    </row>
    <row r="646" spans="1:6" ht="24" x14ac:dyDescent="0.25">
      <c r="A646" s="26" t="str">
        <f>'[2]21'!A5</f>
        <v>MKN100-680</v>
      </c>
      <c r="B646" s="27" t="str">
        <f>'[2]21'!B5</f>
        <v>API Modified Thread Compound Baker, 3.5gal -50 (Ib/pail)</v>
      </c>
      <c r="C646" s="29">
        <f>'[2]21'!C5</f>
        <v>450</v>
      </c>
      <c r="D646" s="114"/>
      <c r="E646" s="114"/>
      <c r="F646" s="114"/>
    </row>
    <row r="647" spans="1:6" x14ac:dyDescent="0.25">
      <c r="A647" s="26" t="str">
        <f>'[2]21'!A6</f>
        <v>MKN100-681</v>
      </c>
      <c r="B647" s="27" t="str">
        <f>'[2]21'!B6</f>
        <v>Thread lock Compound (Tight lock)</v>
      </c>
      <c r="C647" s="29">
        <f>'[2]21'!C6</f>
        <v>90</v>
      </c>
      <c r="D647" s="114"/>
      <c r="E647" s="114"/>
      <c r="F647" s="114"/>
    </row>
    <row r="648" spans="1:6" ht="6" customHeight="1" x14ac:dyDescent="0.25">
      <c r="A648" s="112"/>
      <c r="B648" s="113"/>
      <c r="C648" s="114"/>
      <c r="D648" s="114"/>
      <c r="E648" s="114"/>
      <c r="F648" s="114"/>
    </row>
    <row r="649" spans="1:6" ht="15.95" customHeight="1" x14ac:dyDescent="0.25">
      <c r="A649" s="115" t="s">
        <v>455</v>
      </c>
      <c r="B649" s="116"/>
      <c r="C649" s="117"/>
      <c r="D649" s="117"/>
      <c r="E649" s="117"/>
      <c r="F649" s="117"/>
    </row>
    <row r="650" spans="1:6" x14ac:dyDescent="0.25">
      <c r="A650" s="118" t="s">
        <v>7</v>
      </c>
      <c r="B650" s="118" t="s">
        <v>8</v>
      </c>
      <c r="C650" s="119" t="s">
        <v>344</v>
      </c>
      <c r="D650" s="120"/>
      <c r="E650" s="120"/>
      <c r="F650" s="120"/>
    </row>
    <row r="651" spans="1:6" x14ac:dyDescent="0.25">
      <c r="A651" s="22" t="str">
        <f>'[2]21'!A10</f>
        <v>MKN100-682</v>
      </c>
      <c r="B651" s="23" t="str">
        <f>'[2]21'!B10</f>
        <v>For 5" Casing per Month</v>
      </c>
      <c r="C651" s="25">
        <f>'[2]21'!C10</f>
        <v>2100</v>
      </c>
      <c r="D651" s="114"/>
      <c r="E651" s="114"/>
      <c r="F651" s="114"/>
    </row>
    <row r="652" spans="1:6" x14ac:dyDescent="0.25">
      <c r="A652" s="26" t="str">
        <f>'[2]21'!A11</f>
        <v>MKN100-683</v>
      </c>
      <c r="B652" s="27" t="str">
        <f>'[2]21'!B11</f>
        <v>For 7" Casing per Month</v>
      </c>
      <c r="C652" s="29">
        <f>'[2]21'!C11</f>
        <v>3000</v>
      </c>
      <c r="D652" s="114"/>
      <c r="E652" s="114"/>
      <c r="F652" s="114"/>
    </row>
    <row r="653" spans="1:6" x14ac:dyDescent="0.25">
      <c r="A653" s="26" t="str">
        <f>'[2]21'!A12</f>
        <v>MKN100-684</v>
      </c>
      <c r="B653" s="27" t="str">
        <f>'[2]21'!B12</f>
        <v>For 9 5/8" Casing per Month</v>
      </c>
      <c r="C653" s="29">
        <f>'[2]21'!C12</f>
        <v>4000</v>
      </c>
      <c r="D653" s="114"/>
      <c r="E653" s="114"/>
      <c r="F653" s="114"/>
    </row>
    <row r="654" spans="1:6" x14ac:dyDescent="0.25">
      <c r="A654" s="26" t="str">
        <f>'[2]21'!A13</f>
        <v>MKN100-685</v>
      </c>
      <c r="B654" s="27" t="str">
        <f>'[2]21'!B13</f>
        <v>For 13 3/8" Casing per Month</v>
      </c>
      <c r="C654" s="29">
        <f>'[2]21'!C13</f>
        <v>5000</v>
      </c>
      <c r="D654" s="114"/>
      <c r="E654" s="114"/>
      <c r="F654" s="114"/>
    </row>
    <row r="655" spans="1:6" ht="6" customHeight="1" x14ac:dyDescent="0.25">
      <c r="A655" s="112"/>
      <c r="B655" s="113"/>
      <c r="C655" s="114"/>
      <c r="D655" s="114"/>
      <c r="E655" s="114"/>
      <c r="F655" s="114"/>
    </row>
    <row r="656" spans="1:6" ht="15.95" customHeight="1" x14ac:dyDescent="0.25">
      <c r="A656" s="115" t="s">
        <v>456</v>
      </c>
      <c r="B656" s="116"/>
      <c r="C656" s="117"/>
      <c r="D656" s="117"/>
      <c r="E656" s="117"/>
      <c r="F656" s="117"/>
    </row>
    <row r="657" spans="1:6" x14ac:dyDescent="0.25">
      <c r="A657" s="118" t="s">
        <v>7</v>
      </c>
      <c r="B657" s="118" t="s">
        <v>8</v>
      </c>
      <c r="C657" s="119" t="s">
        <v>344</v>
      </c>
      <c r="D657" s="120"/>
      <c r="E657" s="120"/>
      <c r="F657" s="120"/>
    </row>
    <row r="658" spans="1:6" ht="36" x14ac:dyDescent="0.25">
      <c r="A658" s="22" t="str">
        <f>'[2]21'!A17</f>
        <v>MKN100-710</v>
      </c>
      <c r="B658" s="23" t="str">
        <f>'[2]21'!B17</f>
        <v>Complete 5"x 7" Liner hanger with float equipment and liner packer all connection Sales Mechanical Liner</v>
      </c>
      <c r="C658" s="25">
        <f>'[2]21'!C17</f>
        <v>68200</v>
      </c>
      <c r="D658" s="114"/>
      <c r="E658" s="114"/>
      <c r="F658" s="114"/>
    </row>
    <row r="659" spans="1:6" ht="36" x14ac:dyDescent="0.25">
      <c r="A659" s="26" t="str">
        <f>'[2]21'!A18</f>
        <v>MKN100-711</v>
      </c>
      <c r="B659" s="27" t="str">
        <f>'[2]21'!B18</f>
        <v>Complete 7"x 9 5/8" Liner hanger with float equipment and liner packer all connection Sales Mechanical Liner</v>
      </c>
      <c r="C659" s="29">
        <f>'[2]21'!C18</f>
        <v>59800</v>
      </c>
      <c r="D659" s="114"/>
      <c r="E659" s="114"/>
      <c r="F659" s="114"/>
    </row>
    <row r="660" spans="1:6" ht="36" x14ac:dyDescent="0.25">
      <c r="A660" s="26" t="str">
        <f>'[2]21'!A19</f>
        <v>MKN100-712</v>
      </c>
      <c r="B660" s="27" t="str">
        <f>'[2]21'!B19</f>
        <v>Complete 5"x 7" Liner hanger with float equipment and liner packer all connection Sales Hydraulic Liner</v>
      </c>
      <c r="C660" s="29">
        <f>'[2]21'!C19</f>
        <v>80000</v>
      </c>
      <c r="D660" s="114"/>
      <c r="E660" s="114"/>
      <c r="F660" s="114"/>
    </row>
    <row r="661" spans="1:6" ht="36" x14ac:dyDescent="0.25">
      <c r="A661" s="26" t="str">
        <f>'[2]21'!A20</f>
        <v>MKN100-713</v>
      </c>
      <c r="B661" s="27" t="str">
        <f>'[2]21'!B20</f>
        <v>Complete 7"x 9 5/8" Liner hanger with float equipment and liner packer all connection Sales Hydraulic Liner</v>
      </c>
      <c r="C661" s="29">
        <f>'[2]21'!C20</f>
        <v>75500</v>
      </c>
      <c r="D661" s="114"/>
      <c r="E661" s="114"/>
      <c r="F661" s="114"/>
    </row>
    <row r="662" spans="1:6" x14ac:dyDescent="0.25">
      <c r="A662" s="26" t="str">
        <f>'[2]21'!A21</f>
        <v>MKN100-714</v>
      </c>
      <c r="B662" s="27" t="str">
        <f>'[2]21'!B21</f>
        <v>LUM SUM Charge 5 Days for Running Tool</v>
      </c>
      <c r="C662" s="29">
        <f>'[2]21'!C21</f>
        <v>19250</v>
      </c>
      <c r="D662" s="114"/>
      <c r="E662" s="114"/>
      <c r="F662" s="114"/>
    </row>
    <row r="663" spans="1:6" x14ac:dyDescent="0.25">
      <c r="A663" s="26" t="str">
        <f>'[2]21'!A22</f>
        <v>MKN100-715</v>
      </c>
      <c r="B663" s="27" t="str">
        <f>'[2]21'!B22</f>
        <v>Liner Engineer per day</v>
      </c>
      <c r="C663" s="29">
        <f>'[2]21'!C22</f>
        <v>1800</v>
      </c>
      <c r="D663" s="114"/>
      <c r="E663" s="114"/>
      <c r="F663" s="114"/>
    </row>
    <row r="664" spans="1:6" x14ac:dyDescent="0.25">
      <c r="A664" s="26" t="str">
        <f>'[2]21'!A23</f>
        <v>MKN100-716</v>
      </c>
      <c r="B664" s="27" t="str">
        <f>'[2]21'!B23</f>
        <v>Assistant Operator Per day</v>
      </c>
      <c r="C664" s="29">
        <f>'[2]21'!C23</f>
        <v>1200</v>
      </c>
      <c r="D664" s="114"/>
      <c r="E664" s="114"/>
      <c r="F664" s="114"/>
    </row>
    <row r="665" spans="1:6" x14ac:dyDescent="0.25">
      <c r="A665" s="26" t="str">
        <f>'[2]21'!A24</f>
        <v>MKN100-717</v>
      </c>
      <c r="B665" s="27" t="str">
        <f>'[2]21'!B24</f>
        <v>Make UP liner per Job</v>
      </c>
      <c r="C665" s="29">
        <f>'[2]21'!C24</f>
        <v>2600</v>
      </c>
      <c r="D665" s="114"/>
      <c r="E665" s="114"/>
      <c r="F665" s="114"/>
    </row>
    <row r="666" spans="1:6" x14ac:dyDescent="0.25">
      <c r="A666" s="26" t="str">
        <f>'[2]21'!A25</f>
        <v>MKN100-718</v>
      </c>
      <c r="B666" s="27" t="str">
        <f>'[2]21'!B25</f>
        <v>Extra Days for Running Tool after 5 days per day</v>
      </c>
      <c r="C666" s="29">
        <f>'[2]21'!C25</f>
        <v>2850</v>
      </c>
      <c r="D666" s="114"/>
      <c r="E666" s="114"/>
      <c r="F666" s="114"/>
    </row>
    <row r="667" spans="1:6" ht="6" customHeight="1" x14ac:dyDescent="0.25">
      <c r="A667" s="112"/>
      <c r="B667" s="113"/>
      <c r="C667" s="114"/>
      <c r="D667" s="114"/>
      <c r="E667" s="114"/>
      <c r="F667" s="114"/>
    </row>
    <row r="668" spans="1:6" ht="21.95" customHeight="1" thickBot="1" x14ac:dyDescent="0.3">
      <c r="A668" s="10" t="s">
        <v>457</v>
      </c>
      <c r="B668" s="11"/>
      <c r="C668" s="13"/>
      <c r="D668" s="13"/>
      <c r="E668" s="13"/>
      <c r="F668" s="14" t="s">
        <v>5</v>
      </c>
    </row>
    <row r="669" spans="1:6" ht="6" customHeight="1" thickTop="1" x14ac:dyDescent="0.25">
      <c r="A669" s="112"/>
      <c r="B669" s="113"/>
      <c r="C669" s="114"/>
      <c r="D669" s="114"/>
      <c r="E669" s="114"/>
      <c r="F669" s="114"/>
    </row>
    <row r="670" spans="1:6" ht="15.95" customHeight="1" x14ac:dyDescent="0.25">
      <c r="A670" s="115" t="s">
        <v>458</v>
      </c>
      <c r="B670" s="116"/>
      <c r="C670" s="117"/>
      <c r="D670" s="117"/>
      <c r="E670" s="117"/>
      <c r="F670" s="117"/>
    </row>
    <row r="671" spans="1:6" x14ac:dyDescent="0.25">
      <c r="A671" s="118" t="s">
        <v>7</v>
      </c>
      <c r="B671" s="118" t="s">
        <v>8</v>
      </c>
      <c r="C671" s="119" t="s">
        <v>344</v>
      </c>
      <c r="D671" s="120"/>
      <c r="E671" s="120"/>
      <c r="F671" s="120"/>
    </row>
    <row r="672" spans="1:6" x14ac:dyDescent="0.25">
      <c r="A672" s="22" t="str">
        <f>'[2]22'!A9</f>
        <v>MKN100-686</v>
      </c>
      <c r="B672" s="23" t="str">
        <f>'[2]22'!B9</f>
        <v>Instrument charge / stand by day</v>
      </c>
      <c r="C672" s="25">
        <f>'[2]22'!C9</f>
        <v>1750</v>
      </c>
      <c r="D672" s="114"/>
      <c r="E672" s="114"/>
      <c r="F672" s="114"/>
    </row>
    <row r="673" spans="1:6" x14ac:dyDescent="0.25">
      <c r="A673" s="26" t="str">
        <f>'[2]22'!A10</f>
        <v>MKN100-687</v>
      </c>
      <c r="B673" s="27" t="str">
        <f>'[2]22'!B10</f>
        <v>Instrument charge / operating day day</v>
      </c>
      <c r="C673" s="29">
        <f>'[2]22'!C10</f>
        <v>6125</v>
      </c>
      <c r="D673" s="114"/>
      <c r="E673" s="114"/>
      <c r="F673" s="114"/>
    </row>
    <row r="674" spans="1:6" x14ac:dyDescent="0.25">
      <c r="A674" s="26" t="str">
        <f>'[2]22'!A11</f>
        <v>MKN100-688</v>
      </c>
      <c r="B674" s="27" t="str">
        <f>'[2]22'!B11</f>
        <v>Minimum charge/day</v>
      </c>
      <c r="C674" s="29">
        <f>'[2]22'!C11</f>
        <v>15312.5</v>
      </c>
      <c r="D674" s="114"/>
      <c r="E674" s="114"/>
      <c r="F674" s="114"/>
    </row>
    <row r="675" spans="1:6" ht="6" customHeight="1" x14ac:dyDescent="0.25">
      <c r="A675" s="112"/>
      <c r="B675" s="113"/>
      <c r="C675" s="114"/>
      <c r="D675" s="114"/>
      <c r="E675" s="114"/>
      <c r="F675" s="114"/>
    </row>
    <row r="676" spans="1:6" ht="15.95" customHeight="1" x14ac:dyDescent="0.25">
      <c r="A676" s="115" t="s">
        <v>459</v>
      </c>
      <c r="B676" s="116"/>
      <c r="C676" s="117"/>
      <c r="D676" s="117"/>
      <c r="E676" s="117"/>
      <c r="F676" s="117"/>
    </row>
    <row r="677" spans="1:6" x14ac:dyDescent="0.25">
      <c r="A677" s="118" t="s">
        <v>7</v>
      </c>
      <c r="B677" s="118" t="s">
        <v>8</v>
      </c>
      <c r="C677" s="119" t="s">
        <v>344</v>
      </c>
      <c r="D677" s="120"/>
      <c r="E677" s="120"/>
      <c r="F677" s="120"/>
    </row>
    <row r="678" spans="1:6" x14ac:dyDescent="0.25">
      <c r="A678" s="22" t="str">
        <f>'[2]22'!A15</f>
        <v>MKN100-689</v>
      </c>
      <c r="B678" s="23" t="str">
        <f>'[2]22'!B15</f>
        <v>Instrument charge / stand by day</v>
      </c>
      <c r="C678" s="25">
        <f>'[2]22'!C15</f>
        <v>1750</v>
      </c>
      <c r="D678" s="114"/>
      <c r="E678" s="114"/>
      <c r="F678" s="114"/>
    </row>
    <row r="679" spans="1:6" x14ac:dyDescent="0.25">
      <c r="A679" s="26" t="str">
        <f>'[2]22'!A16</f>
        <v>MKN100-690</v>
      </c>
      <c r="B679" s="27" t="str">
        <f>'[2]22'!B16</f>
        <v>Instrument charge / operating day</v>
      </c>
      <c r="C679" s="29">
        <f>'[2]22'!C16</f>
        <v>6125</v>
      </c>
      <c r="D679" s="114"/>
      <c r="E679" s="114"/>
      <c r="F679" s="114"/>
    </row>
    <row r="680" spans="1:6" x14ac:dyDescent="0.25">
      <c r="A680" s="26" t="str">
        <f>'[2]22'!A17</f>
        <v>MKN100-691</v>
      </c>
      <c r="B680" s="27" t="str">
        <f>'[2]22'!B17</f>
        <v>Minimum charge / day</v>
      </c>
      <c r="C680" s="29">
        <f>'[2]22'!C17</f>
        <v>15312.5</v>
      </c>
      <c r="D680" s="114"/>
      <c r="E680" s="114"/>
      <c r="F680" s="114"/>
    </row>
    <row r="681" spans="1:6" ht="6" customHeight="1" x14ac:dyDescent="0.25">
      <c r="A681" s="112"/>
      <c r="B681" s="113"/>
      <c r="C681" s="114"/>
      <c r="D681" s="114"/>
      <c r="E681" s="114"/>
      <c r="F681" s="114"/>
    </row>
    <row r="682" spans="1:6" ht="15.95" customHeight="1" x14ac:dyDescent="0.25">
      <c r="A682" s="115" t="s">
        <v>460</v>
      </c>
      <c r="B682" s="116"/>
      <c r="C682" s="117"/>
      <c r="D682" s="117"/>
      <c r="E682" s="117"/>
      <c r="F682" s="117"/>
    </row>
    <row r="683" spans="1:6" x14ac:dyDescent="0.25">
      <c r="A683" s="118" t="s">
        <v>7</v>
      </c>
      <c r="B683" s="118" t="s">
        <v>8</v>
      </c>
      <c r="C683" s="119" t="s">
        <v>344</v>
      </c>
      <c r="D683" s="120"/>
      <c r="E683" s="120"/>
      <c r="F683" s="120"/>
    </row>
    <row r="684" spans="1:6" x14ac:dyDescent="0.25">
      <c r="A684" s="22" t="str">
        <f>'[2]22'!A21</f>
        <v>MKN100-692</v>
      </c>
      <c r="B684" s="23" t="str">
        <f>'[2]22'!B21</f>
        <v>Instrument charge / stand by day</v>
      </c>
      <c r="C684" s="25">
        <f>'[2]22'!C21</f>
        <v>657</v>
      </c>
      <c r="D684" s="114"/>
      <c r="E684" s="114"/>
      <c r="F684" s="114"/>
    </row>
    <row r="685" spans="1:6" x14ac:dyDescent="0.25">
      <c r="A685" s="26" t="str">
        <f>'[2]22'!A22</f>
        <v>MKN100-693</v>
      </c>
      <c r="B685" s="27" t="str">
        <f>'[2]22'!B22</f>
        <v>Instrument charge / operating day</v>
      </c>
      <c r="C685" s="29">
        <f>'[2]22'!C22</f>
        <v>2625</v>
      </c>
      <c r="D685" s="114"/>
      <c r="E685" s="114"/>
      <c r="F685" s="114"/>
    </row>
    <row r="686" spans="1:6" x14ac:dyDescent="0.25">
      <c r="A686" s="26" t="str">
        <f>'[2]22'!A23</f>
        <v>MKN100-694</v>
      </c>
      <c r="B686" s="27" t="str">
        <f>'[2]22'!B23</f>
        <v>Minimum charge / day</v>
      </c>
      <c r="C686" s="29">
        <f>'[2]22'!C23</f>
        <v>4922</v>
      </c>
      <c r="D686" s="114"/>
      <c r="E686" s="114"/>
      <c r="F686" s="114"/>
    </row>
    <row r="687" spans="1:6" ht="6" customHeight="1" x14ac:dyDescent="0.25">
      <c r="A687" s="112"/>
      <c r="B687" s="113"/>
      <c r="C687" s="114"/>
      <c r="D687" s="114"/>
      <c r="E687" s="114"/>
      <c r="F687" s="114"/>
    </row>
    <row r="688" spans="1:6" ht="15.95" customHeight="1" x14ac:dyDescent="0.25">
      <c r="A688" s="115" t="s">
        <v>461</v>
      </c>
      <c r="B688" s="116"/>
      <c r="C688" s="117"/>
      <c r="D688" s="117"/>
      <c r="E688" s="117"/>
      <c r="F688" s="117"/>
    </row>
    <row r="689" spans="1:6" x14ac:dyDescent="0.25">
      <c r="A689" s="118" t="s">
        <v>7</v>
      </c>
      <c r="B689" s="118" t="s">
        <v>8</v>
      </c>
      <c r="C689" s="119" t="s">
        <v>344</v>
      </c>
      <c r="D689" s="120"/>
      <c r="E689" s="120"/>
      <c r="F689" s="120"/>
    </row>
    <row r="690" spans="1:6" x14ac:dyDescent="0.25">
      <c r="A690" s="22" t="str">
        <f>'[2]22'!A27</f>
        <v>MKN100-695</v>
      </c>
      <c r="B690" s="23" t="str">
        <f>'[2]22'!B27</f>
        <v>Gyro survey engineer / day</v>
      </c>
      <c r="C690" s="25">
        <f>'[2]22'!C27</f>
        <v>1050</v>
      </c>
      <c r="D690" s="114"/>
      <c r="E690" s="114"/>
      <c r="F690" s="114"/>
    </row>
    <row r="691" spans="1:6" x14ac:dyDescent="0.25">
      <c r="A691" s="26" t="str">
        <f>'[2]22'!A28</f>
        <v>MKN100-696</v>
      </c>
      <c r="B691" s="27" t="str">
        <f>'[2]22'!B28</f>
        <v>EMS survey engineer / day</v>
      </c>
      <c r="C691" s="29">
        <f>'[2]22'!C28</f>
        <v>840</v>
      </c>
      <c r="D691" s="114"/>
      <c r="E691" s="114"/>
      <c r="F691" s="114"/>
    </row>
    <row r="692" spans="1:6" x14ac:dyDescent="0.25">
      <c r="A692" s="26" t="str">
        <f>'[2]22'!A29</f>
        <v>MKN100-697</v>
      </c>
      <c r="B692" s="27" t="str">
        <f>'[2]22'!B29</f>
        <v>Wireline operator / day</v>
      </c>
      <c r="C692" s="29">
        <f>'[2]22'!C29</f>
        <v>525</v>
      </c>
      <c r="D692" s="114"/>
      <c r="E692" s="114"/>
      <c r="F692" s="114"/>
    </row>
    <row r="693" spans="1:6" x14ac:dyDescent="0.25">
      <c r="A693" s="26" t="str">
        <f>'[2]22'!A30</f>
        <v>MKN100-698</v>
      </c>
      <c r="B693" s="27" t="str">
        <f>'[2]22'!B30</f>
        <v>Wireline helper / day</v>
      </c>
      <c r="C693" s="29">
        <f>'[2]22'!C30</f>
        <v>350</v>
      </c>
      <c r="D693" s="114"/>
      <c r="E693" s="114"/>
      <c r="F693" s="114"/>
    </row>
    <row r="694" spans="1:6" x14ac:dyDescent="0.25">
      <c r="A694" s="26" t="str">
        <f>'[2]22'!A31</f>
        <v>MKN100-699</v>
      </c>
      <c r="B694" s="27" t="str">
        <f>'[2]22'!B31</f>
        <v>Transpiration charge for tools and personal / trip</v>
      </c>
      <c r="C694" s="29">
        <f>'[2]22'!C31</f>
        <v>3850</v>
      </c>
      <c r="D694" s="114"/>
      <c r="E694" s="114"/>
      <c r="F694" s="114"/>
    </row>
    <row r="695" spans="1:6" ht="6" customHeight="1" x14ac:dyDescent="0.25">
      <c r="A695" s="112"/>
      <c r="B695" s="113"/>
      <c r="C695" s="114"/>
      <c r="D695" s="114"/>
      <c r="E695" s="114"/>
      <c r="F695" s="114"/>
    </row>
    <row r="696" spans="1:6" ht="15.95" customHeight="1" x14ac:dyDescent="0.25">
      <c r="A696" s="115" t="s">
        <v>462</v>
      </c>
      <c r="B696" s="116"/>
      <c r="C696" s="117"/>
      <c r="D696" s="117"/>
      <c r="E696" s="117"/>
      <c r="F696" s="117"/>
    </row>
    <row r="697" spans="1:6" x14ac:dyDescent="0.25">
      <c r="A697" s="118" t="s">
        <v>7</v>
      </c>
      <c r="B697" s="118" t="s">
        <v>8</v>
      </c>
      <c r="C697" s="119" t="s">
        <v>344</v>
      </c>
      <c r="D697" s="120"/>
      <c r="E697" s="120"/>
      <c r="F697" s="120"/>
    </row>
    <row r="698" spans="1:6" x14ac:dyDescent="0.25">
      <c r="A698" s="22" t="str">
        <f>'[2]22'!A37</f>
        <v>MKN100-700</v>
      </c>
      <c r="B698" s="23" t="str">
        <f>'[2]22'!B37</f>
        <v>OMS gyro (sensor and electronics)</v>
      </c>
      <c r="C698" s="25">
        <f>'[2]22'!C37</f>
        <v>122500</v>
      </c>
      <c r="D698" s="114"/>
      <c r="E698" s="114"/>
      <c r="F698" s="114"/>
    </row>
    <row r="699" spans="1:6" x14ac:dyDescent="0.25">
      <c r="A699" s="26" t="str">
        <f>'[2]22'!A38</f>
        <v>MKN100-701</v>
      </c>
      <c r="B699" s="27" t="str">
        <f>'[2]22'!B38</f>
        <v>Surface interface box</v>
      </c>
      <c r="C699" s="29">
        <f>'[2]22'!C38</f>
        <v>9957</v>
      </c>
      <c r="D699" s="114"/>
      <c r="E699" s="114"/>
      <c r="F699" s="114"/>
    </row>
    <row r="700" spans="1:6" x14ac:dyDescent="0.25">
      <c r="A700" s="26" t="str">
        <f>'[2]22'!A39</f>
        <v>MKN100-702</v>
      </c>
      <c r="B700" s="27" t="str">
        <f>'[2]22'!B39</f>
        <v>Computer laptop</v>
      </c>
      <c r="C700" s="29">
        <f>'[2]22'!C39</f>
        <v>4305</v>
      </c>
      <c r="D700" s="114"/>
      <c r="E700" s="114"/>
      <c r="F700" s="114"/>
    </row>
    <row r="701" spans="1:6" x14ac:dyDescent="0.25">
      <c r="A701" s="26" t="str">
        <f>'[2]22'!A40</f>
        <v>MKN100-703</v>
      </c>
      <c r="B701" s="27" t="str">
        <f>'[2]22'!B40</f>
        <v>Printer</v>
      </c>
      <c r="C701" s="29">
        <f>'[2]22'!C40</f>
        <v>1050</v>
      </c>
      <c r="D701" s="114"/>
      <c r="E701" s="114"/>
      <c r="F701" s="114"/>
    </row>
    <row r="702" spans="1:6" x14ac:dyDescent="0.25">
      <c r="A702" s="26" t="str">
        <f>'[2]22'!A41</f>
        <v>MKN100-704</v>
      </c>
      <c r="B702" s="27" t="str">
        <f>'[2]22'!B41</f>
        <v>Down hole running gear</v>
      </c>
      <c r="C702" s="29" t="str">
        <f>'[2]22'!C41</f>
        <v>-</v>
      </c>
      <c r="D702" s="114"/>
      <c r="E702" s="114"/>
      <c r="F702" s="114"/>
    </row>
    <row r="703" spans="1:6" x14ac:dyDescent="0.25">
      <c r="A703" s="26" t="str">
        <f>'[2]22'!A42</f>
        <v>MKN100-705</v>
      </c>
      <c r="B703" s="27" t="str">
        <f>'[2]22'!B42</f>
        <v>Thermal-shield 1.75" od</v>
      </c>
      <c r="C703" s="29">
        <f>'[2]22'!C42</f>
        <v>22750</v>
      </c>
      <c r="D703" s="114"/>
      <c r="E703" s="114"/>
      <c r="F703" s="114"/>
    </row>
    <row r="704" spans="1:6" x14ac:dyDescent="0.25">
      <c r="A704" s="26" t="str">
        <f>'[2]22'!A43</f>
        <v>MKN100-706</v>
      </c>
      <c r="B704" s="27" t="str">
        <f>'[2]22'!B43</f>
        <v>Centralizer (conducting)</v>
      </c>
      <c r="C704" s="29">
        <f>'[2]22'!C43</f>
        <v>1732.5</v>
      </c>
      <c r="D704" s="114"/>
      <c r="E704" s="114"/>
      <c r="F704" s="114"/>
    </row>
    <row r="705" spans="1:6" x14ac:dyDescent="0.25">
      <c r="A705" s="26" t="str">
        <f>'[2]22'!A44</f>
        <v>MKN100-707</v>
      </c>
      <c r="B705" s="27" t="str">
        <f>'[2]22'!B44</f>
        <v>Centralizer (non-conducting)</v>
      </c>
      <c r="C705" s="29">
        <f>'[2]22'!C44</f>
        <v>1417.5</v>
      </c>
      <c r="D705" s="114"/>
      <c r="E705" s="114"/>
      <c r="F705" s="114"/>
    </row>
    <row r="706" spans="1:6" x14ac:dyDescent="0.25">
      <c r="A706" s="26" t="str">
        <f>'[2]22'!A45</f>
        <v>MKN100-708</v>
      </c>
      <c r="B706" s="27" t="str">
        <f>'[2]22'!B45</f>
        <v>Cable head assembly (htc-3)</v>
      </c>
      <c r="C706" s="29">
        <f>'[2]22'!C45</f>
        <v>833</v>
      </c>
      <c r="D706" s="114"/>
      <c r="E706" s="114"/>
      <c r="F706" s="114"/>
    </row>
    <row r="707" spans="1:6" x14ac:dyDescent="0.25">
      <c r="A707" s="26" t="str">
        <f>'[2]22'!A46</f>
        <v>MKN100-709</v>
      </c>
      <c r="B707" s="27" t="str">
        <f>'[2]22'!B46</f>
        <v>Wireline crossover</v>
      </c>
      <c r="C707" s="29">
        <f>'[2]22'!C46</f>
        <v>325.5</v>
      </c>
      <c r="D707" s="114"/>
      <c r="E707" s="114"/>
      <c r="F707" s="114"/>
    </row>
    <row r="708" spans="1:6" ht="6" customHeight="1" x14ac:dyDescent="0.25">
      <c r="A708" s="112"/>
      <c r="B708" s="113"/>
      <c r="C708" s="114"/>
      <c r="D708" s="114"/>
      <c r="E708" s="114"/>
      <c r="F708" s="114"/>
    </row>
    <row r="709" spans="1:6" ht="21.95" customHeight="1" thickBot="1" x14ac:dyDescent="0.3">
      <c r="A709" s="10" t="s">
        <v>463</v>
      </c>
      <c r="B709" s="11"/>
      <c r="C709" s="13"/>
      <c r="D709" s="13"/>
      <c r="E709" s="13"/>
      <c r="F709" s="14" t="s">
        <v>5</v>
      </c>
    </row>
    <row r="710" spans="1:6" ht="6" customHeight="1" thickTop="1" x14ac:dyDescent="0.25">
      <c r="A710" s="112"/>
      <c r="B710" s="113"/>
      <c r="C710" s="114"/>
      <c r="D710" s="114"/>
      <c r="E710" s="114"/>
      <c r="F710" s="114"/>
    </row>
    <row r="711" spans="1:6" ht="15.95" customHeight="1" x14ac:dyDescent="0.25">
      <c r="A711" s="115" t="s">
        <v>464</v>
      </c>
      <c r="B711" s="116"/>
      <c r="C711" s="117"/>
      <c r="D711" s="117"/>
      <c r="E711" s="117"/>
      <c r="F711" s="117"/>
    </row>
    <row r="712" spans="1:6" x14ac:dyDescent="0.25">
      <c r="A712" s="118" t="s">
        <v>7</v>
      </c>
      <c r="B712" s="118" t="s">
        <v>8</v>
      </c>
      <c r="C712" s="119" t="s">
        <v>344</v>
      </c>
      <c r="D712" s="120"/>
      <c r="E712" s="120"/>
      <c r="F712" s="120"/>
    </row>
    <row r="713" spans="1:6" ht="24" x14ac:dyDescent="0.25">
      <c r="A713" s="22" t="str">
        <f>'[2]23'!A6</f>
        <v>MKN100-710</v>
      </c>
      <c r="B713" s="23" t="str">
        <f>'[2]23'!B6</f>
        <v>Cellar Cleaning, Well Head gratings and surface painting</v>
      </c>
      <c r="C713" s="25">
        <f>'[2]23'!D6</f>
        <v>23740.5</v>
      </c>
      <c r="D713" s="114"/>
      <c r="E713" s="114"/>
      <c r="F713" s="114"/>
    </row>
    <row r="714" spans="1:6" ht="24" x14ac:dyDescent="0.25">
      <c r="A714" s="26" t="str">
        <f>'[2]23'!A7</f>
        <v>MKN100-711</v>
      </c>
      <c r="B714" s="27" t="str">
        <f>'[2]23'!B7</f>
        <v>Sand berm with Gate and Well sign height 2m wide 3m Price by linear meter</v>
      </c>
      <c r="C714" s="29">
        <f>'[2]23'!D7</f>
        <v>76.42</v>
      </c>
      <c r="D714" s="114"/>
      <c r="E714" s="114"/>
      <c r="F714" s="114"/>
    </row>
    <row r="715" spans="1:6" x14ac:dyDescent="0.25">
      <c r="A715" s="26" t="str">
        <f>'[2]23'!A8</f>
        <v>MKN100-712</v>
      </c>
      <c r="B715" s="27" t="str">
        <f>'[2]23'!B8</f>
        <v>Aluminum Scaffolding maximum 5 m length</v>
      </c>
      <c r="C715" s="29">
        <f>'[2]23'!D8</f>
        <v>6625.5</v>
      </c>
      <c r="D715" s="114"/>
      <c r="E715" s="114"/>
      <c r="F715" s="114"/>
    </row>
    <row r="716" spans="1:6" x14ac:dyDescent="0.25">
      <c r="A716" s="26" t="str">
        <f>'[2]23'!A9</f>
        <v>MKN100-713</v>
      </c>
      <c r="B716" s="27" t="str">
        <f>'[2]23'!B9</f>
        <v>Well Pad 8m by 8m depth 50 cm</v>
      </c>
      <c r="C716" s="29">
        <f>'[2]23'!D9</f>
        <v>25200</v>
      </c>
      <c r="D716" s="114"/>
      <c r="E716" s="114"/>
      <c r="F716" s="114"/>
    </row>
    <row r="717" spans="1:6" ht="24" x14ac:dyDescent="0.25">
      <c r="A717" s="26" t="str">
        <f>'[2]23'!A10</f>
        <v>MKN100-714</v>
      </c>
      <c r="B717" s="27" t="str">
        <f>'[2]23'!B10</f>
        <v>Fill and remove sand from well site if more than 20 cm and max 60cm.</v>
      </c>
      <c r="C717" s="29">
        <f>'[2]23'!D10</f>
        <v>1.92</v>
      </c>
      <c r="D717" s="114"/>
      <c r="E717" s="114"/>
      <c r="F717" s="114"/>
    </row>
    <row r="718" spans="1:6" x14ac:dyDescent="0.25">
      <c r="A718" s="26" t="str">
        <f>'[2]23'!A11</f>
        <v>MKN100-715</v>
      </c>
      <c r="B718" s="27" t="str">
        <f>'[2]23'!B11</f>
        <v>Remove old sand berm and level the place.</v>
      </c>
      <c r="C718" s="29">
        <f>'[2]23'!D11</f>
        <v>26.57</v>
      </c>
      <c r="D718" s="114"/>
      <c r="E718" s="114"/>
      <c r="F718" s="114"/>
    </row>
    <row r="719" spans="1:6" x14ac:dyDescent="0.25">
      <c r="A719" s="26" t="str">
        <f>'[2]23'!A12</f>
        <v>MKN100-716</v>
      </c>
      <c r="B719" s="27" t="str">
        <f>'[2]23'!B12</f>
        <v>Wellhead dig-out team of 4 people</v>
      </c>
      <c r="C719" s="29">
        <f>'[2]23'!D12</f>
        <v>199.5</v>
      </c>
      <c r="D719" s="114"/>
      <c r="E719" s="114"/>
      <c r="F719" s="114"/>
    </row>
    <row r="720" spans="1:6" x14ac:dyDescent="0.25">
      <c r="A720" s="26" t="str">
        <f>'[2]23'!A13</f>
        <v>MKN100-717</v>
      </c>
      <c r="B720" s="27" t="str">
        <f>'[2]23'!B13</f>
        <v>4x4 Car with Driver</v>
      </c>
      <c r="C720" s="29">
        <f>'[2]23'!D13</f>
        <v>136.5</v>
      </c>
      <c r="D720" s="114"/>
      <c r="E720" s="114"/>
      <c r="F720" s="114"/>
    </row>
    <row r="721" spans="1:6" x14ac:dyDescent="0.25">
      <c r="A721" s="26" t="str">
        <f>'[2]23'!A14</f>
        <v>MKN100-718</v>
      </c>
      <c r="B721" s="27" t="str">
        <f>'[2]23'!B14</f>
        <v>Dig-out Engineer with gas monitor devices</v>
      </c>
      <c r="C721" s="29">
        <f>'[2]23'!D14</f>
        <v>294</v>
      </c>
      <c r="D721" s="114"/>
      <c r="E721" s="114"/>
      <c r="F721" s="114"/>
    </row>
    <row r="722" spans="1:6" ht="24" x14ac:dyDescent="0.25">
      <c r="A722" s="26" t="str">
        <f>'[2]23'!A15</f>
        <v>MKN100-719</v>
      </c>
      <c r="B722" s="27" t="str">
        <f>'[2]23'!B15</f>
        <v>Accommodation and Food per one person (if not provided by client)</v>
      </c>
      <c r="C722" s="29">
        <f>'[2]23'!D15</f>
        <v>102.9</v>
      </c>
      <c r="D722" s="114"/>
      <c r="E722" s="114"/>
      <c r="F722" s="114"/>
    </row>
    <row r="723" spans="1:6" x14ac:dyDescent="0.25">
      <c r="A723" s="26" t="str">
        <f>'[2]23'!A16</f>
        <v>MKN100-720</v>
      </c>
      <c r="B723" s="27" t="str">
        <f>'[2]23'!B16</f>
        <v>Wellhead sign</v>
      </c>
      <c r="C723" s="29">
        <f>'[2]23'!D16</f>
        <v>109.2</v>
      </c>
      <c r="D723" s="114"/>
      <c r="E723" s="114"/>
      <c r="F723" s="114"/>
    </row>
    <row r="724" spans="1:6" x14ac:dyDescent="0.25">
      <c r="A724" s="26" t="str">
        <f>'[2]23'!A17</f>
        <v>MKN100-721</v>
      </c>
      <c r="B724" s="27" t="str">
        <f>'[2]23'!B17</f>
        <v>Sand berm metal gate 6m x 1.5m</v>
      </c>
      <c r="C724" s="29">
        <f>'[2]23'!D17</f>
        <v>6170.85</v>
      </c>
      <c r="D724" s="114"/>
      <c r="E724" s="114"/>
      <c r="F724" s="114"/>
    </row>
    <row r="725" spans="1:6" x14ac:dyDescent="0.25">
      <c r="A725" s="26" t="str">
        <f>'[2]23'!A18</f>
        <v>MKN100-722</v>
      </c>
      <c r="B725" s="27" t="str">
        <f>'[2]23'!B18</f>
        <v>1.8m height Barbed Wire Fence installation</v>
      </c>
      <c r="C725" s="29">
        <f>'[2]23'!D18</f>
        <v>113.4</v>
      </c>
      <c r="D725" s="114"/>
      <c r="E725" s="114"/>
      <c r="F725" s="114"/>
    </row>
    <row r="726" spans="1:6" ht="24" x14ac:dyDescent="0.25">
      <c r="A726" s="26" t="str">
        <f>'[2]23'!A19</f>
        <v>MKN100-723</v>
      </c>
      <c r="B726" s="27" t="str">
        <f>'[2]23'!B19</f>
        <v>Welding and Fabrication of Steel-Pipe Fence around well-site</v>
      </c>
      <c r="C726" s="29">
        <f>'[2]23'!D19</f>
        <v>47.25</v>
      </c>
      <c r="D726" s="114"/>
      <c r="E726" s="114"/>
      <c r="F726" s="114"/>
    </row>
    <row r="727" spans="1:6" ht="36" x14ac:dyDescent="0.25">
      <c r="A727" s="26" t="str">
        <f>'[2]23'!A20</f>
        <v>MKN100-724</v>
      </c>
      <c r="B727" s="27" t="str">
        <f>'[2]23'!B20</f>
        <v>Reservoir/Waste Management pit, 35m x 35m x 1.8m, liquid proof, utilizing S5-Berm Polymer or enforced Synthetic polyethylene plastic</v>
      </c>
      <c r="C727" s="29">
        <f>'[2]23'!D20</f>
        <v>40545.75</v>
      </c>
      <c r="D727" s="114"/>
      <c r="E727" s="114"/>
      <c r="F727" s="114"/>
    </row>
    <row r="728" spans="1:6" ht="24" x14ac:dyDescent="0.25">
      <c r="A728" s="26" t="str">
        <f>'[2]23'!A21</f>
        <v>MKN100-725</v>
      </c>
      <c r="B728" s="27" t="str">
        <f>'[2]23'!B21</f>
        <v>Cellar Reinforced-Steel and Concrete Cover (Safety Box)</v>
      </c>
      <c r="C728" s="29">
        <f>'[2]23'!D21</f>
        <v>17150.7</v>
      </c>
      <c r="D728" s="114"/>
      <c r="E728" s="114"/>
      <c r="F728" s="114"/>
    </row>
    <row r="729" spans="1:6" ht="6" customHeight="1" x14ac:dyDescent="0.25">
      <c r="A729" s="112"/>
      <c r="B729" s="113"/>
      <c r="C729" s="114"/>
      <c r="D729" s="114"/>
      <c r="E729" s="114"/>
      <c r="F729" s="114"/>
    </row>
    <row r="730" spans="1:6" ht="15.95" customHeight="1" x14ac:dyDescent="0.25">
      <c r="A730" s="115" t="s">
        <v>465</v>
      </c>
      <c r="B730" s="116"/>
      <c r="C730" s="117"/>
      <c r="D730" s="117"/>
      <c r="E730" s="117"/>
      <c r="F730" s="117"/>
    </row>
    <row r="731" spans="1:6" x14ac:dyDescent="0.25">
      <c r="A731" s="118" t="s">
        <v>7</v>
      </c>
      <c r="B731" s="118" t="s">
        <v>8</v>
      </c>
      <c r="C731" s="119" t="s">
        <v>344</v>
      </c>
      <c r="D731" s="120"/>
      <c r="E731" s="120"/>
      <c r="F731" s="120"/>
    </row>
    <row r="732" spans="1:6" ht="36" x14ac:dyDescent="0.25">
      <c r="A732" s="22" t="str">
        <f>'[2]24'!A3</f>
        <v>MKN100-726</v>
      </c>
      <c r="B732" s="23" t="str">
        <f>'[2]24'!B3</f>
        <v>Operation coordinator Commuting from CONTRACTOR base to COMPANY offices at Client as directed daily. (Equal Time Rotation). EXPAT</v>
      </c>
      <c r="C732" s="25">
        <f>'[2]24'!D3</f>
        <v>1330.56</v>
      </c>
      <c r="D732" s="114"/>
      <c r="E732" s="114"/>
      <c r="F732" s="114"/>
    </row>
    <row r="733" spans="1:6" ht="48" x14ac:dyDescent="0.25">
      <c r="A733" s="26" t="str">
        <f>'[2]24'!A4</f>
        <v>MKN100-727</v>
      </c>
      <c r="B733" s="27" t="str">
        <f>'[2]24'!B4</f>
        <v>Operation coordinator Commuting from CONTRACTOR base to COMPANY offices at Client as directed daily. (Equal Time Rotation). NATIONAL</v>
      </c>
      <c r="C733" s="29">
        <f>'[2]24'!D4</f>
        <v>810.81</v>
      </c>
      <c r="D733" s="114"/>
      <c r="E733" s="114"/>
      <c r="F733" s="114"/>
    </row>
    <row r="734" spans="1:6" ht="36" x14ac:dyDescent="0.25">
      <c r="A734" s="26" t="str">
        <f>'[2]24'!A5</f>
        <v>MKN100-728</v>
      </c>
      <c r="B734" s="27" t="str">
        <f>'[2]24'!B5</f>
        <v>Standard Wellhead Maintenance Crew Operating Cost - Mixed crew i.e. national and expat. Crew consist of 3 to 4 Personnel.</v>
      </c>
      <c r="C734" s="29">
        <f>'[2]24'!D5</f>
        <v>1871.1</v>
      </c>
      <c r="D734" s="114"/>
      <c r="E734" s="114"/>
      <c r="F734" s="114"/>
    </row>
    <row r="735" spans="1:6" ht="24" x14ac:dyDescent="0.25">
      <c r="A735" s="26" t="str">
        <f>'[2]24'!A6</f>
        <v>MKN100-729</v>
      </c>
      <c r="B735" s="27" t="str">
        <f>'[2]24'!B6</f>
        <v>Standard Wellhead Maintenance Package and Crew Operating Cost - Equipment Only</v>
      </c>
      <c r="C735" s="29">
        <f>'[2]24'!D6</f>
        <v>2494.8000000000002</v>
      </c>
      <c r="D735" s="114"/>
      <c r="E735" s="114"/>
      <c r="F735" s="114"/>
    </row>
    <row r="736" spans="1:6" ht="36" x14ac:dyDescent="0.25">
      <c r="A736" s="26" t="str">
        <f>'[2]24'!A7</f>
        <v>MKN100-730</v>
      </c>
      <c r="B736" s="27" t="str">
        <f>'[2]24'!B7</f>
        <v>Monthly Standard Wellhead Maintenance Package and Crew Operating Cost - Equipment Only</v>
      </c>
      <c r="C736" s="29">
        <f>'[2]24'!D7</f>
        <v>41372.1</v>
      </c>
      <c r="D736" s="114"/>
      <c r="E736" s="114"/>
      <c r="F736" s="114"/>
    </row>
    <row r="737" spans="1:6" ht="48" x14ac:dyDescent="0.25">
      <c r="A737" s="26" t="str">
        <f>'[2]24'!A8</f>
        <v>MKN100-731</v>
      </c>
      <c r="B737" s="27" t="str">
        <f>'[2]24'!B8</f>
        <v>Standard Wellhead Maintenance Package and Crew Operating Cost - Mixed crew i.e. national and expat personnel-inclusive of consumables. Crew consist of 3 to 4 Personnel.</v>
      </c>
      <c r="C737" s="29">
        <f>'[2]24'!D8</f>
        <v>4072.76</v>
      </c>
      <c r="D737" s="114"/>
      <c r="E737" s="114"/>
      <c r="F737" s="114"/>
    </row>
    <row r="738" spans="1:6" ht="48" x14ac:dyDescent="0.25">
      <c r="A738" s="26" t="str">
        <f>'[2]24'!A9</f>
        <v>MKN100-732</v>
      </c>
      <c r="B738" s="27" t="str">
        <f>'[2]24'!B9</f>
        <v>Monthly Standard Wellhead Maintenance Package and Crew Operating Cost - Mixed crew i.e., national and expat personnel-inclusive of consumables. Crew consist of 3 to 4 Personnel</v>
      </c>
      <c r="C738" s="29">
        <f>'[2]24'!D9</f>
        <v>89792.01</v>
      </c>
      <c r="D738" s="114"/>
      <c r="E738" s="114"/>
      <c r="F738" s="114"/>
    </row>
    <row r="739" spans="1:6" ht="36" x14ac:dyDescent="0.25">
      <c r="A739" s="26" t="str">
        <f>'[2]24'!A10</f>
        <v>MKN100-733</v>
      </c>
      <c r="B739" s="27" t="str">
        <f>'[2]24'!B10</f>
        <v>Stand by Rate for Standard Wellhead Maintenance Package and Crew - Waiting on client decision</v>
      </c>
      <c r="C739" s="29">
        <f>'[2]24'!D10</f>
        <v>2494.8000000000002</v>
      </c>
      <c r="D739" s="114"/>
      <c r="E739" s="114"/>
      <c r="F739" s="114"/>
    </row>
    <row r="740" spans="1:6" ht="48" x14ac:dyDescent="0.25">
      <c r="A740" s="26" t="str">
        <f>'[2]24'!A11</f>
        <v>MKN100-734</v>
      </c>
      <c r="B740" s="27" t="str">
        <f>'[2]24'!B11</f>
        <v>Standard Wellhead Maintenance Package and Crew Operating Cost - Mixed crew i.e national and expat personnel-excluding consumables. Crew consist of 3 to 4 personnel.</v>
      </c>
      <c r="C740" s="29">
        <f>'[2]24'!D11</f>
        <v>3430.35</v>
      </c>
      <c r="D740" s="114"/>
      <c r="E740" s="114"/>
      <c r="F740" s="114"/>
    </row>
    <row r="741" spans="1:6" ht="48" x14ac:dyDescent="0.25">
      <c r="A741" s="26" t="str">
        <f>'[2]24'!A12</f>
        <v>MKN100-735</v>
      </c>
      <c r="B741" s="27" t="str">
        <f>'[2]24'!B12</f>
        <v>Monthly Standard Wellhead Maintenance Package and Crew Operating Cost - Mixed crew i.e. national and expat personnel-excluding consumables. Crew consist of 3 to 4 Personnel</v>
      </c>
      <c r="C741" s="29">
        <f>'[2]24'!D12</f>
        <v>77130.899999999994</v>
      </c>
      <c r="D741" s="114"/>
      <c r="E741" s="114"/>
      <c r="F741" s="114"/>
    </row>
    <row r="742" spans="1:6" ht="24" x14ac:dyDescent="0.25">
      <c r="A742" s="26" t="str">
        <f>'[2]24'!A13</f>
        <v>MKN100-736</v>
      </c>
      <c r="B742" s="27" t="str">
        <f>'[2]24'!B13</f>
        <v>Call Off BPV/TWC/V/R Services Equipment Package and Crew Operating Cost.</v>
      </c>
      <c r="C742" s="29">
        <f>'[2]24'!D13</f>
        <v>10187.1</v>
      </c>
      <c r="D742" s="114"/>
      <c r="E742" s="114"/>
      <c r="F742" s="114"/>
    </row>
    <row r="743" spans="1:6" x14ac:dyDescent="0.25">
      <c r="A743" s="26" t="str">
        <f>'[2]24'!A14</f>
        <v>MKN100-737</v>
      </c>
      <c r="B743" s="27" t="str">
        <f>'[2]24'!B14</f>
        <v>Hot Tapping Operating Cost.</v>
      </c>
      <c r="C743" s="29">
        <f>'[2]24'!D14</f>
        <v>9251.5499999999993</v>
      </c>
      <c r="D743" s="114"/>
      <c r="E743" s="114"/>
      <c r="F743" s="114"/>
    </row>
    <row r="744" spans="1:6" x14ac:dyDescent="0.25">
      <c r="A744" s="26" t="str">
        <f>'[2]24'!A15</f>
        <v>MKN100-738</v>
      </c>
      <c r="B744" s="27" t="str">
        <f>'[2]24'!B15</f>
        <v>Gate Valve Drilling and Milling Operating Cost.</v>
      </c>
      <c r="C744" s="29">
        <f>'[2]24'!D15</f>
        <v>16663.5</v>
      </c>
      <c r="D744" s="114"/>
      <c r="E744" s="114"/>
      <c r="F744" s="114"/>
    </row>
    <row r="745" spans="1:6" ht="24" x14ac:dyDescent="0.25">
      <c r="A745" s="26" t="str">
        <f>'[2]24'!A16</f>
        <v>MKN100-739</v>
      </c>
      <c r="B745" s="27" t="str">
        <f>'[2]24'!B16</f>
        <v>Workshop Services and Personnel Package Operating Cost.</v>
      </c>
      <c r="C745" s="29">
        <f>'[2]24'!D16</f>
        <v>1247.4000000000001</v>
      </c>
      <c r="D745" s="114"/>
      <c r="E745" s="114"/>
      <c r="F745" s="114"/>
    </row>
    <row r="746" spans="1:6" ht="24" x14ac:dyDescent="0.25">
      <c r="A746" s="26" t="str">
        <f>'[2]24'!A17</f>
        <v>MKN100-740</v>
      </c>
      <c r="B746" s="27" t="str">
        <f>'[2]24'!B17</f>
        <v>Workshop Services and Personnel Package Operating Cost.</v>
      </c>
      <c r="C746" s="29">
        <f>'[2]24'!D17</f>
        <v>22869</v>
      </c>
      <c r="D746" s="114"/>
      <c r="E746" s="114"/>
      <c r="F746" s="114"/>
    </row>
    <row r="747" spans="1:6" ht="24" x14ac:dyDescent="0.25">
      <c r="A747" s="26" t="str">
        <f>'[2]24'!A18</f>
        <v>MKN100-741</v>
      </c>
      <c r="B747" s="27" t="str">
        <f>'[2]24'!B18</f>
        <v>Inventory Management Service in COMPANY facility Operating Cost.</v>
      </c>
      <c r="C747" s="29">
        <f>'[2]24'!D18</f>
        <v>1247.4000000000001</v>
      </c>
      <c r="D747" s="114"/>
      <c r="E747" s="114"/>
      <c r="F747" s="114"/>
    </row>
    <row r="748" spans="1:6" ht="24" x14ac:dyDescent="0.25">
      <c r="A748" s="26" t="str">
        <f>'[2]24'!A19</f>
        <v>MKN100-742</v>
      </c>
      <c r="B748" s="27" t="str">
        <f>'[2]24'!B19</f>
        <v>Monthly Inventory Management Service in COMPANY facility Operating Cost.</v>
      </c>
      <c r="C748" s="29">
        <f>'[2]24'!D19</f>
        <v>25987.5</v>
      </c>
      <c r="D748" s="114"/>
      <c r="E748" s="114"/>
      <c r="F748" s="114"/>
    </row>
    <row r="749" spans="1:6" ht="6" customHeight="1" x14ac:dyDescent="0.25">
      <c r="A749" s="112"/>
      <c r="B749" s="113"/>
      <c r="C749" s="114"/>
      <c r="D749" s="114"/>
      <c r="E749" s="114"/>
      <c r="F749" s="114"/>
    </row>
    <row r="750" spans="1:6" ht="15.95" customHeight="1" x14ac:dyDescent="0.25">
      <c r="A750" s="115" t="s">
        <v>466</v>
      </c>
      <c r="B750" s="116"/>
      <c r="C750" s="117"/>
      <c r="D750" s="117"/>
      <c r="E750" s="117"/>
      <c r="F750" s="117"/>
    </row>
    <row r="751" spans="1:6" x14ac:dyDescent="0.25">
      <c r="A751" s="118" t="s">
        <v>7</v>
      </c>
      <c r="B751" s="118" t="s">
        <v>8</v>
      </c>
      <c r="C751" s="119" t="s">
        <v>344</v>
      </c>
      <c r="D751" s="120"/>
      <c r="E751" s="120"/>
      <c r="F751" s="120"/>
    </row>
    <row r="752" spans="1:6" x14ac:dyDescent="0.25">
      <c r="A752" s="22" t="str">
        <f>'[2]24'!A23</f>
        <v>MKN100-743</v>
      </c>
      <c r="B752" s="23" t="str">
        <f>'[2]24'!B23</f>
        <v>INSULTION ENGINEER</v>
      </c>
      <c r="C752" s="25">
        <f>'[2]24'!C23</f>
        <v>554</v>
      </c>
      <c r="D752" s="114"/>
      <c r="E752" s="114"/>
      <c r="F752" s="114"/>
    </row>
    <row r="753" spans="1:6" x14ac:dyDescent="0.25">
      <c r="A753" s="26" t="str">
        <f>'[2]24'!A24</f>
        <v>MKN100-744</v>
      </c>
      <c r="B753" s="27" t="str">
        <f>'[2]24'!B24</f>
        <v>SIKA TECH</v>
      </c>
      <c r="C753" s="29">
        <f>'[2]24'!C24</f>
        <v>120</v>
      </c>
      <c r="D753" s="114"/>
      <c r="E753" s="114"/>
      <c r="F753" s="114"/>
    </row>
    <row r="754" spans="1:6" ht="6" customHeight="1" x14ac:dyDescent="0.25">
      <c r="A754" s="112"/>
      <c r="B754" s="113"/>
      <c r="C754" s="114"/>
      <c r="D754" s="114"/>
      <c r="E754" s="114"/>
      <c r="F754" s="114"/>
    </row>
    <row r="755" spans="1:6" ht="21.95" customHeight="1" thickBot="1" x14ac:dyDescent="0.3">
      <c r="A755" s="10" t="s">
        <v>467</v>
      </c>
      <c r="B755" s="11"/>
      <c r="C755" s="13"/>
      <c r="D755" s="13"/>
      <c r="E755" s="13"/>
      <c r="F755" s="14" t="s">
        <v>5</v>
      </c>
    </row>
    <row r="756" spans="1:6" ht="6" customHeight="1" thickTop="1" x14ac:dyDescent="0.25">
      <c r="A756" s="112"/>
      <c r="B756" s="113"/>
      <c r="C756" s="114"/>
      <c r="D756" s="114"/>
      <c r="E756" s="114"/>
      <c r="F756" s="114"/>
    </row>
    <row r="757" spans="1:6" ht="15.95" customHeight="1" x14ac:dyDescent="0.25">
      <c r="A757" s="115" t="s">
        <v>468</v>
      </c>
      <c r="B757" s="116"/>
      <c r="C757" s="117"/>
      <c r="D757" s="117"/>
      <c r="E757" s="117"/>
      <c r="F757" s="117"/>
    </row>
    <row r="758" spans="1:6" x14ac:dyDescent="0.25">
      <c r="A758" s="118" t="s">
        <v>7</v>
      </c>
      <c r="B758" s="118" t="s">
        <v>8</v>
      </c>
      <c r="C758" s="119" t="s">
        <v>440</v>
      </c>
      <c r="D758" s="119" t="s">
        <v>441</v>
      </c>
      <c r="E758" s="119" t="s">
        <v>443</v>
      </c>
      <c r="F758" s="120"/>
    </row>
    <row r="759" spans="1:6" x14ac:dyDescent="0.25">
      <c r="A759" s="22" t="str">
        <f>'[2]25'!A9</f>
        <v>MKN100-745</v>
      </c>
      <c r="B759" s="23" t="str">
        <f>'[2]25'!B9</f>
        <v>Whip-Stock Engineer Per Day</v>
      </c>
      <c r="C759" s="25">
        <f>'[2]25'!C9</f>
        <v>1700</v>
      </c>
      <c r="D759" s="25"/>
      <c r="E759" s="25"/>
      <c r="F759" s="114"/>
    </row>
    <row r="760" spans="1:6" ht="24" x14ac:dyDescent="0.25">
      <c r="A760" s="26" t="str">
        <f>'[2]25'!A10</f>
        <v>MKN100-746</v>
      </c>
      <c r="B760" s="27" t="str">
        <f>'[2]25'!B10</f>
        <v>Full set Whip Stock with Mechanical Anchor (2 Strips)</v>
      </c>
      <c r="C760" s="29">
        <f>'[2]25'!C10</f>
        <v>64000</v>
      </c>
      <c r="D760" s="29">
        <f>'[2]25'!D10</f>
        <v>50000</v>
      </c>
      <c r="E760" s="29">
        <f>'[2]25'!E10</f>
        <v>38000</v>
      </c>
      <c r="F760" s="114"/>
    </row>
    <row r="761" spans="1:6" ht="24" x14ac:dyDescent="0.25">
      <c r="A761" s="26" t="str">
        <f>'[2]25'!A11</f>
        <v>MKN100-747</v>
      </c>
      <c r="B761" s="27" t="str">
        <f>'[2]25'!B11</f>
        <v>Full set Whip-Stock with Mechanical Anchor (1 Strip)</v>
      </c>
      <c r="C761" s="29">
        <f>'[2]25'!C11</f>
        <v>70000</v>
      </c>
      <c r="D761" s="29">
        <f>'[2]25'!D11</f>
        <v>65000</v>
      </c>
      <c r="E761" s="29">
        <f>'[2]25'!E11</f>
        <v>45000</v>
      </c>
      <c r="F761" s="114"/>
    </row>
    <row r="762" spans="1:6" ht="24" x14ac:dyDescent="0.25">
      <c r="A762" s="26" t="str">
        <f>'[2]25'!A12</f>
        <v>MKN100-748</v>
      </c>
      <c r="B762" s="27" t="str">
        <f>'[2]25'!B12</f>
        <v>Full set Whip-Stock with Hydraulic System (2 Strips)</v>
      </c>
      <c r="C762" s="29">
        <f>'[2]25'!C12</f>
        <v>72000</v>
      </c>
      <c r="D762" s="29">
        <f>'[2]25'!D12</f>
        <v>58000</v>
      </c>
      <c r="E762" s="29">
        <f>'[2]25'!E12</f>
        <v>47000</v>
      </c>
      <c r="F762" s="114"/>
    </row>
    <row r="763" spans="1:6" ht="24" x14ac:dyDescent="0.25">
      <c r="A763" s="26" t="str">
        <f>'[2]25'!A13</f>
        <v>MKN100-749</v>
      </c>
      <c r="B763" s="27" t="str">
        <f>'[2]25'!B13</f>
        <v>Full set Whip-Stock with Hydraulic System (1 Strip)</v>
      </c>
      <c r="C763" s="29">
        <f>'[2]25'!C13</f>
        <v>76000</v>
      </c>
      <c r="D763" s="29">
        <f>'[2]25'!D13</f>
        <v>71000</v>
      </c>
      <c r="E763" s="29">
        <f>'[2]25'!E13</f>
        <v>51000</v>
      </c>
      <c r="F763" s="114"/>
    </row>
    <row r="764" spans="1:6" ht="6" customHeight="1" x14ac:dyDescent="0.25">
      <c r="A764" s="112"/>
      <c r="B764" s="113"/>
      <c r="C764" s="114"/>
      <c r="D764" s="114"/>
      <c r="E764" s="114"/>
      <c r="F764" s="114"/>
    </row>
    <row r="765" spans="1:6" ht="21.95" customHeight="1" thickBot="1" x14ac:dyDescent="0.3">
      <c r="A765" s="10" t="s">
        <v>469</v>
      </c>
      <c r="B765" s="11"/>
      <c r="C765" s="13"/>
      <c r="D765" s="13"/>
      <c r="E765" s="13"/>
      <c r="F765" s="14" t="s">
        <v>5</v>
      </c>
    </row>
    <row r="766" spans="1:6" ht="6" customHeight="1" thickTop="1" x14ac:dyDescent="0.25">
      <c r="A766" s="112"/>
      <c r="B766" s="113"/>
      <c r="C766" s="114"/>
      <c r="D766" s="114"/>
      <c r="E766" s="114"/>
      <c r="F766" s="114"/>
    </row>
    <row r="767" spans="1:6" ht="15.95" customHeight="1" x14ac:dyDescent="0.25">
      <c r="A767" s="115" t="s">
        <v>470</v>
      </c>
      <c r="B767" s="116"/>
      <c r="C767" s="117"/>
      <c r="D767" s="117"/>
      <c r="E767" s="117"/>
      <c r="F767" s="117"/>
    </row>
    <row r="768" spans="1:6" x14ac:dyDescent="0.25">
      <c r="A768" s="118" t="s">
        <v>7</v>
      </c>
      <c r="B768" s="118" t="s">
        <v>8</v>
      </c>
      <c r="C768" s="119" t="s">
        <v>9</v>
      </c>
      <c r="D768" s="119" t="s">
        <v>344</v>
      </c>
      <c r="E768" s="120"/>
      <c r="F768" s="120"/>
    </row>
    <row r="769" spans="1:6" ht="24" x14ac:dyDescent="0.25">
      <c r="A769" s="22" t="str">
        <f>'[2]26'!A6</f>
        <v>MKN100-636</v>
      </c>
      <c r="B769" s="23" t="str">
        <f>'[2]26'!B6</f>
        <v>Multi Barrier Corrosion Measurements for up to 4 barriers. (Minimum 3 wells).</v>
      </c>
      <c r="C769" s="25" t="str">
        <f>'[2]26'!C6</f>
        <v>Per Job</v>
      </c>
      <c r="D769" s="25">
        <f>'[2]26'!D6</f>
        <v>63200</v>
      </c>
      <c r="E769" s="114"/>
      <c r="F769" s="114"/>
    </row>
    <row r="770" spans="1:6" x14ac:dyDescent="0.25">
      <c r="A770" s="26" t="str">
        <f>'[2]26'!A7</f>
        <v>MKN100-637</v>
      </c>
      <c r="B770" s="27" t="str">
        <f>'[2]26'!B7</f>
        <v>Noise-Log for leak detection (Minimum 3 wells).</v>
      </c>
      <c r="C770" s="29" t="str">
        <f>'[2]26'!C7</f>
        <v>Per Job</v>
      </c>
      <c r="D770" s="29">
        <f>'[2]26'!D7</f>
        <v>62000</v>
      </c>
      <c r="E770" s="114"/>
      <c r="F770" s="114"/>
    </row>
    <row r="771" spans="1:6" ht="24" x14ac:dyDescent="0.25">
      <c r="A771" s="26" t="str">
        <f>'[2]26'!A8</f>
        <v>MKN100-638</v>
      </c>
      <c r="B771" s="27" t="str">
        <f>'[2]26'!B8</f>
        <v>Mechanical Cutter for Pipe and Completion From 2.5" to 4.75" ID Current Max Thickness 0.75"</v>
      </c>
      <c r="C771" s="29" t="str">
        <f>'[2]26'!C8</f>
        <v>Per Cut</v>
      </c>
      <c r="D771" s="29">
        <f>'[2]26'!D8</f>
        <v>78000</v>
      </c>
      <c r="E771" s="114"/>
      <c r="F771" s="114"/>
    </row>
    <row r="772" spans="1:6" x14ac:dyDescent="0.25">
      <c r="A772" s="111"/>
      <c r="B772" s="102"/>
      <c r="C772" s="103"/>
      <c r="D772" s="103"/>
      <c r="E772" s="103"/>
      <c r="F772" s="103"/>
    </row>
  </sheetData>
  <mergeCells count="15">
    <mergeCell ref="A318:F318"/>
    <mergeCell ref="A319:F319"/>
    <mergeCell ref="A320:F320"/>
    <mergeCell ref="A260:F260"/>
    <mergeCell ref="A261:F261"/>
    <mergeCell ref="A262:F262"/>
    <mergeCell ref="A263:F263"/>
    <mergeCell ref="A264:F264"/>
    <mergeCell ref="A317:F317"/>
    <mergeCell ref="A259:F259"/>
    <mergeCell ref="A48:F48"/>
    <mergeCell ref="A235:F235"/>
    <mergeCell ref="A256:F256"/>
    <mergeCell ref="A257:F257"/>
    <mergeCell ref="A258:F258"/>
  </mergeCells>
  <hyperlinks>
    <hyperlink ref="F6" location="Contents!A1" tooltip="Back to Contents" display="← Contents" xr:uid="{5B0DBF33-54F0-4736-9FD8-4EB1959AA6C7}"/>
    <hyperlink ref="F95" location="Contents!A1" tooltip="Back to Contents" display="← Contents" xr:uid="{A4969528-D2BE-4479-B497-13E1C4746868}"/>
    <hyperlink ref="F186" location="Contents!A1" tooltip="Back to Contents" display="← Contents" xr:uid="{09A21D1E-E580-4EC1-AE8B-5A3543F3BC6D}"/>
    <hyperlink ref="F322" location="Contents!A1" tooltip="Back to Contents" display="← Contents" xr:uid="{E9DAE17A-D904-44DB-AEF2-6C5F560BD29F}"/>
    <hyperlink ref="F507" location="Contents!A1" tooltip="Back to Contents" display="← Contents" xr:uid="{1362427C-DBFF-4F80-820F-467514C20FF4}"/>
    <hyperlink ref="F545" location="Contents!A1" tooltip="Back to Contents" display="← Contents" xr:uid="{E005CA91-51E8-4A13-B13C-F65CFC3230FC}"/>
    <hyperlink ref="F552" location="Contents!A1" tooltip="Back to Contents" display="← Contents" xr:uid="{7891398D-4D23-47BE-B3DB-B6661B3E16C7}"/>
    <hyperlink ref="F668" location="Contents!A1" tooltip="Back to Contents" display="← Contents" xr:uid="{2107DFA1-9DD9-4059-88F2-FB263BCF7AAF}"/>
    <hyperlink ref="F709" location="Contents!A1" tooltip="Back to Contents" display="← Contents" xr:uid="{7CF9999C-4ECE-484F-A8B8-EE23EB227C6B}"/>
    <hyperlink ref="F755" location="Contents!A1" tooltip="Back to Contents" display="← Contents" xr:uid="{470D15F0-8483-41F5-AFDC-D7F4B74472FE}"/>
    <hyperlink ref="F765" location="Contents!A1" tooltip="Back to Contents" display="← Contents" xr:uid="{C703905A-BD88-4794-91CA-B7B044E960C6}"/>
  </hyperlinks>
  <printOptions horizontalCentered="1"/>
  <pageMargins left="0.3888888888888889" right="0.3888888888888889" top="0.5" bottom="0.5" header="0.3" footer="0.3"/>
  <pageSetup scale="96" fitToHeight="0" orientation="portrait" r:id="rId1"/>
  <headerFooter>
    <oddFooter>&amp;CPage &amp;P of &amp;N</oddFooter>
  </headerFooter>
  <rowBreaks count="19" manualBreakCount="19">
    <brk id="38" max="16383" man="1"/>
    <brk id="83" max="16383" man="1"/>
    <brk id="125" max="16383" man="1"/>
    <brk id="164" max="16383" man="1"/>
    <brk id="199" max="16383" man="1"/>
    <brk id="236" max="16383" man="1"/>
    <brk id="276" max="16383" man="1"/>
    <brk id="321" max="16383" man="1"/>
    <brk id="363" max="16383" man="1"/>
    <brk id="410" max="16383" man="1"/>
    <brk id="449" max="16383" man="1"/>
    <brk id="496" max="16383" man="1"/>
    <brk id="539" max="16383" man="1"/>
    <brk id="577" max="16383" man="1"/>
    <brk id="617" max="16383" man="1"/>
    <brk id="655" max="16383" man="1"/>
    <brk id="695" max="16383" man="1"/>
    <brk id="729" max="16383" man="1"/>
    <brk id="75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661C-0BBB-4880-AC50-F150954A7039}">
  <sheetPr>
    <pageSetUpPr fitToPage="1"/>
  </sheetPr>
  <dimension ref="A1:F423"/>
  <sheetViews>
    <sheetView showGridLines="0" zoomScale="85" zoomScaleNormal="85" workbookViewId="0">
      <pane ySplit="4" topLeftCell="A5" activePane="bottomLeft" state="frozen"/>
      <selection pane="bottomLeft" activeCell="A2" sqref="A2"/>
    </sheetView>
  </sheetViews>
  <sheetFormatPr defaultRowHeight="15" x14ac:dyDescent="0.25"/>
  <cols>
    <col min="1" max="1" width="12.5703125" customWidth="1"/>
    <col min="2" max="2" width="40.5703125" customWidth="1"/>
    <col min="3" max="6" width="12.140625" customWidth="1"/>
  </cols>
  <sheetData>
    <row r="1" spans="1:6" ht="21" x14ac:dyDescent="0.25">
      <c r="A1" s="56" t="s">
        <v>2624</v>
      </c>
      <c r="B1" s="57"/>
      <c r="C1" s="57"/>
      <c r="D1" s="57"/>
      <c r="E1" s="57"/>
    </row>
    <row r="2" spans="1:6" x14ac:dyDescent="0.25">
      <c r="A2" s="3" t="s">
        <v>0</v>
      </c>
      <c r="B2" s="1"/>
      <c r="C2" s="2"/>
      <c r="D2" s="2"/>
      <c r="E2" s="2"/>
      <c r="F2" s="2"/>
    </row>
    <row r="3" spans="1:6" x14ac:dyDescent="0.25">
      <c r="A3" s="4" t="s">
        <v>1</v>
      </c>
      <c r="B3" s="1"/>
      <c r="C3" s="2"/>
      <c r="D3" s="2"/>
      <c r="E3" s="2"/>
      <c r="F3" s="2"/>
    </row>
    <row r="4" spans="1:6" x14ac:dyDescent="0.25">
      <c r="A4" s="5" t="s">
        <v>2</v>
      </c>
      <c r="B4" s="6"/>
      <c r="C4" s="7"/>
      <c r="D4" s="2" t="s">
        <v>3</v>
      </c>
      <c r="E4" s="8"/>
      <c r="F4" s="7"/>
    </row>
    <row r="5" spans="1:6" ht="24" customHeight="1" x14ac:dyDescent="0.25">
      <c r="A5" s="5"/>
      <c r="B5" s="1"/>
      <c r="C5" s="9"/>
      <c r="D5" s="9"/>
      <c r="E5" s="9"/>
      <c r="F5" s="9"/>
    </row>
    <row r="6" spans="1:6" ht="21.95" customHeight="1" thickBot="1" x14ac:dyDescent="0.3">
      <c r="A6" s="10" t="s">
        <v>4</v>
      </c>
      <c r="B6" s="11"/>
      <c r="C6" s="12"/>
      <c r="D6" s="13"/>
      <c r="E6" s="13"/>
      <c r="F6" s="14" t="s">
        <v>5</v>
      </c>
    </row>
    <row r="7" spans="1:6" ht="6" customHeight="1" thickTop="1" x14ac:dyDescent="0.25">
      <c r="A7" s="5"/>
      <c r="B7" s="1"/>
      <c r="C7" s="15"/>
      <c r="D7" s="9"/>
      <c r="E7" s="9"/>
      <c r="F7" s="9"/>
    </row>
    <row r="8" spans="1:6" ht="15.95" customHeight="1" x14ac:dyDescent="0.25">
      <c r="A8" s="16" t="s">
        <v>6</v>
      </c>
      <c r="B8" s="17"/>
      <c r="C8" s="18"/>
      <c r="D8" s="19"/>
      <c r="E8" s="19"/>
      <c r="F8" s="19"/>
    </row>
    <row r="9" spans="1:6" x14ac:dyDescent="0.25">
      <c r="A9" s="20" t="s">
        <v>7</v>
      </c>
      <c r="B9" s="20" t="s">
        <v>8</v>
      </c>
      <c r="C9" s="21" t="s">
        <v>9</v>
      </c>
      <c r="D9" s="21" t="s">
        <v>10</v>
      </c>
      <c r="E9" s="21"/>
      <c r="F9" s="21"/>
    </row>
    <row r="10" spans="1:6" x14ac:dyDescent="0.25">
      <c r="A10" s="22" t="str">
        <f>'[3]5'!A7</f>
        <v>MKN 100-0205</v>
      </c>
      <c r="B10" s="23" t="str">
        <f>'[3]5'!B7</f>
        <v>Fishing Tool Supervisor</v>
      </c>
      <c r="C10" s="24" t="str">
        <f>'[3]5'!C7</f>
        <v>$/day</v>
      </c>
      <c r="D10" s="25">
        <f>'[3]5'!D7</f>
        <v>1200</v>
      </c>
      <c r="E10" s="25"/>
      <c r="F10" s="25"/>
    </row>
    <row r="11" spans="1:6" x14ac:dyDescent="0.25">
      <c r="A11" s="26" t="str">
        <f>'[3]5'!A8</f>
        <v>MKN 100-0210</v>
      </c>
      <c r="B11" s="27" t="str">
        <f>'[3]5'!B8</f>
        <v>Tools pick up</v>
      </c>
      <c r="C11" s="28" t="str">
        <f>'[3]5'!C8</f>
        <v>$/km</v>
      </c>
      <c r="D11" s="29">
        <f>'[3]5'!D8</f>
        <v>2</v>
      </c>
      <c r="E11" s="29"/>
      <c r="F11" s="29"/>
    </row>
    <row r="12" spans="1:6" x14ac:dyDescent="0.25">
      <c r="A12" s="26" t="str">
        <f>'[3]5'!A9</f>
        <v>MKN 100-0215</v>
      </c>
      <c r="B12" s="27" t="str">
        <f>'[3]5'!B9</f>
        <v>Truck</v>
      </c>
      <c r="C12" s="28" t="str">
        <f>'[3]5'!C9</f>
        <v>$/km</v>
      </c>
      <c r="D12" s="29">
        <f>'[3]5'!D9</f>
        <v>3</v>
      </c>
      <c r="E12" s="29"/>
      <c r="F12" s="29"/>
    </row>
    <row r="13" spans="1:6" ht="6" customHeight="1" x14ac:dyDescent="0.25">
      <c r="A13" s="5"/>
      <c r="B13" s="1"/>
      <c r="C13" s="15"/>
      <c r="D13" s="9"/>
      <c r="E13" s="9"/>
      <c r="F13" s="9"/>
    </row>
    <row r="14" spans="1:6" ht="15.95" customHeight="1" x14ac:dyDescent="0.25">
      <c r="A14" s="16" t="s">
        <v>11</v>
      </c>
      <c r="B14" s="17"/>
      <c r="C14" s="18"/>
      <c r="D14" s="19"/>
      <c r="E14" s="19"/>
      <c r="F14" s="19"/>
    </row>
    <row r="15" spans="1:6" x14ac:dyDescent="0.25">
      <c r="A15" s="20" t="s">
        <v>7</v>
      </c>
      <c r="B15" s="20" t="s">
        <v>8</v>
      </c>
      <c r="C15" s="21" t="s">
        <v>9</v>
      </c>
      <c r="D15" s="21" t="s">
        <v>12</v>
      </c>
      <c r="E15" s="21" t="s">
        <v>13</v>
      </c>
      <c r="F15" s="21"/>
    </row>
    <row r="16" spans="1:6" x14ac:dyDescent="0.25">
      <c r="A16" s="22" t="str">
        <f>'[3]6'!A10</f>
        <v>MKN 100-001</v>
      </c>
      <c r="B16" s="23" t="str">
        <f>'[3]6'!B10</f>
        <v>Thru 3-3/4"OD</v>
      </c>
      <c r="C16" s="24" t="str">
        <f>'[3]6'!C10</f>
        <v>$/day</v>
      </c>
      <c r="D16" s="25">
        <f>'[3]6'!D10</f>
        <v>270</v>
      </c>
      <c r="E16" s="25">
        <f>'[3]6'!E10</f>
        <v>25</v>
      </c>
      <c r="F16" s="25"/>
    </row>
    <row r="17" spans="1:6" x14ac:dyDescent="0.25">
      <c r="A17" s="26" t="str">
        <f>'[3]6'!A11</f>
        <v>MKN 100-002</v>
      </c>
      <c r="B17" s="27" t="str">
        <f>'[3]6'!B11</f>
        <v>Thru 4-1/4"OD</v>
      </c>
      <c r="C17" s="28" t="str">
        <f>'[3]6'!C11</f>
        <v>$/day</v>
      </c>
      <c r="D17" s="29">
        <f>'[3]6'!D11</f>
        <v>280</v>
      </c>
      <c r="E17" s="29">
        <f>'[3]6'!E11</f>
        <v>25</v>
      </c>
      <c r="F17" s="29"/>
    </row>
    <row r="18" spans="1:6" x14ac:dyDescent="0.25">
      <c r="A18" s="26" t="str">
        <f>'[3]6'!A12</f>
        <v>MKN 100-003</v>
      </c>
      <c r="B18" s="27" t="str">
        <f>'[3]6'!B12</f>
        <v>Thru 4-3/4" OD</v>
      </c>
      <c r="C18" s="28" t="str">
        <f>'[3]6'!C12</f>
        <v>$/day</v>
      </c>
      <c r="D18" s="29">
        <f>'[3]6'!D12</f>
        <v>360</v>
      </c>
      <c r="E18" s="29">
        <f>'[3]6'!E12</f>
        <v>35</v>
      </c>
      <c r="F18" s="29"/>
    </row>
    <row r="19" spans="1:6" x14ac:dyDescent="0.25">
      <c r="A19" s="26" t="str">
        <f>'[3]6'!A13</f>
        <v>MKN 100-004</v>
      </c>
      <c r="B19" s="27" t="str">
        <f>'[3]6'!B13</f>
        <v>Thru 5-3/4" OD</v>
      </c>
      <c r="C19" s="28" t="str">
        <f>'[3]6'!C13</f>
        <v>$/day</v>
      </c>
      <c r="D19" s="29">
        <f>'[3]6'!D13</f>
        <v>400</v>
      </c>
      <c r="E19" s="29">
        <f>'[3]6'!E13</f>
        <v>40</v>
      </c>
      <c r="F19" s="29"/>
    </row>
    <row r="20" spans="1:6" x14ac:dyDescent="0.25">
      <c r="A20" s="26" t="str">
        <f>'[3]6'!A14</f>
        <v>MKN 100-005</v>
      </c>
      <c r="B20" s="27" t="str">
        <f>'[3]6'!B14</f>
        <v>Thru 6-1/8"OD</v>
      </c>
      <c r="C20" s="28" t="str">
        <f>'[3]6'!C14</f>
        <v>$/day</v>
      </c>
      <c r="D20" s="29">
        <f>'[3]6'!D14</f>
        <v>420</v>
      </c>
      <c r="E20" s="29">
        <f>'[3]6'!E14</f>
        <v>40</v>
      </c>
      <c r="F20" s="29"/>
    </row>
    <row r="21" spans="1:6" x14ac:dyDescent="0.25">
      <c r="A21" s="26" t="str">
        <f>'[3]6'!A15</f>
        <v>MKN 100-006</v>
      </c>
      <c r="B21" s="27" t="str">
        <f>'[3]6'!B15</f>
        <v>Thru 6-3/4"OD</v>
      </c>
      <c r="C21" s="28" t="str">
        <f>'[3]6'!C15</f>
        <v>$/day</v>
      </c>
      <c r="D21" s="29">
        <f>'[3]6'!D15</f>
        <v>470</v>
      </c>
      <c r="E21" s="29">
        <f>'[3]6'!E15</f>
        <v>45</v>
      </c>
      <c r="F21" s="29"/>
    </row>
    <row r="22" spans="1:6" x14ac:dyDescent="0.25">
      <c r="A22" s="26" t="str">
        <f>'[3]6'!A16</f>
        <v>MKN 100-007</v>
      </c>
      <c r="B22" s="27" t="str">
        <f>'[3]6'!B16</f>
        <v>Thru 7-3/4"OD</v>
      </c>
      <c r="C22" s="28" t="str">
        <f>'[3]6'!C16</f>
        <v>$/day</v>
      </c>
      <c r="D22" s="29">
        <f>'[3]6'!D16</f>
        <v>490</v>
      </c>
      <c r="E22" s="29">
        <f>'[3]6'!E16</f>
        <v>50</v>
      </c>
      <c r="F22" s="29"/>
    </row>
    <row r="23" spans="1:6" x14ac:dyDescent="0.25">
      <c r="A23" s="26" t="str">
        <f>'[3]6'!A17</f>
        <v>MKN 100-008</v>
      </c>
      <c r="B23" s="27" t="str">
        <f>'[3]6'!B17</f>
        <v>Thru 9-3/4"OD</v>
      </c>
      <c r="C23" s="28" t="str">
        <f>'[3]6'!C17</f>
        <v>$/day</v>
      </c>
      <c r="D23" s="29">
        <f>'[3]6'!D17</f>
        <v>650</v>
      </c>
      <c r="E23" s="29">
        <f>'[3]6'!E17</f>
        <v>65</v>
      </c>
      <c r="F23" s="29"/>
    </row>
    <row r="24" spans="1:6" x14ac:dyDescent="0.25">
      <c r="A24" s="26" t="str">
        <f>'[3]6'!A18</f>
        <v>MKN 100-009</v>
      </c>
      <c r="B24" s="27" t="str">
        <f>'[3]6'!B18</f>
        <v>Thru 10-3/4"OD</v>
      </c>
      <c r="C24" s="28" t="str">
        <f>'[3]6'!C18</f>
        <v>$/day</v>
      </c>
      <c r="D24" s="29">
        <f>'[3]6'!D18</f>
        <v>800</v>
      </c>
      <c r="E24" s="29">
        <f>'[3]6'!E18</f>
        <v>85</v>
      </c>
      <c r="F24" s="29"/>
    </row>
    <row r="25" spans="1:6" x14ac:dyDescent="0.25">
      <c r="A25" s="26" t="str">
        <f>'[3]6'!A19</f>
        <v>MKN 100-011</v>
      </c>
      <c r="B25" s="27" t="str">
        <f>'[3]6'!B19</f>
        <v>Thru 12-1/4"OD</v>
      </c>
      <c r="C25" s="28" t="str">
        <f>'[3]6'!C19</f>
        <v>$/day</v>
      </c>
      <c r="D25" s="29">
        <f>'[3]6'!D19</f>
        <v>1050</v>
      </c>
      <c r="E25" s="29">
        <f>'[3]6'!E19</f>
        <v>100</v>
      </c>
      <c r="F25" s="29"/>
    </row>
    <row r="26" spans="1:6" ht="6" customHeight="1" x14ac:dyDescent="0.25">
      <c r="A26" s="5"/>
      <c r="B26" s="1"/>
      <c r="C26" s="15"/>
      <c r="D26" s="9"/>
      <c r="E26" s="9"/>
      <c r="F26" s="9"/>
    </row>
    <row r="27" spans="1:6" ht="15.95" customHeight="1" x14ac:dyDescent="0.25">
      <c r="A27" s="16" t="s">
        <v>14</v>
      </c>
      <c r="B27" s="17"/>
      <c r="C27" s="18"/>
      <c r="D27" s="19"/>
      <c r="E27" s="19"/>
      <c r="F27" s="19"/>
    </row>
    <row r="28" spans="1:6" x14ac:dyDescent="0.25">
      <c r="A28" s="20" t="s">
        <v>7</v>
      </c>
      <c r="B28" s="20" t="s">
        <v>8</v>
      </c>
      <c r="C28" s="21" t="s">
        <v>9</v>
      </c>
      <c r="D28" s="21" t="s">
        <v>10</v>
      </c>
      <c r="E28" s="21"/>
      <c r="F28" s="21"/>
    </row>
    <row r="29" spans="1:6" ht="24" x14ac:dyDescent="0.25">
      <c r="A29" s="22" t="str">
        <f>'[3]7'!A8</f>
        <v>MKN 100-012</v>
      </c>
      <c r="B29" s="23" t="str">
        <f>'[3]7'!B8</f>
        <v>Thru 8-3/4"OD</v>
      </c>
      <c r="C29" s="24" t="str">
        <f>'[3]7'!C8</f>
        <v>Price/Largest OD in/Run</v>
      </c>
      <c r="D29" s="25">
        <f>'[3]7'!D8</f>
        <v>280</v>
      </c>
      <c r="E29" s="25"/>
      <c r="F29" s="25"/>
    </row>
    <row r="30" spans="1:6" ht="24" x14ac:dyDescent="0.25">
      <c r="A30" s="26" t="str">
        <f>'[3]7'!A9</f>
        <v>MKN 100-013</v>
      </c>
      <c r="B30" s="27" t="str">
        <f>'[3]7'!B9</f>
        <v>Thru 17-1/2"OD</v>
      </c>
      <c r="C30" s="28" t="str">
        <f>'[3]7'!C9</f>
        <v>Price/Largest OD in/Run</v>
      </c>
      <c r="D30" s="29">
        <f>'[3]7'!D9</f>
        <v>300</v>
      </c>
      <c r="E30" s="29"/>
      <c r="F30" s="29"/>
    </row>
    <row r="31" spans="1:6" ht="6" customHeight="1" x14ac:dyDescent="0.25">
      <c r="A31" s="5"/>
      <c r="B31" s="1"/>
      <c r="C31" s="15"/>
      <c r="D31" s="9"/>
      <c r="E31" s="9"/>
      <c r="F31" s="9"/>
    </row>
    <row r="32" spans="1:6" ht="15.95" customHeight="1" x14ac:dyDescent="0.25">
      <c r="A32" s="16" t="s">
        <v>15</v>
      </c>
      <c r="B32" s="17"/>
      <c r="C32" s="18"/>
      <c r="D32" s="19"/>
      <c r="E32" s="19"/>
      <c r="F32" s="19"/>
    </row>
    <row r="33" spans="1:6" x14ac:dyDescent="0.25">
      <c r="A33" s="20" t="s">
        <v>7</v>
      </c>
      <c r="B33" s="20" t="s">
        <v>8</v>
      </c>
      <c r="C33" s="21" t="s">
        <v>9</v>
      </c>
      <c r="D33" s="21" t="s">
        <v>10</v>
      </c>
      <c r="E33" s="21"/>
      <c r="F33" s="21"/>
    </row>
    <row r="34" spans="1:6" x14ac:dyDescent="0.25">
      <c r="A34" s="22" t="str">
        <f>'[3]7'!A11</f>
        <v>MKN 100-014</v>
      </c>
      <c r="B34" s="23" t="str">
        <f>'[3]7'!B11</f>
        <v>Thru 7" OD</v>
      </c>
      <c r="C34" s="24" t="str">
        <f>'[3]7'!C11</f>
        <v>Per Run</v>
      </c>
      <c r="D34" s="25">
        <f>'[3]7'!D11</f>
        <v>510</v>
      </c>
      <c r="E34" s="25"/>
      <c r="F34" s="25"/>
    </row>
    <row r="35" spans="1:6" x14ac:dyDescent="0.25">
      <c r="A35" s="26" t="str">
        <f>'[3]7'!A12</f>
        <v>MKN 100-015</v>
      </c>
      <c r="B35" s="27" t="str">
        <f>'[3]7'!B12</f>
        <v>Thru 10-3/4"OD</v>
      </c>
      <c r="C35" s="28" t="str">
        <f>'[3]7'!C12</f>
        <v>Per Run</v>
      </c>
      <c r="D35" s="29">
        <f>'[3]7'!D12</f>
        <v>820</v>
      </c>
      <c r="E35" s="29"/>
      <c r="F35" s="29"/>
    </row>
    <row r="36" spans="1:6" x14ac:dyDescent="0.25">
      <c r="A36" s="26" t="str">
        <f>'[3]7'!A13</f>
        <v>MKN 100-016</v>
      </c>
      <c r="B36" s="27" t="str">
        <f>'[3]7'!B13</f>
        <v>Thru 13-3/8"OD</v>
      </c>
      <c r="C36" s="28" t="str">
        <f>'[3]7'!C13</f>
        <v>Per Run</v>
      </c>
      <c r="D36" s="29">
        <f>'[3]7'!D13</f>
        <v>1030</v>
      </c>
      <c r="E36" s="29"/>
      <c r="F36" s="29"/>
    </row>
    <row r="37" spans="1:6" ht="6" customHeight="1" x14ac:dyDescent="0.25">
      <c r="A37" s="5"/>
      <c r="B37" s="1"/>
      <c r="C37" s="15"/>
      <c r="D37" s="9"/>
      <c r="E37" s="9"/>
      <c r="F37" s="9"/>
    </row>
    <row r="38" spans="1:6" ht="15.95" customHeight="1" x14ac:dyDescent="0.25">
      <c r="A38" s="16" t="s">
        <v>16</v>
      </c>
      <c r="B38" s="17"/>
      <c r="C38" s="18"/>
      <c r="D38" s="19"/>
      <c r="E38" s="19"/>
      <c r="F38" s="19"/>
    </row>
    <row r="39" spans="1:6" x14ac:dyDescent="0.25">
      <c r="A39" s="20" t="s">
        <v>7</v>
      </c>
      <c r="B39" s="20" t="s">
        <v>8</v>
      </c>
      <c r="C39" s="21" t="s">
        <v>9</v>
      </c>
      <c r="D39" s="21" t="s">
        <v>10</v>
      </c>
      <c r="E39" s="21"/>
      <c r="F39" s="21"/>
    </row>
    <row r="40" spans="1:6" ht="24" x14ac:dyDescent="0.25">
      <c r="A40" s="22" t="str">
        <f>'[3]8'!A8</f>
        <v>MKN 100-017</v>
      </c>
      <c r="B40" s="23" t="str">
        <f>'[3]8'!B8</f>
        <v>8" OD &amp; Smaller</v>
      </c>
      <c r="C40" s="24" t="str">
        <f>'[3]8'!C8</f>
        <v>Price/Largest OD in/JOB</v>
      </c>
      <c r="D40" s="25">
        <f>'[3]8'!D8</f>
        <v>85</v>
      </c>
      <c r="E40" s="25"/>
      <c r="F40" s="25"/>
    </row>
    <row r="41" spans="1:6" ht="24" x14ac:dyDescent="0.25">
      <c r="A41" s="26" t="str">
        <f>'[3]8'!A9</f>
        <v>MKN 100-018</v>
      </c>
      <c r="B41" s="27" t="str">
        <f>'[3]8'!B9</f>
        <v>Over 8"</v>
      </c>
      <c r="C41" s="28" t="str">
        <f>'[3]8'!C9</f>
        <v>Price/Largest OD in/JOB</v>
      </c>
      <c r="D41" s="29">
        <f>'[3]8'!D9</f>
        <v>100</v>
      </c>
      <c r="E41" s="29"/>
      <c r="F41" s="29"/>
    </row>
    <row r="42" spans="1:6" ht="6" customHeight="1" x14ac:dyDescent="0.25">
      <c r="A42" s="5"/>
      <c r="B42" s="1"/>
      <c r="C42" s="15"/>
      <c r="D42" s="9"/>
      <c r="E42" s="9"/>
      <c r="F42" s="9"/>
    </row>
    <row r="43" spans="1:6" ht="15.95" customHeight="1" x14ac:dyDescent="0.25">
      <c r="A43" s="16" t="s">
        <v>17</v>
      </c>
      <c r="B43" s="17"/>
      <c r="C43" s="18"/>
      <c r="D43" s="19"/>
      <c r="E43" s="19"/>
      <c r="F43" s="19"/>
    </row>
    <row r="44" spans="1:6" x14ac:dyDescent="0.25">
      <c r="A44" s="20" t="s">
        <v>7</v>
      </c>
      <c r="B44" s="20" t="s">
        <v>8</v>
      </c>
      <c r="C44" s="21" t="s">
        <v>9</v>
      </c>
      <c r="D44" s="21" t="s">
        <v>10</v>
      </c>
      <c r="E44" s="21"/>
      <c r="F44" s="21"/>
    </row>
    <row r="45" spans="1:6" x14ac:dyDescent="0.25">
      <c r="A45" s="22" t="str">
        <f>'[3]8'!A11</f>
        <v>MKN 100-019</v>
      </c>
      <c r="B45" s="23" t="str">
        <f>'[3]8'!B11</f>
        <v>ALL Sizes</v>
      </c>
      <c r="C45" s="24" t="str">
        <f>'[3]8'!C11</f>
        <v>Per Job</v>
      </c>
      <c r="D45" s="25">
        <f>'[3]8'!D11</f>
        <v>95</v>
      </c>
      <c r="E45" s="25"/>
      <c r="F45" s="25"/>
    </row>
    <row r="46" spans="1:6" ht="6" customHeight="1" x14ac:dyDescent="0.25">
      <c r="A46" s="5"/>
      <c r="B46" s="1"/>
      <c r="C46" s="15"/>
      <c r="D46" s="9"/>
      <c r="E46" s="9"/>
      <c r="F46" s="9"/>
    </row>
    <row r="47" spans="1:6" ht="15.95" customHeight="1" x14ac:dyDescent="0.25">
      <c r="A47" s="16" t="s">
        <v>18</v>
      </c>
      <c r="B47" s="17"/>
      <c r="C47" s="18"/>
      <c r="D47" s="19"/>
      <c r="E47" s="19"/>
      <c r="F47" s="19"/>
    </row>
    <row r="48" spans="1:6" x14ac:dyDescent="0.25">
      <c r="A48" s="20" t="s">
        <v>7</v>
      </c>
      <c r="B48" s="20" t="s">
        <v>8</v>
      </c>
      <c r="C48" s="21" t="s">
        <v>9</v>
      </c>
      <c r="D48" s="21" t="s">
        <v>12</v>
      </c>
      <c r="E48" s="21" t="s">
        <v>13</v>
      </c>
      <c r="F48" s="21"/>
    </row>
    <row r="49" spans="1:6" x14ac:dyDescent="0.25">
      <c r="A49" s="22" t="str">
        <f>'[3]9'!A9</f>
        <v>MKN100-020</v>
      </c>
      <c r="B49" s="23" t="str">
        <f>'[3]9'!B9</f>
        <v>Thru 4 1/2" Washpipe Pin</v>
      </c>
      <c r="C49" s="24" t="str">
        <f>'[3]9'!C9</f>
        <v>$/day</v>
      </c>
      <c r="D49" s="25">
        <f>'[3]9'!D9</f>
        <v>300</v>
      </c>
      <c r="E49" s="25">
        <f>'[3]9'!E9</f>
        <v>165</v>
      </c>
      <c r="F49" s="25"/>
    </row>
    <row r="50" spans="1:6" x14ac:dyDescent="0.25">
      <c r="A50" s="26" t="str">
        <f>'[3]9'!A10</f>
        <v>MKN100-021</v>
      </c>
      <c r="B50" s="27" t="str">
        <f>'[3]9'!B10</f>
        <v>Thru 5 3/4" Washpipe Pin</v>
      </c>
      <c r="C50" s="28" t="str">
        <f>'[3]9'!C10</f>
        <v>$/day</v>
      </c>
      <c r="D50" s="29">
        <f>'[3]9'!D10</f>
        <v>360</v>
      </c>
      <c r="E50" s="29">
        <f>'[3]9'!E10</f>
        <v>185</v>
      </c>
      <c r="F50" s="29"/>
    </row>
    <row r="51" spans="1:6" x14ac:dyDescent="0.25">
      <c r="A51" s="26" t="str">
        <f>'[3]9'!A11</f>
        <v>MKN100-022</v>
      </c>
      <c r="B51" s="27" t="str">
        <f>'[3]9'!B11</f>
        <v>Thru 8 3/8" Washpipe Pin</v>
      </c>
      <c r="C51" s="28" t="str">
        <f>'[3]9'!C11</f>
        <v>$/day</v>
      </c>
      <c r="D51" s="29">
        <f>'[3]9'!D11</f>
        <v>460</v>
      </c>
      <c r="E51" s="29">
        <f>'[3]9'!E11</f>
        <v>250</v>
      </c>
      <c r="F51" s="29"/>
    </row>
    <row r="52" spans="1:6" x14ac:dyDescent="0.25">
      <c r="A52" s="26" t="str">
        <f>'[3]9'!A12</f>
        <v>MKN100-023</v>
      </c>
      <c r="B52" s="27" t="str">
        <f>'[3]9'!B12</f>
        <v>Thru 10 3/4" Washpipe Pin</v>
      </c>
      <c r="C52" s="28" t="str">
        <f>'[3]9'!C12</f>
        <v>$/day</v>
      </c>
      <c r="D52" s="29">
        <f>'[3]9'!D12</f>
        <v>490</v>
      </c>
      <c r="E52" s="29">
        <f>'[3]9'!E12</f>
        <v>265</v>
      </c>
      <c r="F52" s="29"/>
    </row>
    <row r="53" spans="1:6" x14ac:dyDescent="0.25">
      <c r="A53" s="26" t="str">
        <f>'[3]9'!A13</f>
        <v>MKN100-024</v>
      </c>
      <c r="B53" s="27" t="str">
        <f>'[3]9'!B13</f>
        <v>Thru 13 3/8" Washpipe Pin</v>
      </c>
      <c r="C53" s="28" t="str">
        <f>'[3]9'!C13</f>
        <v>$/day</v>
      </c>
      <c r="D53" s="29">
        <f>'[3]9'!D13</f>
        <v>680</v>
      </c>
      <c r="E53" s="29">
        <f>'[3]9'!E13</f>
        <v>370</v>
      </c>
      <c r="F53" s="29"/>
    </row>
    <row r="54" spans="1:6" x14ac:dyDescent="0.25">
      <c r="A54" s="26" t="str">
        <f>'[3]9'!A14</f>
        <v>MKN100-025</v>
      </c>
      <c r="B54" s="27" t="str">
        <f>'[3]9'!B14</f>
        <v>Thru 16 1/2" Washpipe Pin</v>
      </c>
      <c r="C54" s="28" t="str">
        <f>'[3]9'!C14</f>
        <v>$/day</v>
      </c>
      <c r="D54" s="29">
        <f>'[3]9'!D14</f>
        <v>760</v>
      </c>
      <c r="E54" s="29">
        <f>'[3]9'!E14</f>
        <v>440</v>
      </c>
      <c r="F54" s="29"/>
    </row>
    <row r="55" spans="1:6" x14ac:dyDescent="0.25">
      <c r="A55" s="26" t="str">
        <f>'[3]9'!A15</f>
        <v>MKN100-026</v>
      </c>
      <c r="B55" s="27" t="str">
        <f>'[3]9'!B15</f>
        <v>Thru 20" Washpipe Pin</v>
      </c>
      <c r="C55" s="28" t="str">
        <f>'[3]9'!C15</f>
        <v>$/day</v>
      </c>
      <c r="D55" s="29">
        <f>'[3]9'!D15</f>
        <v>850</v>
      </c>
      <c r="E55" s="29">
        <f>'[3]9'!E15</f>
        <v>475</v>
      </c>
      <c r="F55" s="29"/>
    </row>
    <row r="56" spans="1:6" ht="6" customHeight="1" x14ac:dyDescent="0.25">
      <c r="A56" s="5"/>
      <c r="B56" s="1"/>
      <c r="C56" s="15"/>
      <c r="D56" s="9"/>
      <c r="E56" s="9"/>
      <c r="F56" s="9"/>
    </row>
    <row r="57" spans="1:6" ht="15.95" customHeight="1" x14ac:dyDescent="0.25">
      <c r="A57" s="16" t="s">
        <v>19</v>
      </c>
      <c r="B57" s="17"/>
      <c r="C57" s="18"/>
      <c r="D57" s="19"/>
      <c r="E57" s="19"/>
      <c r="F57" s="19"/>
    </row>
    <row r="58" spans="1:6" x14ac:dyDescent="0.25">
      <c r="A58" s="20" t="s">
        <v>7</v>
      </c>
      <c r="B58" s="20" t="s">
        <v>8</v>
      </c>
      <c r="C58" s="21" t="s">
        <v>9</v>
      </c>
      <c r="D58" s="21" t="s">
        <v>10</v>
      </c>
      <c r="E58" s="21"/>
      <c r="F58" s="21"/>
    </row>
    <row r="59" spans="1:6" x14ac:dyDescent="0.25">
      <c r="A59" s="22" t="str">
        <f>'[3]10'!A9</f>
        <v>MKN 100-027</v>
      </c>
      <c r="B59" s="23" t="str">
        <f>'[3]10'!B9</f>
        <v>7 5/8" OD &amp; Smaller</v>
      </c>
      <c r="C59" s="24" t="str">
        <f>'[3]10'!C9</f>
        <v>Per Day</v>
      </c>
      <c r="D59" s="25">
        <f>'[3]10'!D9</f>
        <v>165</v>
      </c>
      <c r="E59" s="25"/>
      <c r="F59" s="25"/>
    </row>
    <row r="60" spans="1:6" x14ac:dyDescent="0.25">
      <c r="A60" s="26" t="str">
        <f>'[3]10'!A10</f>
        <v>MKN 100-028</v>
      </c>
      <c r="B60" s="27" t="str">
        <f>'[3]10'!B10</f>
        <v>9 5/8" OD &amp; Smaller</v>
      </c>
      <c r="C60" s="28" t="str">
        <f>'[3]10'!C10</f>
        <v>Per Day</v>
      </c>
      <c r="D60" s="29">
        <f>'[3]10'!D10</f>
        <v>260</v>
      </c>
      <c r="E60" s="29"/>
      <c r="F60" s="29"/>
    </row>
    <row r="61" spans="1:6" x14ac:dyDescent="0.25">
      <c r="A61" s="26" t="str">
        <f>'[3]10'!A11</f>
        <v>MKN 100-029</v>
      </c>
      <c r="B61" s="27" t="str">
        <f>'[3]10'!B11</f>
        <v>11 3/4" OD &amp; Smaller</v>
      </c>
      <c r="C61" s="28" t="str">
        <f>'[3]10'!C11</f>
        <v>Per Day</v>
      </c>
      <c r="D61" s="29">
        <f>'[3]10'!D11</f>
        <v>300</v>
      </c>
      <c r="E61" s="29"/>
      <c r="F61" s="29"/>
    </row>
    <row r="62" spans="1:6" ht="6" customHeight="1" x14ac:dyDescent="0.25">
      <c r="A62" s="5"/>
      <c r="B62" s="1"/>
      <c r="C62" s="15"/>
      <c r="D62" s="9"/>
      <c r="E62" s="9"/>
      <c r="F62" s="9"/>
    </row>
    <row r="63" spans="1:6" ht="15.95" customHeight="1" x14ac:dyDescent="0.25">
      <c r="A63" s="16" t="s">
        <v>20</v>
      </c>
      <c r="B63" s="17"/>
      <c r="C63" s="18"/>
      <c r="D63" s="19"/>
      <c r="E63" s="19"/>
      <c r="F63" s="19"/>
    </row>
    <row r="64" spans="1:6" x14ac:dyDescent="0.25">
      <c r="A64" s="20" t="s">
        <v>7</v>
      </c>
      <c r="B64" s="20" t="s">
        <v>8</v>
      </c>
      <c r="C64" s="21" t="s">
        <v>9</v>
      </c>
      <c r="D64" s="21" t="s">
        <v>21</v>
      </c>
      <c r="E64" s="21" t="s">
        <v>13</v>
      </c>
      <c r="F64" s="21"/>
    </row>
    <row r="65" spans="1:6" x14ac:dyDescent="0.25">
      <c r="A65" s="22" t="str">
        <f>'[3]11'!A10</f>
        <v>MKN 100-030</v>
      </c>
      <c r="B65" s="23" t="str">
        <f>'[3]11'!B10</f>
        <v>Thru 10 segments</v>
      </c>
      <c r="C65" s="24" t="str">
        <f>'[3]11'!C10</f>
        <v>$/day</v>
      </c>
      <c r="D65" s="25">
        <f>'[3]11'!D10</f>
        <v>150</v>
      </c>
      <c r="E65" s="25">
        <f>'[3]11'!E10</f>
        <v>15</v>
      </c>
      <c r="F65" s="25"/>
    </row>
    <row r="66" spans="1:6" x14ac:dyDescent="0.25">
      <c r="A66" s="26" t="str">
        <f>'[3]11'!A11</f>
        <v>MKN 100-031</v>
      </c>
      <c r="B66" s="27" t="str">
        <f>'[3]11'!B11</f>
        <v>Larger than 10 segments</v>
      </c>
      <c r="C66" s="28" t="str">
        <f>'[3]11'!C11</f>
        <v>$/day</v>
      </c>
      <c r="D66" s="29">
        <f>'[3]11'!D11</f>
        <v>190</v>
      </c>
      <c r="E66" s="29">
        <f>'[3]11'!E11</f>
        <v>25</v>
      </c>
      <c r="F66" s="29"/>
    </row>
    <row r="67" spans="1:6" ht="6" customHeight="1" x14ac:dyDescent="0.25">
      <c r="A67" s="5"/>
      <c r="B67" s="1"/>
      <c r="C67" s="15"/>
      <c r="D67" s="9"/>
      <c r="E67" s="9"/>
      <c r="F67" s="9"/>
    </row>
    <row r="68" spans="1:6" ht="15.95" customHeight="1" x14ac:dyDescent="0.25">
      <c r="A68" s="16" t="s">
        <v>22</v>
      </c>
      <c r="B68" s="17"/>
      <c r="C68" s="18"/>
      <c r="D68" s="19"/>
      <c r="E68" s="19"/>
      <c r="F68" s="19"/>
    </row>
    <row r="69" spans="1:6" x14ac:dyDescent="0.25">
      <c r="A69" s="20" t="s">
        <v>7</v>
      </c>
      <c r="B69" s="20" t="s">
        <v>8</v>
      </c>
      <c r="C69" s="21" t="s">
        <v>9</v>
      </c>
      <c r="D69" s="21" t="s">
        <v>23</v>
      </c>
      <c r="E69" s="21" t="s">
        <v>24</v>
      </c>
      <c r="F69" s="21"/>
    </row>
    <row r="70" spans="1:6" x14ac:dyDescent="0.25">
      <c r="A70" s="22" t="str">
        <f>'[3]12'!A8</f>
        <v>MKN 100-045</v>
      </c>
      <c r="B70" s="23" t="str">
        <f>'[3]12'!B8</f>
        <v>Thru 6-1/2" OD</v>
      </c>
      <c r="C70" s="24" t="str">
        <f>'[3]12'!C8</f>
        <v>Per Day</v>
      </c>
      <c r="D70" s="25">
        <f>'[3]12'!D8</f>
        <v>1150</v>
      </c>
      <c r="E70" s="25">
        <f>'[3]12'!E8</f>
        <v>600</v>
      </c>
      <c r="F70" s="25"/>
    </row>
    <row r="71" spans="1:6" x14ac:dyDescent="0.25">
      <c r="A71" s="26" t="str">
        <f>'[3]12'!A9</f>
        <v>MKN 100-046</v>
      </c>
      <c r="B71" s="27" t="str">
        <f>'[3]12'!B9</f>
        <v>Thru 8" OD</v>
      </c>
      <c r="C71" s="28" t="str">
        <f>'[3]12'!C9</f>
        <v>Per Day</v>
      </c>
      <c r="D71" s="29">
        <f>'[3]12'!D9</f>
        <v>1350</v>
      </c>
      <c r="E71" s="29">
        <f>'[3]12'!E9</f>
        <v>600</v>
      </c>
      <c r="F71" s="29"/>
    </row>
    <row r="72" spans="1:6" ht="6" customHeight="1" x14ac:dyDescent="0.25">
      <c r="A72" s="5"/>
      <c r="B72" s="1"/>
      <c r="C72" s="15"/>
      <c r="D72" s="9"/>
      <c r="E72" s="9"/>
      <c r="F72" s="9"/>
    </row>
    <row r="73" spans="1:6" ht="15.95" customHeight="1" x14ac:dyDescent="0.25">
      <c r="A73" s="16" t="s">
        <v>25</v>
      </c>
      <c r="B73" s="17"/>
      <c r="C73" s="18"/>
      <c r="D73" s="19"/>
      <c r="E73" s="19"/>
      <c r="F73" s="19"/>
    </row>
    <row r="74" spans="1:6" x14ac:dyDescent="0.25">
      <c r="A74" s="20" t="s">
        <v>7</v>
      </c>
      <c r="B74" s="20" t="s">
        <v>8</v>
      </c>
      <c r="C74" s="21" t="s">
        <v>9</v>
      </c>
      <c r="D74" s="21" t="s">
        <v>23</v>
      </c>
      <c r="E74" s="21" t="s">
        <v>24</v>
      </c>
      <c r="F74" s="21"/>
    </row>
    <row r="75" spans="1:6" x14ac:dyDescent="0.25">
      <c r="A75" s="22" t="str">
        <f>'[3]12'!A11</f>
        <v>MKN 100-047</v>
      </c>
      <c r="B75" s="23" t="str">
        <f>'[3]12'!B11</f>
        <v>4-1/4" OD</v>
      </c>
      <c r="C75" s="24" t="str">
        <f>'[3]12'!C11</f>
        <v>Per Day</v>
      </c>
      <c r="D75" s="25">
        <f>'[3]12'!D11</f>
        <v>400</v>
      </c>
      <c r="E75" s="25">
        <f>'[3]12'!E11</f>
        <v>240</v>
      </c>
      <c r="F75" s="25"/>
    </row>
    <row r="76" spans="1:6" x14ac:dyDescent="0.25">
      <c r="A76" s="26" t="str">
        <f>'[3]12'!A12</f>
        <v>MKN 100-048</v>
      </c>
      <c r="B76" s="27" t="str">
        <f>'[3]12'!B12</f>
        <v>6-1/4" OD</v>
      </c>
      <c r="C76" s="28" t="str">
        <f>'[3]12'!C12</f>
        <v>Per Day</v>
      </c>
      <c r="D76" s="29">
        <f>'[3]12'!D12</f>
        <v>680</v>
      </c>
      <c r="E76" s="29">
        <f>'[3]12'!E12</f>
        <v>330</v>
      </c>
      <c r="F76" s="29"/>
    </row>
    <row r="77" spans="1:6" ht="6" customHeight="1" x14ac:dyDescent="0.25">
      <c r="A77" s="5"/>
      <c r="B77" s="1"/>
      <c r="C77" s="15"/>
      <c r="D77" s="9"/>
      <c r="E77" s="9"/>
      <c r="F77" s="9"/>
    </row>
    <row r="78" spans="1:6" ht="15.95" customHeight="1" x14ac:dyDescent="0.25">
      <c r="A78" s="16" t="s">
        <v>26</v>
      </c>
      <c r="B78" s="17"/>
      <c r="C78" s="18"/>
      <c r="D78" s="19"/>
      <c r="E78" s="19"/>
      <c r="F78" s="19"/>
    </row>
    <row r="79" spans="1:6" x14ac:dyDescent="0.25">
      <c r="A79" s="20" t="s">
        <v>7</v>
      </c>
      <c r="B79" s="20" t="s">
        <v>8</v>
      </c>
      <c r="C79" s="21" t="s">
        <v>9</v>
      </c>
      <c r="D79" s="21" t="s">
        <v>27</v>
      </c>
      <c r="E79" s="21" t="s">
        <v>13</v>
      </c>
      <c r="F79" s="21"/>
    </row>
    <row r="80" spans="1:6" x14ac:dyDescent="0.25">
      <c r="A80" s="22" t="str">
        <f>'[3]13'!A8</f>
        <v>MKN 100-058</v>
      </c>
      <c r="B80" s="23" t="str">
        <f>'[3]13'!B8</f>
        <v>Thru 10 3/4"OD</v>
      </c>
      <c r="C80" s="24" t="str">
        <f>'[3]13'!C8</f>
        <v>Per Tool</v>
      </c>
      <c r="D80" s="25">
        <f>'[3]13'!D8</f>
        <v>7500</v>
      </c>
      <c r="E80" s="25">
        <f>'[3]13'!E8</f>
        <v>55</v>
      </c>
      <c r="F80" s="25"/>
    </row>
    <row r="81" spans="1:6" x14ac:dyDescent="0.25">
      <c r="A81" s="26" t="str">
        <f>'[3]13'!A9</f>
        <v>MKN 100-059</v>
      </c>
      <c r="B81" s="27" t="str">
        <f>'[3]13'!B9</f>
        <v>Thru 13 3/8"OD</v>
      </c>
      <c r="C81" s="28" t="str">
        <f>'[3]13'!C9</f>
        <v>Per Tool</v>
      </c>
      <c r="D81" s="29">
        <f>'[3]13'!D9</f>
        <v>8150</v>
      </c>
      <c r="E81" s="29">
        <f>'[3]13'!E9</f>
        <v>70</v>
      </c>
      <c r="F81" s="29"/>
    </row>
    <row r="82" spans="1:6" ht="6" customHeight="1" x14ac:dyDescent="0.25">
      <c r="A82" s="5"/>
      <c r="B82" s="1"/>
      <c r="C82" s="15"/>
      <c r="D82" s="9"/>
      <c r="E82" s="9"/>
      <c r="F82" s="9"/>
    </row>
    <row r="83" spans="1:6" ht="15.95" customHeight="1" x14ac:dyDescent="0.25">
      <c r="A83" s="16" t="s">
        <v>28</v>
      </c>
      <c r="B83" s="17"/>
      <c r="C83" s="18"/>
      <c r="D83" s="19"/>
      <c r="E83" s="19"/>
      <c r="F83" s="19"/>
    </row>
    <row r="84" spans="1:6" x14ac:dyDescent="0.25">
      <c r="A84" s="20" t="s">
        <v>7</v>
      </c>
      <c r="B84" s="20" t="s">
        <v>8</v>
      </c>
      <c r="C84" s="21" t="s">
        <v>9</v>
      </c>
      <c r="D84" s="21" t="s">
        <v>27</v>
      </c>
      <c r="E84" s="21" t="s">
        <v>13</v>
      </c>
      <c r="F84" s="21"/>
    </row>
    <row r="85" spans="1:6" x14ac:dyDescent="0.25">
      <c r="A85" s="22" t="str">
        <f>'[3]13'!A11</f>
        <v>MKN 100-060</v>
      </c>
      <c r="B85" s="23" t="str">
        <f>'[3]13'!B11</f>
        <v>Thru 8 5/8"OD</v>
      </c>
      <c r="C85" s="24" t="str">
        <f>'[3]13'!C11</f>
        <v>Per Tool</v>
      </c>
      <c r="D85" s="25">
        <f>'[3]13'!D11</f>
        <v>5300</v>
      </c>
      <c r="E85" s="25">
        <f>'[3]13'!E11</f>
        <v>100</v>
      </c>
      <c r="F85" s="25"/>
    </row>
    <row r="86" spans="1:6" x14ac:dyDescent="0.25">
      <c r="A86" s="26" t="str">
        <f>'[3]13'!A12</f>
        <v>MKN 100-061</v>
      </c>
      <c r="B86" s="27" t="str">
        <f>'[3]13'!B12</f>
        <v>Thru 10 3/4"OD</v>
      </c>
      <c r="C86" s="28" t="str">
        <f>'[3]13'!C12</f>
        <v>Per Tool</v>
      </c>
      <c r="D86" s="29">
        <f>'[3]13'!D12</f>
        <v>6400</v>
      </c>
      <c r="E86" s="29">
        <f>'[3]13'!E12</f>
        <v>130</v>
      </c>
      <c r="F86" s="29"/>
    </row>
    <row r="87" spans="1:6" x14ac:dyDescent="0.25">
      <c r="A87" s="26" t="str">
        <f>'[3]13'!A13</f>
        <v>MKN 100-062</v>
      </c>
      <c r="B87" s="27" t="str">
        <f>'[3]13'!B13</f>
        <v>Thru 13 3/8"OD</v>
      </c>
      <c r="C87" s="28" t="str">
        <f>'[3]13'!C13</f>
        <v>Per Tool</v>
      </c>
      <c r="D87" s="29">
        <f>'[3]13'!D13</f>
        <v>8300</v>
      </c>
      <c r="E87" s="29">
        <f>'[3]13'!E13</f>
        <v>140</v>
      </c>
      <c r="F87" s="29"/>
    </row>
    <row r="88" spans="1:6" x14ac:dyDescent="0.25">
      <c r="A88" s="26" t="str">
        <f>'[3]13'!A14</f>
        <v>MKN 100-063</v>
      </c>
      <c r="B88" s="27" t="str">
        <f>'[3]13'!B14</f>
        <v>Thru 20"OD</v>
      </c>
      <c r="C88" s="28" t="str">
        <f>'[3]13'!C14</f>
        <v>Per Tool</v>
      </c>
      <c r="D88" s="29">
        <f>'[3]13'!D14</f>
        <v>12350</v>
      </c>
      <c r="E88" s="29">
        <f>'[3]13'!E14</f>
        <v>265</v>
      </c>
      <c r="F88" s="29"/>
    </row>
    <row r="89" spans="1:6" ht="6" customHeight="1" x14ac:dyDescent="0.25">
      <c r="A89" s="5"/>
      <c r="B89" s="1"/>
      <c r="C89" s="15"/>
      <c r="D89" s="9"/>
      <c r="E89" s="9"/>
      <c r="F89" s="9"/>
    </row>
    <row r="90" spans="1:6" ht="15.95" customHeight="1" x14ac:dyDescent="0.25">
      <c r="A90" s="16" t="s">
        <v>29</v>
      </c>
      <c r="B90" s="17"/>
      <c r="C90" s="18"/>
      <c r="D90" s="19"/>
      <c r="E90" s="19"/>
      <c r="F90" s="19"/>
    </row>
    <row r="91" spans="1:6" x14ac:dyDescent="0.25">
      <c r="A91" s="20" t="s">
        <v>7</v>
      </c>
      <c r="B91" s="20" t="s">
        <v>8</v>
      </c>
      <c r="C91" s="21" t="s">
        <v>9</v>
      </c>
      <c r="D91" s="21" t="s">
        <v>10</v>
      </c>
      <c r="E91" s="21"/>
      <c r="F91" s="21"/>
    </row>
    <row r="92" spans="1:6" x14ac:dyDescent="0.25">
      <c r="A92" s="22" t="str">
        <f>'[3]14'!A7</f>
        <v>MKN 100-064</v>
      </c>
      <c r="B92" s="23" t="str">
        <f>'[3]14'!B7</f>
        <v>ALL Sizes</v>
      </c>
      <c r="C92" s="24" t="str">
        <f>'[3]14'!C6</f>
        <v>PER RUN</v>
      </c>
      <c r="D92" s="25">
        <f>'[3]14'!D6</f>
        <v>600</v>
      </c>
      <c r="E92" s="25"/>
      <c r="F92" s="25"/>
    </row>
    <row r="93" spans="1:6" ht="6" customHeight="1" x14ac:dyDescent="0.25">
      <c r="A93" s="5"/>
      <c r="B93" s="1"/>
      <c r="C93" s="15"/>
      <c r="D93" s="9"/>
      <c r="E93" s="9"/>
      <c r="F93" s="9"/>
    </row>
    <row r="94" spans="1:6" ht="15.95" customHeight="1" x14ac:dyDescent="0.25">
      <c r="A94" s="16" t="s">
        <v>30</v>
      </c>
      <c r="B94" s="17"/>
      <c r="C94" s="18"/>
      <c r="D94" s="19"/>
      <c r="E94" s="19"/>
      <c r="F94" s="19"/>
    </row>
    <row r="95" spans="1:6" x14ac:dyDescent="0.25">
      <c r="A95" s="20" t="s">
        <v>7</v>
      </c>
      <c r="B95" s="20" t="s">
        <v>8</v>
      </c>
      <c r="C95" s="21" t="s">
        <v>9</v>
      </c>
      <c r="D95" s="21" t="s">
        <v>10</v>
      </c>
      <c r="E95" s="21"/>
      <c r="F95" s="21"/>
    </row>
    <row r="96" spans="1:6" x14ac:dyDescent="0.25">
      <c r="A96" s="22" t="str">
        <f>'[3]14'!A10</f>
        <v>MKN 100-065</v>
      </c>
      <c r="B96" s="23" t="str">
        <f>'[3]14'!B10</f>
        <v>Thru 12"OD</v>
      </c>
      <c r="C96" s="24" t="str">
        <f>'[3]14'!C10</f>
        <v>PER RUN</v>
      </c>
      <c r="D96" s="25">
        <f>'[3]14'!D10</f>
        <v>310</v>
      </c>
      <c r="E96" s="25"/>
      <c r="F96" s="25"/>
    </row>
    <row r="97" spans="1:6" x14ac:dyDescent="0.25">
      <c r="A97" s="26" t="str">
        <f>'[3]14'!A11</f>
        <v>MKN 100-066</v>
      </c>
      <c r="B97" s="27" t="str">
        <f>'[3]14'!B11</f>
        <v>Thru 15"OD</v>
      </c>
      <c r="C97" s="28" t="str">
        <f>'[3]14'!C11</f>
        <v>PER RUN</v>
      </c>
      <c r="D97" s="29">
        <f>'[3]14'!D11</f>
        <v>350</v>
      </c>
      <c r="E97" s="29"/>
      <c r="F97" s="29"/>
    </row>
    <row r="98" spans="1:6" x14ac:dyDescent="0.25">
      <c r="A98" s="26" t="str">
        <f>'[3]14'!A12</f>
        <v>MKN 100-067</v>
      </c>
      <c r="B98" s="27" t="str">
        <f>'[3]14'!B12</f>
        <v>Thru 20"OD</v>
      </c>
      <c r="C98" s="28" t="str">
        <f>'[3]14'!C12</f>
        <v>PER RUN</v>
      </c>
      <c r="D98" s="29">
        <f>'[3]14'!D12</f>
        <v>350</v>
      </c>
      <c r="E98" s="29"/>
      <c r="F98" s="29"/>
    </row>
    <row r="99" spans="1:6" x14ac:dyDescent="0.25">
      <c r="A99" s="26" t="str">
        <f>'[3]14'!A13</f>
        <v>MKN 100-068</v>
      </c>
      <c r="B99" s="27" t="str">
        <f>'[3]14'!B13</f>
        <v>Thru 24"OD</v>
      </c>
      <c r="C99" s="28" t="str">
        <f>'[3]14'!C13</f>
        <v>PER RUN</v>
      </c>
      <c r="D99" s="29">
        <f>'[3]14'!D13</f>
        <v>510</v>
      </c>
      <c r="E99" s="29"/>
      <c r="F99" s="29"/>
    </row>
    <row r="100" spans="1:6" x14ac:dyDescent="0.25">
      <c r="A100" s="26" t="str">
        <f>'[3]14'!A14</f>
        <v>MKN 100-069</v>
      </c>
      <c r="B100" s="27" t="str">
        <f>'[3]14'!B14</f>
        <v>Thru 26"OD</v>
      </c>
      <c r="C100" s="28" t="str">
        <f>'[3]14'!C14</f>
        <v>PER RUN</v>
      </c>
      <c r="D100" s="29">
        <f>'[3]14'!D14</f>
        <v>510</v>
      </c>
      <c r="E100" s="29"/>
      <c r="F100" s="29"/>
    </row>
    <row r="101" spans="1:6" ht="6" customHeight="1" x14ac:dyDescent="0.25">
      <c r="A101" s="5"/>
      <c r="B101" s="1"/>
      <c r="C101" s="15"/>
      <c r="D101" s="9"/>
      <c r="E101" s="9"/>
      <c r="F101" s="9"/>
    </row>
    <row r="102" spans="1:6" ht="15.95" customHeight="1" x14ac:dyDescent="0.25">
      <c r="A102" s="16" t="s">
        <v>31</v>
      </c>
      <c r="B102" s="17"/>
      <c r="C102" s="18"/>
      <c r="D102" s="19"/>
      <c r="E102" s="19"/>
      <c r="F102" s="19"/>
    </row>
    <row r="103" spans="1:6" x14ac:dyDescent="0.25">
      <c r="A103" s="20" t="s">
        <v>7</v>
      </c>
      <c r="B103" s="20" t="s">
        <v>8</v>
      </c>
      <c r="C103" s="21" t="s">
        <v>9</v>
      </c>
      <c r="D103" s="21" t="s">
        <v>10</v>
      </c>
      <c r="E103" s="21"/>
      <c r="F103" s="21"/>
    </row>
    <row r="104" spans="1:6" x14ac:dyDescent="0.25">
      <c r="A104" s="22" t="str">
        <f>'[3]14'!A16</f>
        <v>MKN 100-070</v>
      </c>
      <c r="B104" s="23" t="str">
        <f>'[3]14'!B16</f>
        <v>Thru 15"OD</v>
      </c>
      <c r="C104" s="24" t="str">
        <f>'[3]14'!C16</f>
        <v>PER RUN</v>
      </c>
      <c r="D104" s="25">
        <f>'[3]14'!D16</f>
        <v>420</v>
      </c>
      <c r="E104" s="25"/>
      <c r="F104" s="25"/>
    </row>
    <row r="105" spans="1:6" x14ac:dyDescent="0.25">
      <c r="A105" s="26" t="str">
        <f>'[3]14'!A17</f>
        <v>MKN 100-071</v>
      </c>
      <c r="B105" s="27" t="str">
        <f>'[3]14'!B17</f>
        <v>Thru 20"OD</v>
      </c>
      <c r="C105" s="28" t="str">
        <f>'[3]14'!C17</f>
        <v>PER RUN</v>
      </c>
      <c r="D105" s="29">
        <f>'[3]14'!D17</f>
        <v>460</v>
      </c>
      <c r="E105" s="29"/>
      <c r="F105" s="29"/>
    </row>
    <row r="106" spans="1:6" x14ac:dyDescent="0.25">
      <c r="A106" s="26" t="str">
        <f>'[3]14'!A18</f>
        <v>MKN 100-072</v>
      </c>
      <c r="B106" s="27" t="str">
        <f>'[3]14'!B18</f>
        <v>Thru 24"OD</v>
      </c>
      <c r="C106" s="28" t="str">
        <f>'[3]14'!C18</f>
        <v>PER RUN</v>
      </c>
      <c r="D106" s="29">
        <f>'[3]14'!D18</f>
        <v>650</v>
      </c>
      <c r="E106" s="29"/>
      <c r="F106" s="29"/>
    </row>
    <row r="107" spans="1:6" x14ac:dyDescent="0.25">
      <c r="A107" s="26" t="str">
        <f>'[3]14'!A19</f>
        <v>MKN 100-073</v>
      </c>
      <c r="B107" s="27" t="str">
        <f>'[3]14'!B19</f>
        <v>Thru 26"OD</v>
      </c>
      <c r="C107" s="28" t="str">
        <f>'[3]14'!C19</f>
        <v>PER RUN</v>
      </c>
      <c r="D107" s="29">
        <f>'[3]14'!D19</f>
        <v>670</v>
      </c>
      <c r="E107" s="29"/>
      <c r="F107" s="29"/>
    </row>
    <row r="108" spans="1:6" x14ac:dyDescent="0.25">
      <c r="A108" s="26" t="str">
        <f>'[3]14'!A20</f>
        <v>MKN 100-074</v>
      </c>
      <c r="B108" s="27" t="str">
        <f>'[3]14'!B20</f>
        <v>Thru 30"OD</v>
      </c>
      <c r="C108" s="28" t="str">
        <f>'[3]14'!C20</f>
        <v>PER RUN</v>
      </c>
      <c r="D108" s="29">
        <f>'[3]14'!D20</f>
        <v>810</v>
      </c>
      <c r="E108" s="29"/>
      <c r="F108" s="29"/>
    </row>
    <row r="109" spans="1:6" ht="6" customHeight="1" x14ac:dyDescent="0.25">
      <c r="A109" s="5"/>
      <c r="B109" s="1"/>
      <c r="C109" s="15"/>
      <c r="D109" s="9"/>
      <c r="E109" s="9"/>
      <c r="F109" s="9"/>
    </row>
    <row r="110" spans="1:6" ht="15.95" customHeight="1" x14ac:dyDescent="0.25">
      <c r="A110" s="16" t="s">
        <v>32</v>
      </c>
      <c r="B110" s="17"/>
      <c r="C110" s="18"/>
      <c r="D110" s="19"/>
      <c r="E110" s="19"/>
      <c r="F110" s="19"/>
    </row>
    <row r="111" spans="1:6" x14ac:dyDescent="0.25">
      <c r="A111" s="20" t="s">
        <v>7</v>
      </c>
      <c r="B111" s="20" t="s">
        <v>8</v>
      </c>
      <c r="C111" s="21" t="s">
        <v>9</v>
      </c>
      <c r="D111" s="21" t="s">
        <v>12</v>
      </c>
      <c r="E111" s="21" t="s">
        <v>13</v>
      </c>
      <c r="F111" s="21"/>
    </row>
    <row r="112" spans="1:6" x14ac:dyDescent="0.25">
      <c r="A112" s="22" t="str">
        <f>'[3]15'!A9</f>
        <v>MKN 100-075</v>
      </c>
      <c r="B112" s="23" t="str">
        <f>'[3]15'!B9</f>
        <v>Thru 4-1/8"OD</v>
      </c>
      <c r="C112" s="24" t="str">
        <f>'[3]15'!C9</f>
        <v>S/day</v>
      </c>
      <c r="D112" s="25">
        <f>'[3]15'!E9</f>
        <v>500</v>
      </c>
      <c r="E112" s="25">
        <f>'[3]15'!F9</f>
        <v>200</v>
      </c>
      <c r="F112" s="25"/>
    </row>
    <row r="113" spans="1:6" x14ac:dyDescent="0.25">
      <c r="A113" s="26" t="str">
        <f>'[3]15'!A10</f>
        <v>MKN 100-076</v>
      </c>
      <c r="B113" s="27" t="str">
        <f>'[3]15'!B10</f>
        <v>Thru 5-3/8"OD</v>
      </c>
      <c r="C113" s="28" t="str">
        <f>'[3]15'!C10</f>
        <v>S/day</v>
      </c>
      <c r="D113" s="29">
        <f>'[3]15'!E10</f>
        <v>570</v>
      </c>
      <c r="E113" s="29">
        <f>'[3]15'!F10</f>
        <v>220</v>
      </c>
      <c r="F113" s="29"/>
    </row>
    <row r="114" spans="1:6" x14ac:dyDescent="0.25">
      <c r="A114" s="26" t="str">
        <f>'[3]15'!A11</f>
        <v>MKN 100-077</v>
      </c>
      <c r="B114" s="27" t="str">
        <f>'[3]15'!B11</f>
        <v>Thru 8-7/8"OD</v>
      </c>
      <c r="C114" s="28" t="str">
        <f>'[3]15'!C11</f>
        <v>S/day</v>
      </c>
      <c r="D114" s="29">
        <f>'[3]15'!E11</f>
        <v>800</v>
      </c>
      <c r="E114" s="29">
        <f>'[3]15'!F11</f>
        <v>330</v>
      </c>
      <c r="F114" s="29"/>
    </row>
    <row r="115" spans="1:6" x14ac:dyDescent="0.25">
      <c r="A115" s="26" t="str">
        <f>'[3]15'!A12</f>
        <v>MKN 100-078</v>
      </c>
      <c r="B115" s="27" t="str">
        <f>'[3]15'!B12</f>
        <v>Thru 11-3/4"OD</v>
      </c>
      <c r="C115" s="28" t="str">
        <f>'[3]15'!C12</f>
        <v>S/day</v>
      </c>
      <c r="D115" s="29">
        <f>'[3]15'!E12</f>
        <v>1150</v>
      </c>
      <c r="E115" s="29">
        <f>'[3]15'!F12</f>
        <v>585</v>
      </c>
      <c r="F115" s="29"/>
    </row>
    <row r="116" spans="1:6" ht="6" customHeight="1" x14ac:dyDescent="0.25">
      <c r="A116" s="5"/>
      <c r="B116" s="1"/>
      <c r="C116" s="15"/>
      <c r="D116" s="9"/>
      <c r="E116" s="9"/>
      <c r="F116" s="9"/>
    </row>
    <row r="117" spans="1:6" ht="15.95" customHeight="1" x14ac:dyDescent="0.25">
      <c r="A117" s="16" t="s">
        <v>33</v>
      </c>
      <c r="B117" s="17"/>
      <c r="C117" s="18"/>
      <c r="D117" s="19"/>
      <c r="E117" s="19"/>
      <c r="F117" s="19"/>
    </row>
    <row r="118" spans="1:6" x14ac:dyDescent="0.25">
      <c r="A118" s="20" t="s">
        <v>7</v>
      </c>
      <c r="B118" s="20" t="s">
        <v>8</v>
      </c>
      <c r="C118" s="21" t="s">
        <v>9</v>
      </c>
      <c r="D118" s="21" t="s">
        <v>12</v>
      </c>
      <c r="E118" s="21" t="s">
        <v>13</v>
      </c>
      <c r="F118" s="21"/>
    </row>
    <row r="119" spans="1:6" x14ac:dyDescent="0.25">
      <c r="A119" s="22" t="str">
        <f>'[3]16'!A9</f>
        <v>MKN 100-079</v>
      </c>
      <c r="B119" s="23" t="str">
        <f>'[3]16'!B9</f>
        <v>Thru 4 3/4"OD</v>
      </c>
      <c r="C119" s="24" t="str">
        <f>'[3]16'!C9</f>
        <v>$/day</v>
      </c>
      <c r="D119" s="25">
        <f>'[3]16'!D9</f>
        <v>800</v>
      </c>
      <c r="E119" s="25">
        <f>'[3]16'!E9</f>
        <v>310</v>
      </c>
      <c r="F119" s="25"/>
    </row>
    <row r="120" spans="1:6" x14ac:dyDescent="0.25">
      <c r="A120" s="26" t="str">
        <f>'[3]16'!A10</f>
        <v>MKN 100-080</v>
      </c>
      <c r="B120" s="27" t="str">
        <f>'[3]16'!B10</f>
        <v>Thru 6 1/4"OD</v>
      </c>
      <c r="C120" s="28" t="str">
        <f>'[3]16'!C10</f>
        <v>$/day</v>
      </c>
      <c r="D120" s="29">
        <f>'[3]16'!D10</f>
        <v>890</v>
      </c>
      <c r="E120" s="29">
        <f>'[3]16'!E10</f>
        <v>380</v>
      </c>
      <c r="F120" s="29"/>
    </row>
    <row r="121" spans="1:6" x14ac:dyDescent="0.25">
      <c r="A121" s="26" t="str">
        <f>'[3]16'!A11</f>
        <v>MKN 100-081</v>
      </c>
      <c r="B121" s="27" t="str">
        <f>'[3]16'!B11</f>
        <v>Thru 9 5/8"OD</v>
      </c>
      <c r="C121" s="28" t="str">
        <f>'[3]16'!C11</f>
        <v>$/day</v>
      </c>
      <c r="D121" s="29">
        <f>'[3]16'!D11</f>
        <v>1100</v>
      </c>
      <c r="E121" s="29">
        <f>'[3]16'!E11</f>
        <v>485</v>
      </c>
      <c r="F121" s="29"/>
    </row>
    <row r="122" spans="1:6" x14ac:dyDescent="0.25">
      <c r="A122" s="26" t="str">
        <f>'[3]16'!A12</f>
        <v>MKN 100-082</v>
      </c>
      <c r="B122" s="27" t="str">
        <f>'[3]16'!B12</f>
        <v>Thru 12 3/4"OD</v>
      </c>
      <c r="C122" s="28" t="str">
        <f>'[3]16'!C12</f>
        <v>$/day</v>
      </c>
      <c r="D122" s="29">
        <f>'[3]16'!D12</f>
        <v>1570</v>
      </c>
      <c r="E122" s="29">
        <f>'[3]16'!E12</f>
        <v>860</v>
      </c>
      <c r="F122" s="29"/>
    </row>
    <row r="123" spans="1:6" ht="6" customHeight="1" x14ac:dyDescent="0.25">
      <c r="A123" s="5"/>
      <c r="B123" s="1"/>
      <c r="C123" s="15"/>
      <c r="D123" s="9"/>
      <c r="E123" s="9"/>
      <c r="F123" s="9"/>
    </row>
    <row r="124" spans="1:6" ht="15.95" customHeight="1" x14ac:dyDescent="0.25">
      <c r="A124" s="16" t="s">
        <v>34</v>
      </c>
      <c r="B124" s="17"/>
      <c r="C124" s="18"/>
      <c r="D124" s="19"/>
      <c r="E124" s="19"/>
      <c r="F124" s="19"/>
    </row>
    <row r="125" spans="1:6" x14ac:dyDescent="0.25">
      <c r="A125" s="20" t="s">
        <v>7</v>
      </c>
      <c r="B125" s="20" t="s">
        <v>8</v>
      </c>
      <c r="C125" s="21" t="s">
        <v>9</v>
      </c>
      <c r="D125" s="21" t="s">
        <v>10</v>
      </c>
      <c r="E125" s="21"/>
      <c r="F125" s="21"/>
    </row>
    <row r="126" spans="1:6" x14ac:dyDescent="0.25">
      <c r="A126" s="22" t="str">
        <f>'[3]17'!A8</f>
        <v>MKN 100-083</v>
      </c>
      <c r="B126" s="23" t="str">
        <f>'[3]17'!B8</f>
        <v>Thru 4-3/8"OD</v>
      </c>
      <c r="C126" s="24" t="str">
        <f>'[3]17'!C8</f>
        <v>Per Job</v>
      </c>
      <c r="D126" s="25">
        <f>'[3]17'!D8</f>
        <v>210</v>
      </c>
      <c r="E126" s="25"/>
      <c r="F126" s="25"/>
    </row>
    <row r="127" spans="1:6" x14ac:dyDescent="0.25">
      <c r="A127" s="26" t="str">
        <f>'[3]17'!A9</f>
        <v>MKN 100-084</v>
      </c>
      <c r="B127" s="27" t="str">
        <f>'[3]17'!B9</f>
        <v>Thru 5-3/4"OD</v>
      </c>
      <c r="C127" s="28" t="str">
        <f>'[3]17'!C9</f>
        <v>Per Job</v>
      </c>
      <c r="D127" s="29">
        <f>'[3]17'!D9</f>
        <v>210</v>
      </c>
      <c r="E127" s="29"/>
      <c r="F127" s="29"/>
    </row>
    <row r="128" spans="1:6" x14ac:dyDescent="0.25">
      <c r="A128" s="26" t="str">
        <f>'[3]17'!A10</f>
        <v>MKN 100-085</v>
      </c>
      <c r="B128" s="27" t="str">
        <f>'[3]17'!B10</f>
        <v>Thru 8"OD</v>
      </c>
      <c r="C128" s="28" t="str">
        <f>'[3]17'!C10</f>
        <v>Per Job</v>
      </c>
      <c r="D128" s="29">
        <f>'[3]17'!D10</f>
        <v>280</v>
      </c>
      <c r="E128" s="29"/>
      <c r="F128" s="29"/>
    </row>
    <row r="129" spans="1:6" x14ac:dyDescent="0.25">
      <c r="A129" s="26" t="str">
        <f>'[3]17'!A11</f>
        <v>MKN 100-086</v>
      </c>
      <c r="B129" s="27" t="str">
        <f>'[3]17'!B11</f>
        <v>Thru 12"OD</v>
      </c>
      <c r="C129" s="28" t="str">
        <f>'[3]17'!C11</f>
        <v>Per Job</v>
      </c>
      <c r="D129" s="29">
        <f>'[3]17'!D11</f>
        <v>280</v>
      </c>
      <c r="E129" s="29"/>
      <c r="F129" s="29"/>
    </row>
    <row r="130" spans="1:6" x14ac:dyDescent="0.25">
      <c r="A130" s="26" t="str">
        <f>'[3]17'!A12</f>
        <v>MKN 100-087</v>
      </c>
      <c r="B130" s="27" t="str">
        <f>'[3]17'!B12</f>
        <v>Thru 15"OD</v>
      </c>
      <c r="C130" s="28" t="str">
        <f>'[3]17'!C12</f>
        <v>Per Job</v>
      </c>
      <c r="D130" s="29">
        <f>'[3]17'!D12</f>
        <v>360</v>
      </c>
      <c r="E130" s="29"/>
      <c r="F130" s="29"/>
    </row>
    <row r="131" spans="1:6" x14ac:dyDescent="0.25">
      <c r="A131" s="26" t="str">
        <f>'[3]17'!A13</f>
        <v>MKN 100-088</v>
      </c>
      <c r="B131" s="27" t="str">
        <f>'[3]17'!B13</f>
        <v>Thru 20"OD</v>
      </c>
      <c r="C131" s="28" t="str">
        <f>'[3]17'!C13</f>
        <v>Per Job</v>
      </c>
      <c r="D131" s="29">
        <f>'[3]17'!D13</f>
        <v>360</v>
      </c>
      <c r="E131" s="29"/>
      <c r="F131" s="29"/>
    </row>
    <row r="132" spans="1:6" x14ac:dyDescent="0.25">
      <c r="A132" s="26" t="str">
        <f>'[3]17'!A14</f>
        <v>MKN 100-089</v>
      </c>
      <c r="B132" s="27" t="str">
        <f>'[3]17'!B14</f>
        <v>Thru 24"OD</v>
      </c>
      <c r="C132" s="28" t="str">
        <f>'[3]17'!C14</f>
        <v>Per Job</v>
      </c>
      <c r="D132" s="29">
        <f>'[3]17'!D14</f>
        <v>475</v>
      </c>
      <c r="E132" s="29"/>
      <c r="F132" s="29"/>
    </row>
    <row r="133" spans="1:6" x14ac:dyDescent="0.25">
      <c r="A133" s="26" t="str">
        <f>'[3]17'!A15</f>
        <v>MKN 100-090</v>
      </c>
      <c r="B133" s="27" t="str">
        <f>'[3]17'!B15</f>
        <v>Thru 26"OD</v>
      </c>
      <c r="C133" s="28" t="str">
        <f>'[3]17'!C15</f>
        <v>Per Job</v>
      </c>
      <c r="D133" s="29">
        <f>'[3]17'!D15</f>
        <v>475</v>
      </c>
      <c r="E133" s="29"/>
      <c r="F133" s="29"/>
    </row>
    <row r="134" spans="1:6" ht="6" customHeight="1" x14ac:dyDescent="0.25">
      <c r="A134" s="5"/>
      <c r="B134" s="1"/>
      <c r="C134" s="15"/>
      <c r="D134" s="9"/>
      <c r="E134" s="9"/>
      <c r="F134" s="9"/>
    </row>
    <row r="135" spans="1:6" ht="15.95" customHeight="1" x14ac:dyDescent="0.25">
      <c r="A135" s="16" t="s">
        <v>35</v>
      </c>
      <c r="B135" s="17"/>
      <c r="C135" s="18"/>
      <c r="D135" s="19"/>
      <c r="E135" s="19"/>
      <c r="F135" s="19"/>
    </row>
    <row r="136" spans="1:6" x14ac:dyDescent="0.25">
      <c r="A136" s="20" t="s">
        <v>7</v>
      </c>
      <c r="B136" s="20" t="s">
        <v>8</v>
      </c>
      <c r="C136" s="21" t="s">
        <v>9</v>
      </c>
      <c r="D136" s="21" t="s">
        <v>12</v>
      </c>
      <c r="E136" s="21" t="s">
        <v>13</v>
      </c>
      <c r="F136" s="21"/>
    </row>
    <row r="137" spans="1:6" x14ac:dyDescent="0.25">
      <c r="A137" s="22" t="str">
        <f>'[3]18'!A8</f>
        <v>MKN 100-091</v>
      </c>
      <c r="B137" s="23" t="str">
        <f>'[3]18'!B8</f>
        <v>Thru 4-1/8"OD</v>
      </c>
      <c r="C137" s="24" t="str">
        <f>'[3]18'!C8</f>
        <v>S/day</v>
      </c>
      <c r="D137" s="25">
        <f>'[3]18'!D8</f>
        <v>190</v>
      </c>
      <c r="E137" s="25">
        <f>'[3]18'!E8</f>
        <v>100</v>
      </c>
      <c r="F137" s="25"/>
    </row>
    <row r="138" spans="1:6" x14ac:dyDescent="0.25">
      <c r="A138" s="26" t="str">
        <f>'[3]18'!A9</f>
        <v>MKN 100-092</v>
      </c>
      <c r="B138" s="27" t="str">
        <f>'[3]18'!B9</f>
        <v>Thru 5-3/4"OD</v>
      </c>
      <c r="C138" s="28" t="str">
        <f>'[3]18'!C9</f>
        <v>S/day</v>
      </c>
      <c r="D138" s="29">
        <f>'[3]18'!D9</f>
        <v>275</v>
      </c>
      <c r="E138" s="29">
        <f>'[3]18'!E9</f>
        <v>110</v>
      </c>
      <c r="F138" s="29"/>
    </row>
    <row r="139" spans="1:6" x14ac:dyDescent="0.25">
      <c r="A139" s="26" t="str">
        <f>'[3]18'!A10</f>
        <v>MKN 100-093</v>
      </c>
      <c r="B139" s="27" t="str">
        <f>'[3]18'!B10</f>
        <v>Thru 8"OD</v>
      </c>
      <c r="C139" s="28" t="str">
        <f>'[3]18'!C10</f>
        <v>S/day</v>
      </c>
      <c r="D139" s="29">
        <f>'[3]18'!D10</f>
        <v>275</v>
      </c>
      <c r="E139" s="29">
        <f>'[3]18'!E10</f>
        <v>110</v>
      </c>
      <c r="F139" s="29"/>
    </row>
    <row r="140" spans="1:6" x14ac:dyDescent="0.25">
      <c r="A140" s="26" t="str">
        <f>'[3]18'!A11</f>
        <v>MKN 100-094</v>
      </c>
      <c r="B140" s="27" t="str">
        <f>'[3]18'!B11</f>
        <v>Thru 10-3/4"OD</v>
      </c>
      <c r="C140" s="28" t="str">
        <f>'[3]18'!C11</f>
        <v>S/day</v>
      </c>
      <c r="D140" s="29">
        <f>'[3]18'!D11</f>
        <v>490</v>
      </c>
      <c r="E140" s="29">
        <f>'[3]18'!E11</f>
        <v>180</v>
      </c>
      <c r="F140" s="29"/>
    </row>
    <row r="141" spans="1:6" x14ac:dyDescent="0.25">
      <c r="A141" s="26" t="str">
        <f>'[3]18'!A12</f>
        <v>MKN 100-095</v>
      </c>
      <c r="B141" s="27" t="str">
        <f>'[3]18'!B12</f>
        <v>Thru 13 3/4"OD</v>
      </c>
      <c r="C141" s="28" t="str">
        <f>'[3]18'!C12</f>
        <v>S/day</v>
      </c>
      <c r="D141" s="29">
        <f>'[3]18'!D12</f>
        <v>650</v>
      </c>
      <c r="E141" s="29">
        <f>'[3]18'!E12</f>
        <v>230</v>
      </c>
      <c r="F141" s="29"/>
    </row>
    <row r="142" spans="1:6" ht="6" customHeight="1" x14ac:dyDescent="0.25">
      <c r="A142" s="5"/>
      <c r="B142" s="1"/>
      <c r="C142" s="15"/>
      <c r="D142" s="9"/>
      <c r="E142" s="9"/>
      <c r="F142" s="9"/>
    </row>
    <row r="143" spans="1:6" ht="15.95" customHeight="1" x14ac:dyDescent="0.25">
      <c r="A143" s="16" t="s">
        <v>36</v>
      </c>
      <c r="B143" s="17"/>
      <c r="C143" s="18"/>
      <c r="D143" s="19"/>
      <c r="E143" s="19"/>
      <c r="F143" s="19"/>
    </row>
    <row r="144" spans="1:6" x14ac:dyDescent="0.25">
      <c r="A144" s="20" t="s">
        <v>7</v>
      </c>
      <c r="B144" s="20" t="s">
        <v>8</v>
      </c>
      <c r="C144" s="21" t="s">
        <v>9</v>
      </c>
      <c r="D144" s="21" t="s">
        <v>12</v>
      </c>
      <c r="E144" s="21" t="s">
        <v>13</v>
      </c>
      <c r="F144" s="21"/>
    </row>
    <row r="145" spans="1:6" x14ac:dyDescent="0.25">
      <c r="A145" s="22" t="str">
        <f>'[3]19'!A8</f>
        <v>MKN 100-096</v>
      </c>
      <c r="B145" s="23" t="str">
        <f>'[3]19'!B8</f>
        <v>Thru 7"OD</v>
      </c>
      <c r="C145" s="24" t="str">
        <f>'[3]19'!C8</f>
        <v>$/day</v>
      </c>
      <c r="D145" s="25">
        <f>'[3]19'!D8</f>
        <v>150</v>
      </c>
      <c r="E145" s="25">
        <f>'[3]19'!E8</f>
        <v>70</v>
      </c>
      <c r="F145" s="25"/>
    </row>
    <row r="146" spans="1:6" x14ac:dyDescent="0.25">
      <c r="A146" s="26" t="str">
        <f>'[3]19'!A9</f>
        <v>MKN 100-097</v>
      </c>
      <c r="B146" s="27" t="str">
        <f>'[3]19'!B9</f>
        <v>Thru 11"OD</v>
      </c>
      <c r="C146" s="28" t="str">
        <f>'[3]19'!C9</f>
        <v>$/day</v>
      </c>
      <c r="D146" s="29">
        <f>'[3]19'!D9</f>
        <v>260</v>
      </c>
      <c r="E146" s="29">
        <f>'[3]19'!E9</f>
        <v>120</v>
      </c>
      <c r="F146" s="29"/>
    </row>
    <row r="147" spans="1:6" x14ac:dyDescent="0.25">
      <c r="A147" s="26" t="str">
        <f>'[3]19'!A10</f>
        <v>MKN 100-098</v>
      </c>
      <c r="B147" s="27" t="str">
        <f>'[3]19'!B10</f>
        <v>Thru 16-18"OD</v>
      </c>
      <c r="C147" s="28" t="str">
        <f>'[3]19'!C10</f>
        <v>$/day</v>
      </c>
      <c r="D147" s="29">
        <f>'[3]19'!D10</f>
        <v>560</v>
      </c>
      <c r="E147" s="29">
        <f>'[3]19'!E10</f>
        <v>230</v>
      </c>
      <c r="F147" s="29"/>
    </row>
    <row r="148" spans="1:6" x14ac:dyDescent="0.25">
      <c r="A148" s="26" t="str">
        <f>'[3]19'!A11</f>
        <v>MKN 100-099</v>
      </c>
      <c r="B148" s="27" t="str">
        <f>'[3]19'!B11</f>
        <v>Thru 20"OD</v>
      </c>
      <c r="C148" s="28" t="str">
        <f>'[3]19'!C11</f>
        <v>$/day</v>
      </c>
      <c r="D148" s="29">
        <f>'[3]19'!D11</f>
        <v>920</v>
      </c>
      <c r="E148" s="29">
        <f>'[3]19'!E11</f>
        <v>410</v>
      </c>
      <c r="F148" s="29"/>
    </row>
    <row r="149" spans="1:6" x14ac:dyDescent="0.25">
      <c r="A149" s="26" t="str">
        <f>'[3]19'!A12</f>
        <v>MKN 100-0100</v>
      </c>
      <c r="B149" s="27" t="str">
        <f>'[3]19'!B12</f>
        <v>Thru 24"OD</v>
      </c>
      <c r="C149" s="28" t="str">
        <f>'[3]19'!C12</f>
        <v>$/day</v>
      </c>
      <c r="D149" s="29">
        <f>'[3]19'!D12</f>
        <v>920</v>
      </c>
      <c r="E149" s="29">
        <f>'[3]19'!E12</f>
        <v>430</v>
      </c>
      <c r="F149" s="29"/>
    </row>
    <row r="150" spans="1:6" ht="6" customHeight="1" x14ac:dyDescent="0.25">
      <c r="A150" s="5"/>
      <c r="B150" s="1"/>
      <c r="C150" s="15"/>
      <c r="D150" s="9"/>
      <c r="E150" s="9"/>
      <c r="F150" s="9"/>
    </row>
    <row r="151" spans="1:6" ht="15.95" customHeight="1" x14ac:dyDescent="0.25">
      <c r="A151" s="16" t="s">
        <v>37</v>
      </c>
      <c r="B151" s="17"/>
      <c r="C151" s="18"/>
      <c r="D151" s="19"/>
      <c r="E151" s="19"/>
      <c r="F151" s="19"/>
    </row>
    <row r="152" spans="1:6" x14ac:dyDescent="0.25">
      <c r="A152" s="20" t="s">
        <v>7</v>
      </c>
      <c r="B152" s="20" t="s">
        <v>8</v>
      </c>
      <c r="C152" s="21" t="s">
        <v>9</v>
      </c>
      <c r="D152" s="21" t="s">
        <v>12</v>
      </c>
      <c r="E152" s="21" t="s">
        <v>13</v>
      </c>
      <c r="F152" s="21"/>
    </row>
    <row r="153" spans="1:6" x14ac:dyDescent="0.25">
      <c r="A153" s="22" t="str">
        <f>'[3]19'!A14</f>
        <v>MKN 100-0101</v>
      </c>
      <c r="B153" s="23" t="str">
        <f>'[3]19'!B14</f>
        <v>Thru 7-7/8"OD</v>
      </c>
      <c r="C153" s="24" t="str">
        <f>'[3]19'!C14</f>
        <v>$/day</v>
      </c>
      <c r="D153" s="25">
        <f>'[3]19'!D14</f>
        <v>370</v>
      </c>
      <c r="E153" s="25">
        <f>'[3]19'!E14</f>
        <v>160</v>
      </c>
      <c r="F153" s="25"/>
    </row>
    <row r="154" spans="1:6" x14ac:dyDescent="0.25">
      <c r="A154" s="26" t="str">
        <f>'[3]19'!A15</f>
        <v>MKN 100-0102</v>
      </c>
      <c r="B154" s="27" t="str">
        <f>'[3]19'!B15</f>
        <v>Thru 20-3/4"OD</v>
      </c>
      <c r="C154" s="28" t="str">
        <f>'[3]19'!C15</f>
        <v>$/day</v>
      </c>
      <c r="D154" s="29">
        <f>'[3]19'!D15</f>
        <v>1100</v>
      </c>
      <c r="E154" s="29">
        <f>'[3]19'!E15</f>
        <v>550</v>
      </c>
      <c r="F154" s="29"/>
    </row>
    <row r="155" spans="1:6" ht="6" customHeight="1" x14ac:dyDescent="0.25">
      <c r="A155" s="5"/>
      <c r="B155" s="1"/>
      <c r="C155" s="15"/>
      <c r="D155" s="9"/>
      <c r="E155" s="9"/>
      <c r="F155" s="9"/>
    </row>
    <row r="156" spans="1:6" ht="15.95" customHeight="1" x14ac:dyDescent="0.25">
      <c r="A156" s="16" t="s">
        <v>38</v>
      </c>
      <c r="B156" s="17"/>
      <c r="C156" s="18"/>
      <c r="D156" s="19"/>
      <c r="E156" s="19"/>
      <c r="F156" s="19"/>
    </row>
    <row r="157" spans="1:6" x14ac:dyDescent="0.25">
      <c r="A157" s="20" t="s">
        <v>7</v>
      </c>
      <c r="B157" s="20" t="s">
        <v>8</v>
      </c>
      <c r="C157" s="21" t="s">
        <v>9</v>
      </c>
      <c r="D157" s="21" t="s">
        <v>12</v>
      </c>
      <c r="E157" s="21" t="s">
        <v>13</v>
      </c>
      <c r="F157" s="21"/>
    </row>
    <row r="158" spans="1:6" x14ac:dyDescent="0.25">
      <c r="A158" s="22" t="str">
        <f>'[3]19'!A17</f>
        <v>MKN 100-0103</v>
      </c>
      <c r="B158" s="23" t="str">
        <f>'[3]19'!B17</f>
        <v>4-1/2"OD</v>
      </c>
      <c r="C158" s="24" t="str">
        <f>'[3]19'!C17</f>
        <v>$/FT</v>
      </c>
      <c r="D158" s="25">
        <f>'[3]19'!D17</f>
        <v>7</v>
      </c>
      <c r="E158" s="25">
        <f>'[3]19'!E17</f>
        <v>5</v>
      </c>
      <c r="F158" s="25"/>
    </row>
    <row r="159" spans="1:6" x14ac:dyDescent="0.25">
      <c r="A159" s="26" t="str">
        <f>'[3]19'!A18</f>
        <v>MKN 100-0104</v>
      </c>
      <c r="B159" s="27" t="str">
        <f>'[3]19'!B18</f>
        <v>4-3/4"OD</v>
      </c>
      <c r="C159" s="28" t="str">
        <f>'[3]19'!C18</f>
        <v>$/FT</v>
      </c>
      <c r="D159" s="29">
        <f>'[3]19'!D18</f>
        <v>7</v>
      </c>
      <c r="E159" s="29">
        <f>'[3]19'!E18</f>
        <v>5</v>
      </c>
      <c r="F159" s="29"/>
    </row>
    <row r="160" spans="1:6" x14ac:dyDescent="0.25">
      <c r="A160" s="26" t="str">
        <f>'[3]19'!A19</f>
        <v>MKN 100-0105</v>
      </c>
      <c r="B160" s="27" t="str">
        <f>'[3]19'!B19</f>
        <v>5"OD</v>
      </c>
      <c r="C160" s="28" t="str">
        <f>'[3]19'!C19</f>
        <v>$/FT</v>
      </c>
      <c r="D160" s="29">
        <f>'[3]19'!D19</f>
        <v>7</v>
      </c>
      <c r="E160" s="29">
        <f>'[3]19'!E19</f>
        <v>5</v>
      </c>
      <c r="F160" s="29"/>
    </row>
    <row r="161" spans="1:6" x14ac:dyDescent="0.25">
      <c r="A161" s="26" t="str">
        <f>'[3]19'!A20</f>
        <v>MKN 100-0106</v>
      </c>
      <c r="B161" s="27" t="str">
        <f>'[3]19'!B20</f>
        <v>5-3/8"OD</v>
      </c>
      <c r="C161" s="28" t="str">
        <f>'[3]19'!C20</f>
        <v>$/FT</v>
      </c>
      <c r="D161" s="29">
        <f>'[3]19'!D20</f>
        <v>7</v>
      </c>
      <c r="E161" s="29">
        <f>'[3]19'!E20</f>
        <v>5</v>
      </c>
      <c r="F161" s="29"/>
    </row>
    <row r="162" spans="1:6" x14ac:dyDescent="0.25">
      <c r="A162" s="26" t="str">
        <f>'[3]19'!A21</f>
        <v>MKN 100-0107</v>
      </c>
      <c r="B162" s="27" t="str">
        <f>'[3]19'!B21</f>
        <v>5-3/4"OD</v>
      </c>
      <c r="C162" s="28" t="str">
        <f>'[3]19'!C21</f>
        <v>$/FT</v>
      </c>
      <c r="D162" s="29">
        <f>'[3]19'!D21</f>
        <v>10</v>
      </c>
      <c r="E162" s="29">
        <f>'[3]19'!E21</f>
        <v>7</v>
      </c>
      <c r="F162" s="29"/>
    </row>
    <row r="163" spans="1:6" x14ac:dyDescent="0.25">
      <c r="A163" s="26" t="str">
        <f>'[3]19'!A22</f>
        <v>MKN 100-0108</v>
      </c>
      <c r="B163" s="27" t="str">
        <f>'[3]19'!B22</f>
        <v>7-5/8"OD</v>
      </c>
      <c r="C163" s="28" t="str">
        <f>'[3]19'!C22</f>
        <v>$/FT</v>
      </c>
      <c r="D163" s="29">
        <f>'[3]19'!D22</f>
        <v>11</v>
      </c>
      <c r="E163" s="29">
        <f>'[3]19'!E22</f>
        <v>7</v>
      </c>
      <c r="F163" s="29"/>
    </row>
    <row r="164" spans="1:6" ht="6" customHeight="1" x14ac:dyDescent="0.25">
      <c r="A164" s="5"/>
      <c r="B164" s="1"/>
      <c r="C164" s="15"/>
      <c r="D164" s="9"/>
      <c r="E164" s="9"/>
      <c r="F164" s="9"/>
    </row>
    <row r="165" spans="1:6" ht="15.95" customHeight="1" x14ac:dyDescent="0.25">
      <c r="A165" s="16" t="s">
        <v>39</v>
      </c>
      <c r="B165" s="17"/>
      <c r="C165" s="18"/>
      <c r="D165" s="19"/>
      <c r="E165" s="19"/>
      <c r="F165" s="19"/>
    </row>
    <row r="166" spans="1:6" x14ac:dyDescent="0.25">
      <c r="A166" s="20" t="s">
        <v>7</v>
      </c>
      <c r="B166" s="20" t="s">
        <v>8</v>
      </c>
      <c r="C166" s="21" t="s">
        <v>9</v>
      </c>
      <c r="D166" s="21" t="s">
        <v>12</v>
      </c>
      <c r="E166" s="21" t="s">
        <v>13</v>
      </c>
      <c r="F166" s="21"/>
    </row>
    <row r="167" spans="1:6" x14ac:dyDescent="0.25">
      <c r="A167" s="22" t="str">
        <f>'[3]20'!A8</f>
        <v>MKN 100-0109</v>
      </c>
      <c r="B167" s="23" t="str">
        <f>'[3]20'!B8</f>
        <v>Thru 5 1/2"OD</v>
      </c>
      <c r="C167" s="24" t="str">
        <f>'[3]20'!C8</f>
        <v>$/day</v>
      </c>
      <c r="D167" s="25">
        <f>'[3]20'!D8</f>
        <v>260</v>
      </c>
      <c r="E167" s="25">
        <f>'[3]20'!E8</f>
        <v>110</v>
      </c>
      <c r="F167" s="25"/>
    </row>
    <row r="168" spans="1:6" x14ac:dyDescent="0.25">
      <c r="A168" s="26" t="str">
        <f>'[3]20'!A9</f>
        <v>MKN 100-0110</v>
      </c>
      <c r="B168" s="27" t="str">
        <f>'[3]20'!B9</f>
        <v>Thru 9 1/4"OD</v>
      </c>
      <c r="C168" s="28" t="str">
        <f>'[3]20'!C9</f>
        <v>$/day</v>
      </c>
      <c r="D168" s="29">
        <f>'[3]20'!D9</f>
        <v>350</v>
      </c>
      <c r="E168" s="29">
        <f>'[3]20'!E9</f>
        <v>145</v>
      </c>
      <c r="F168" s="29"/>
    </row>
    <row r="169" spans="1:6" x14ac:dyDescent="0.25">
      <c r="A169" s="26" t="str">
        <f>'[3]20'!A10</f>
        <v>MKN 100-0111</v>
      </c>
      <c r="B169" s="27" t="str">
        <f>'[3]20'!B10</f>
        <v>Thru 10 3/4"OD</v>
      </c>
      <c r="C169" s="28" t="str">
        <f>'[3]20'!C10</f>
        <v>$/day</v>
      </c>
      <c r="D169" s="29">
        <f>'[3]20'!D10</f>
        <v>500</v>
      </c>
      <c r="E169" s="29">
        <f>'[3]20'!E10</f>
        <v>195</v>
      </c>
      <c r="F169" s="29"/>
    </row>
    <row r="170" spans="1:6" x14ac:dyDescent="0.25">
      <c r="A170" s="26" t="str">
        <f>'[3]20'!A11</f>
        <v>MKN 100-0112</v>
      </c>
      <c r="B170" s="27" t="str">
        <f>'[3]20'!B11</f>
        <v>Thru 13 3/8"OD</v>
      </c>
      <c r="C170" s="28" t="str">
        <f>'[3]20'!C11</f>
        <v>$/day</v>
      </c>
      <c r="D170" s="29">
        <f>'[3]20'!D11</f>
        <v>445</v>
      </c>
      <c r="E170" s="29">
        <f>'[3]20'!E11</f>
        <v>300</v>
      </c>
      <c r="F170" s="29"/>
    </row>
    <row r="171" spans="1:6" x14ac:dyDescent="0.25">
      <c r="A171" s="26" t="str">
        <f>'[3]20'!A12</f>
        <v>MKN 100-0113</v>
      </c>
      <c r="B171" s="27" t="str">
        <f>'[3]20'!B12</f>
        <v>Thru 16"OD</v>
      </c>
      <c r="C171" s="28" t="str">
        <f>'[3]20'!C12</f>
        <v>$/day</v>
      </c>
      <c r="D171" s="29">
        <f>'[3]20'!D12</f>
        <v>1020</v>
      </c>
      <c r="E171" s="29">
        <f>'[3]20'!E12</f>
        <v>470</v>
      </c>
      <c r="F171" s="29"/>
    </row>
    <row r="172" spans="1:6" x14ac:dyDescent="0.25">
      <c r="A172" s="26" t="str">
        <f>'[3]20'!A13</f>
        <v>MKN 100-0114</v>
      </c>
      <c r="B172" s="27" t="str">
        <f>'[3]20'!B13</f>
        <v>Thru 20"OD</v>
      </c>
      <c r="C172" s="28" t="str">
        <f>'[3]20'!C13</f>
        <v>$/day</v>
      </c>
      <c r="D172" s="29">
        <f>'[3]20'!D13</f>
        <v>1130</v>
      </c>
      <c r="E172" s="29">
        <f>'[3]20'!E13</f>
        <v>480</v>
      </c>
      <c r="F172" s="29"/>
    </row>
    <row r="173" spans="1:6" ht="6" customHeight="1" x14ac:dyDescent="0.25">
      <c r="A173" s="5"/>
      <c r="B173" s="1"/>
      <c r="C173" s="15"/>
      <c r="D173" s="9"/>
      <c r="E173" s="9"/>
      <c r="F173" s="9"/>
    </row>
    <row r="174" spans="1:6" ht="15.95" customHeight="1" x14ac:dyDescent="0.25">
      <c r="A174" s="16" t="s">
        <v>40</v>
      </c>
      <c r="B174" s="17"/>
      <c r="C174" s="18"/>
      <c r="D174" s="19"/>
      <c r="E174" s="19"/>
      <c r="F174" s="19"/>
    </row>
    <row r="175" spans="1:6" x14ac:dyDescent="0.25">
      <c r="A175" s="20" t="s">
        <v>7</v>
      </c>
      <c r="B175" s="20" t="s">
        <v>8</v>
      </c>
      <c r="C175" s="21" t="s">
        <v>9</v>
      </c>
      <c r="D175" s="21" t="s">
        <v>10</v>
      </c>
      <c r="E175" s="21"/>
      <c r="F175" s="21"/>
    </row>
    <row r="176" spans="1:6" x14ac:dyDescent="0.25">
      <c r="A176" s="22" t="str">
        <f>'[3]21'!A7</f>
        <v>MKN 100-0115</v>
      </c>
      <c r="B176" s="23" t="str">
        <f>'[3]21'!B7</f>
        <v>Thru 3-1/2" Joint size</v>
      </c>
      <c r="C176" s="24" t="str">
        <f>'[3]21'!C7</f>
        <v>Per Day</v>
      </c>
      <c r="D176" s="25">
        <f>'[3]21'!D7</f>
        <v>40</v>
      </c>
      <c r="E176" s="25"/>
      <c r="F176" s="25"/>
    </row>
    <row r="177" spans="1:6" x14ac:dyDescent="0.25">
      <c r="A177" s="26" t="str">
        <f>'[3]21'!A8</f>
        <v>MKN 100-0116</v>
      </c>
      <c r="B177" s="27" t="str">
        <f>'[3]21'!B8</f>
        <v>Thru 4-1/2" Joint size</v>
      </c>
      <c r="C177" s="28" t="str">
        <f>'[3]21'!C8</f>
        <v>Per Day</v>
      </c>
      <c r="D177" s="29">
        <f>'[3]21'!D8</f>
        <v>45</v>
      </c>
      <c r="E177" s="29"/>
      <c r="F177" s="29"/>
    </row>
    <row r="178" spans="1:6" x14ac:dyDescent="0.25">
      <c r="A178" s="26" t="str">
        <f>'[3]21'!A9</f>
        <v>MKN 100-0117</v>
      </c>
      <c r="B178" s="27" t="str">
        <f>'[3]21'!B9</f>
        <v>Thru 5-1/2" Joint size</v>
      </c>
      <c r="C178" s="28" t="str">
        <f>'[3]21'!C9</f>
        <v>Per Day</v>
      </c>
      <c r="D178" s="29">
        <f>'[3]21'!D9</f>
        <v>45</v>
      </c>
      <c r="E178" s="29"/>
      <c r="F178" s="29"/>
    </row>
    <row r="179" spans="1:6" x14ac:dyDescent="0.25">
      <c r="A179" s="26" t="str">
        <f>'[3]21'!A10</f>
        <v>MKN 100-0118</v>
      </c>
      <c r="B179" s="27" t="str">
        <f>'[3]21'!B10</f>
        <v>Thru 6-5/8" Joint size</v>
      </c>
      <c r="C179" s="28" t="str">
        <f>'[3]21'!C10</f>
        <v>Per Day</v>
      </c>
      <c r="D179" s="29">
        <f>'[3]21'!D10</f>
        <v>80</v>
      </c>
      <c r="E179" s="29"/>
      <c r="F179" s="29"/>
    </row>
    <row r="180" spans="1:6" ht="6" customHeight="1" x14ac:dyDescent="0.25">
      <c r="A180" s="5"/>
      <c r="B180" s="1"/>
      <c r="C180" s="15"/>
      <c r="D180" s="9"/>
      <c r="E180" s="9"/>
      <c r="F180" s="9"/>
    </row>
    <row r="181" spans="1:6" ht="15.95" customHeight="1" x14ac:dyDescent="0.25">
      <c r="A181" s="16" t="s">
        <v>41</v>
      </c>
      <c r="B181" s="17"/>
      <c r="C181" s="18"/>
      <c r="D181" s="19"/>
      <c r="E181" s="19"/>
      <c r="F181" s="19"/>
    </row>
    <row r="182" spans="1:6" x14ac:dyDescent="0.25">
      <c r="A182" s="20" t="s">
        <v>7</v>
      </c>
      <c r="B182" s="20" t="s">
        <v>8</v>
      </c>
      <c r="C182" s="21" t="s">
        <v>9</v>
      </c>
      <c r="D182" s="21" t="s">
        <v>10</v>
      </c>
      <c r="E182" s="21"/>
      <c r="F182" s="21"/>
    </row>
    <row r="183" spans="1:6" x14ac:dyDescent="0.25">
      <c r="A183" s="22" t="str">
        <f>'[3]21'!A12</f>
        <v>MKN 100-0119</v>
      </c>
      <c r="B183" s="23" t="str">
        <f>'[3]21'!B12</f>
        <v>Thru 5-3/4" OD pipe</v>
      </c>
      <c r="C183" s="24" t="str">
        <f>'[3]21'!C12</f>
        <v>Per Day</v>
      </c>
      <c r="D183" s="25">
        <f>'[3]21'!D12</f>
        <v>17</v>
      </c>
      <c r="E183" s="25"/>
      <c r="F183" s="25"/>
    </row>
    <row r="184" spans="1:6" x14ac:dyDescent="0.25">
      <c r="A184" s="26" t="str">
        <f>'[3]21'!A13</f>
        <v>MKN 100-0120</v>
      </c>
      <c r="B184" s="27" t="str">
        <f>'[3]21'!B13</f>
        <v>Thru 10-3/4" OD pipe</v>
      </c>
      <c r="C184" s="28" t="str">
        <f>'[3]21'!C13</f>
        <v>Per Day</v>
      </c>
      <c r="D184" s="29">
        <f>'[3]21'!D13</f>
        <v>30</v>
      </c>
      <c r="E184" s="29"/>
      <c r="F184" s="29"/>
    </row>
    <row r="185" spans="1:6" x14ac:dyDescent="0.25">
      <c r="A185" s="26" t="str">
        <f>'[3]21'!A14</f>
        <v>MKN 100-0121</v>
      </c>
      <c r="B185" s="27" t="str">
        <f>'[3]21'!B14</f>
        <v>Thru 20" OD pipe</v>
      </c>
      <c r="C185" s="28" t="str">
        <f>'[3]21'!C14</f>
        <v>Per Day</v>
      </c>
      <c r="D185" s="29">
        <f>'[3]21'!D14</f>
        <v>45</v>
      </c>
      <c r="E185" s="29"/>
      <c r="F185" s="29"/>
    </row>
    <row r="186" spans="1:6" ht="6" customHeight="1" x14ac:dyDescent="0.25">
      <c r="A186" s="5"/>
      <c r="B186" s="1"/>
      <c r="C186" s="15"/>
      <c r="D186" s="9"/>
      <c r="E186" s="9"/>
      <c r="F186" s="9"/>
    </row>
    <row r="187" spans="1:6" ht="15.95" customHeight="1" x14ac:dyDescent="0.25">
      <c r="A187" s="16" t="s">
        <v>42</v>
      </c>
      <c r="B187" s="17"/>
      <c r="C187" s="18"/>
      <c r="D187" s="19"/>
      <c r="E187" s="19"/>
      <c r="F187" s="19"/>
    </row>
    <row r="188" spans="1:6" x14ac:dyDescent="0.25">
      <c r="A188" s="20" t="s">
        <v>7</v>
      </c>
      <c r="B188" s="20" t="s">
        <v>8</v>
      </c>
      <c r="C188" s="21" t="s">
        <v>9</v>
      </c>
      <c r="D188" s="21" t="s">
        <v>10</v>
      </c>
      <c r="E188" s="21"/>
      <c r="F188" s="21"/>
    </row>
    <row r="189" spans="1:6" x14ac:dyDescent="0.25">
      <c r="A189" s="22" t="str">
        <f>'[3]22'!A8</f>
        <v>MKN 100-0122</v>
      </c>
      <c r="B189" s="23" t="str">
        <f>'[3]22'!B8</f>
        <v>Thru 15"OD</v>
      </c>
      <c r="C189" s="24" t="str">
        <f>'[3]22'!C8</f>
        <v>Per Job</v>
      </c>
      <c r="D189" s="25">
        <f>'[3]22'!D8</f>
        <v>280</v>
      </c>
      <c r="E189" s="25"/>
      <c r="F189" s="25"/>
    </row>
    <row r="190" spans="1:6" x14ac:dyDescent="0.25">
      <c r="A190" s="26" t="str">
        <f>'[3]22'!A9</f>
        <v>MKN 100-0123</v>
      </c>
      <c r="B190" s="27" t="str">
        <f>'[3]22'!B9</f>
        <v>Thru 24"OD</v>
      </c>
      <c r="C190" s="28" t="str">
        <f>'[3]22'!C9</f>
        <v>Per Job</v>
      </c>
      <c r="D190" s="29">
        <f>'[3]22'!D9</f>
        <v>320</v>
      </c>
      <c r="E190" s="29"/>
      <c r="F190" s="29"/>
    </row>
    <row r="191" spans="1:6" x14ac:dyDescent="0.25">
      <c r="A191" s="26" t="str">
        <f>'[3]22'!A10</f>
        <v>MKN 100-0124</v>
      </c>
      <c r="B191" s="27" t="str">
        <f>'[3]22'!B10</f>
        <v>Thru 30"OD</v>
      </c>
      <c r="C191" s="28" t="str">
        <f>'[3]22'!C10</f>
        <v>Per Job</v>
      </c>
      <c r="D191" s="29">
        <f>'[3]22'!D10</f>
        <v>670</v>
      </c>
      <c r="E191" s="29"/>
      <c r="F191" s="29"/>
    </row>
    <row r="192" spans="1:6" ht="6" customHeight="1" x14ac:dyDescent="0.25">
      <c r="A192" s="5"/>
      <c r="B192" s="1"/>
      <c r="C192" s="15"/>
      <c r="D192" s="9"/>
      <c r="E192" s="9"/>
      <c r="F192" s="9"/>
    </row>
    <row r="193" spans="1:6" ht="15.95" customHeight="1" x14ac:dyDescent="0.25">
      <c r="A193" s="16" t="s">
        <v>43</v>
      </c>
      <c r="B193" s="17"/>
      <c r="C193" s="18"/>
      <c r="D193" s="19"/>
      <c r="E193" s="19"/>
      <c r="F193" s="19"/>
    </row>
    <row r="194" spans="1:6" x14ac:dyDescent="0.25">
      <c r="A194" s="20" t="s">
        <v>7</v>
      </c>
      <c r="B194" s="20" t="s">
        <v>8</v>
      </c>
      <c r="C194" s="21" t="s">
        <v>9</v>
      </c>
      <c r="D194" s="21" t="s">
        <v>10</v>
      </c>
      <c r="E194" s="21"/>
      <c r="F194" s="21"/>
    </row>
    <row r="195" spans="1:6" x14ac:dyDescent="0.25">
      <c r="A195" s="22" t="str">
        <f>'[3]22'!A12</f>
        <v>MKN 100-0125</v>
      </c>
      <c r="B195" s="23" t="str">
        <f>'[3]22'!B12</f>
        <v>Pneumatic Casing Saw - 4" to 12"</v>
      </c>
      <c r="C195" s="24" t="str">
        <f>'[3]22'!C12</f>
        <v>Per CUT</v>
      </c>
      <c r="D195" s="25">
        <f>'[3]22'!D12</f>
        <v>650</v>
      </c>
      <c r="E195" s="25"/>
      <c r="F195" s="25"/>
    </row>
    <row r="196" spans="1:6" ht="6" customHeight="1" x14ac:dyDescent="0.25">
      <c r="A196" s="5"/>
      <c r="B196" s="1"/>
      <c r="C196" s="15"/>
      <c r="D196" s="9"/>
      <c r="E196" s="9"/>
      <c r="F196" s="9"/>
    </row>
    <row r="197" spans="1:6" ht="15.95" customHeight="1" x14ac:dyDescent="0.25">
      <c r="A197" s="16" t="s">
        <v>44</v>
      </c>
      <c r="B197" s="17"/>
      <c r="C197" s="18"/>
      <c r="D197" s="19"/>
      <c r="E197" s="19"/>
      <c r="F197" s="19"/>
    </row>
    <row r="198" spans="1:6" x14ac:dyDescent="0.25">
      <c r="A198" s="20" t="s">
        <v>7</v>
      </c>
      <c r="B198" s="20" t="s">
        <v>8</v>
      </c>
      <c r="C198" s="21" t="s">
        <v>9</v>
      </c>
      <c r="D198" s="21" t="s">
        <v>10</v>
      </c>
      <c r="E198" s="21"/>
      <c r="F198" s="21"/>
    </row>
    <row r="199" spans="1:6" x14ac:dyDescent="0.25">
      <c r="A199" s="22" t="str">
        <f>'[3]22'!A14</f>
        <v>MKN 100-0126</v>
      </c>
      <c r="B199" s="23" t="str">
        <f>'[3]22'!B14</f>
        <v>Thru 5"OD</v>
      </c>
      <c r="C199" s="24" t="str">
        <f>'[3]22'!C14</f>
        <v>Per Run</v>
      </c>
      <c r="D199" s="25">
        <f>'[3]22'!D14</f>
        <v>495</v>
      </c>
      <c r="E199" s="25"/>
      <c r="F199" s="25"/>
    </row>
    <row r="200" spans="1:6" x14ac:dyDescent="0.25">
      <c r="A200" s="26" t="str">
        <f>'[3]22'!A15</f>
        <v>MKN 100-0127</v>
      </c>
      <c r="B200" s="27" t="str">
        <f>'[3]22'!B15</f>
        <v>Thru 7"OD</v>
      </c>
      <c r="C200" s="28" t="str">
        <f>'[3]22'!C15</f>
        <v>Per Run</v>
      </c>
      <c r="D200" s="29">
        <f>'[3]22'!D15</f>
        <v>580</v>
      </c>
      <c r="E200" s="29"/>
      <c r="F200" s="29"/>
    </row>
    <row r="201" spans="1:6" x14ac:dyDescent="0.25">
      <c r="A201" s="26" t="str">
        <f>'[3]22'!A16</f>
        <v>MKN 100-0128</v>
      </c>
      <c r="B201" s="27" t="str">
        <f>'[3]22'!B16</f>
        <v>Thru 9 5/8"OD</v>
      </c>
      <c r="C201" s="28" t="str">
        <f>'[3]22'!C16</f>
        <v>Per Run</v>
      </c>
      <c r="D201" s="29">
        <f>'[3]22'!D16</f>
        <v>780</v>
      </c>
      <c r="E201" s="29"/>
      <c r="F201" s="29"/>
    </row>
    <row r="202" spans="1:6" x14ac:dyDescent="0.25">
      <c r="A202" s="26" t="str">
        <f>'[3]22'!A17</f>
        <v>MKN 100-0129</v>
      </c>
      <c r="B202" s="27" t="str">
        <f>'[3]22'!B17</f>
        <v>Thru 10 3/4"OD</v>
      </c>
      <c r="C202" s="28" t="str">
        <f>'[3]22'!C17</f>
        <v>Per Run</v>
      </c>
      <c r="D202" s="29">
        <f>'[3]22'!D17</f>
        <v>1150</v>
      </c>
      <c r="E202" s="29"/>
      <c r="F202" s="29"/>
    </row>
    <row r="203" spans="1:6" x14ac:dyDescent="0.25">
      <c r="A203" s="26" t="str">
        <f>'[3]22'!A18</f>
        <v>MKN 100-0130</v>
      </c>
      <c r="B203" s="27" t="str">
        <f>'[3]22'!B18</f>
        <v>Thru 13 3/8"OD</v>
      </c>
      <c r="C203" s="28" t="str">
        <f>'[3]22'!C18</f>
        <v>Per Run</v>
      </c>
      <c r="D203" s="29">
        <f>'[3]22'!D18</f>
        <v>1450</v>
      </c>
      <c r="E203" s="29"/>
      <c r="F203" s="29"/>
    </row>
    <row r="204" spans="1:6" x14ac:dyDescent="0.25">
      <c r="A204" s="26" t="str">
        <f>'[3]22'!A19</f>
        <v>MKN 100-0131</v>
      </c>
      <c r="B204" s="27" t="str">
        <f>'[3]22'!B19</f>
        <v>Thru 16"OD</v>
      </c>
      <c r="C204" s="28" t="str">
        <f>'[3]22'!C19</f>
        <v>Per Run</v>
      </c>
      <c r="D204" s="29">
        <f>'[3]22'!D19</f>
        <v>1720</v>
      </c>
      <c r="E204" s="29"/>
      <c r="F204" s="29"/>
    </row>
    <row r="205" spans="1:6" x14ac:dyDescent="0.25">
      <c r="A205" s="26" t="str">
        <f>'[3]22'!A20</f>
        <v>MKN 100-0132</v>
      </c>
      <c r="B205" s="27" t="str">
        <f>'[3]22'!B20</f>
        <v>Thru 20"OD</v>
      </c>
      <c r="C205" s="28" t="str">
        <f>'[3]22'!C20</f>
        <v>Per Run</v>
      </c>
      <c r="D205" s="29">
        <f>'[3]22'!D20</f>
        <v>1950</v>
      </c>
      <c r="E205" s="29"/>
      <c r="F205" s="29"/>
    </row>
    <row r="206" spans="1:6" ht="6" customHeight="1" x14ac:dyDescent="0.25">
      <c r="A206" s="5"/>
      <c r="B206" s="1"/>
      <c r="C206" s="15"/>
      <c r="D206" s="9"/>
      <c r="E206" s="9"/>
      <c r="F206" s="9"/>
    </row>
    <row r="207" spans="1:6" ht="15.95" customHeight="1" x14ac:dyDescent="0.25">
      <c r="A207" s="16" t="s">
        <v>45</v>
      </c>
      <c r="B207" s="17"/>
      <c r="C207" s="18"/>
      <c r="D207" s="19"/>
      <c r="E207" s="19"/>
      <c r="F207" s="19"/>
    </row>
    <row r="208" spans="1:6" x14ac:dyDescent="0.25">
      <c r="A208" s="20" t="s">
        <v>7</v>
      </c>
      <c r="B208" s="20" t="s">
        <v>8</v>
      </c>
      <c r="C208" s="21" t="s">
        <v>9</v>
      </c>
      <c r="D208" s="21" t="s">
        <v>10</v>
      </c>
      <c r="E208" s="21"/>
      <c r="F208" s="21"/>
    </row>
    <row r="209" spans="1:6" x14ac:dyDescent="0.25">
      <c r="A209" s="22" t="str">
        <f>'[3]22'!A23</f>
        <v>MKN 100-0133</v>
      </c>
      <c r="B209" s="23" t="str">
        <f>'[3]22'!B23</f>
        <v>Thru 7 1/2"OD</v>
      </c>
      <c r="C209" s="24" t="str">
        <f>'[3]22'!C23</f>
        <v>Per Job</v>
      </c>
      <c r="D209" s="25">
        <f>'[3]22'!D23</f>
        <v>210</v>
      </c>
      <c r="E209" s="25"/>
      <c r="F209" s="25"/>
    </row>
    <row r="210" spans="1:6" x14ac:dyDescent="0.25">
      <c r="A210" s="26" t="str">
        <f>'[3]22'!A24</f>
        <v>MKN 100-0134</v>
      </c>
      <c r="B210" s="27" t="str">
        <f>'[3]22'!B24</f>
        <v>Thru 12 3/4"OD</v>
      </c>
      <c r="C210" s="28" t="str">
        <f>'[3]22'!C24</f>
        <v>Per Job</v>
      </c>
      <c r="D210" s="29">
        <f>'[3]22'!D24</f>
        <v>280</v>
      </c>
      <c r="E210" s="29"/>
      <c r="F210" s="29"/>
    </row>
    <row r="211" spans="1:6" ht="6" customHeight="1" x14ac:dyDescent="0.25">
      <c r="A211" s="5"/>
      <c r="B211" s="1"/>
      <c r="C211" s="15"/>
      <c r="D211" s="9"/>
      <c r="E211" s="9"/>
      <c r="F211" s="9"/>
    </row>
    <row r="212" spans="1:6" ht="15.95" customHeight="1" x14ac:dyDescent="0.25">
      <c r="A212" s="16" t="s">
        <v>46</v>
      </c>
      <c r="B212" s="17"/>
      <c r="C212" s="18"/>
      <c r="D212" s="19"/>
      <c r="E212" s="19"/>
      <c r="F212" s="19"/>
    </row>
    <row r="213" spans="1:6" x14ac:dyDescent="0.25">
      <c r="A213" s="20" t="s">
        <v>7</v>
      </c>
      <c r="B213" s="20" t="s">
        <v>8</v>
      </c>
      <c r="C213" s="21" t="s">
        <v>9</v>
      </c>
      <c r="D213" s="21" t="s">
        <v>12</v>
      </c>
      <c r="E213" s="21" t="s">
        <v>13</v>
      </c>
      <c r="F213" s="21"/>
    </row>
    <row r="214" spans="1:6" x14ac:dyDescent="0.25">
      <c r="A214" s="22" t="str">
        <f>'[3]23'!A8</f>
        <v>MKN 100-0135</v>
      </c>
      <c r="B214" s="23" t="str">
        <f>'[3]23'!B8</f>
        <v>Thru 4-1/2"OD Casing</v>
      </c>
      <c r="C214" s="24" t="str">
        <f>'[3]23'!C8</f>
        <v>Per Day</v>
      </c>
      <c r="D214" s="25">
        <f>'[3]23'!D8</f>
        <v>950</v>
      </c>
      <c r="E214" s="25">
        <f>'[3]23'!E8</f>
        <v>500</v>
      </c>
      <c r="F214" s="25"/>
    </row>
    <row r="215" spans="1:6" x14ac:dyDescent="0.25">
      <c r="A215" s="26" t="str">
        <f>'[3]23'!A9</f>
        <v>MKN 100-0136</v>
      </c>
      <c r="B215" s="27" t="str">
        <f>'[3]23'!B9</f>
        <v>Thru 5-1/2"OD Casing</v>
      </c>
      <c r="C215" s="28" t="str">
        <f>'[3]23'!C9</f>
        <v>Per Day</v>
      </c>
      <c r="D215" s="29">
        <f>'[3]23'!D9</f>
        <v>1120</v>
      </c>
      <c r="E215" s="29">
        <f>'[3]23'!E9</f>
        <v>530</v>
      </c>
      <c r="F215" s="29"/>
    </row>
    <row r="216" spans="1:6" x14ac:dyDescent="0.25">
      <c r="A216" s="26" t="str">
        <f>'[3]23'!A10</f>
        <v>MKN 100-0137</v>
      </c>
      <c r="B216" s="27" t="str">
        <f>'[3]23'!B10</f>
        <v>Thru 7-5/8"OD Casing</v>
      </c>
      <c r="C216" s="28" t="str">
        <f>'[3]23'!C10</f>
        <v>Per Day</v>
      </c>
      <c r="D216" s="29">
        <f>'[3]23'!D10</f>
        <v>1200</v>
      </c>
      <c r="E216" s="29">
        <f>'[3]23'!E10</f>
        <v>600</v>
      </c>
      <c r="F216" s="29"/>
    </row>
    <row r="217" spans="1:6" x14ac:dyDescent="0.25">
      <c r="A217" s="26" t="str">
        <f>'[3]23'!A11</f>
        <v>MKN 100-0138</v>
      </c>
      <c r="B217" s="27" t="str">
        <f>'[3]23'!B11</f>
        <v>Thru 9-5/8"OD Casing</v>
      </c>
      <c r="C217" s="28" t="str">
        <f>'[3]23'!C11</f>
        <v>Per Day</v>
      </c>
      <c r="D217" s="29">
        <f>'[3]23'!D11</f>
        <v>1590</v>
      </c>
      <c r="E217" s="29">
        <f>'[3]23'!E11</f>
        <v>815</v>
      </c>
      <c r="F217" s="29"/>
    </row>
    <row r="218" spans="1:6" x14ac:dyDescent="0.25">
      <c r="A218" s="26" t="str">
        <f>'[3]23'!A12</f>
        <v>MKN 100-0139</v>
      </c>
      <c r="B218" s="27" t="str">
        <f>'[3]23'!B12</f>
        <v>Thru 10 3/4"OD Casing</v>
      </c>
      <c r="C218" s="28" t="str">
        <f>'[3]23'!C12</f>
        <v>Per Day</v>
      </c>
      <c r="D218" s="29">
        <f>'[3]23'!D12</f>
        <v>1690</v>
      </c>
      <c r="E218" s="29">
        <f>'[3]23'!E12</f>
        <v>850</v>
      </c>
      <c r="F218" s="29"/>
    </row>
    <row r="219" spans="1:6" x14ac:dyDescent="0.25">
      <c r="A219" s="26" t="str">
        <f>'[3]23'!A13</f>
        <v>MKN 100-0140</v>
      </c>
      <c r="B219" s="27" t="str">
        <f>'[3]23'!B13</f>
        <v>Thru 11 3/4"OD Casing</v>
      </c>
      <c r="C219" s="28" t="str">
        <f>'[3]23'!C13</f>
        <v>Per Day</v>
      </c>
      <c r="D219" s="29">
        <f>'[3]23'!D13</f>
        <v>1850</v>
      </c>
      <c r="E219" s="29">
        <f>'[3]23'!E13</f>
        <v>900</v>
      </c>
      <c r="F219" s="29"/>
    </row>
    <row r="220" spans="1:6" x14ac:dyDescent="0.25">
      <c r="A220" s="26" t="str">
        <f>'[3]23'!A14</f>
        <v>MKN 100-0141</v>
      </c>
      <c r="B220" s="27" t="str">
        <f>'[3]23'!B14</f>
        <v>Thru 13-3/8"OD Casing</v>
      </c>
      <c r="C220" s="28" t="str">
        <f>'[3]23'!C14</f>
        <v>Per Day</v>
      </c>
      <c r="D220" s="29">
        <f>'[3]23'!D14</f>
        <v>1850</v>
      </c>
      <c r="E220" s="29">
        <f>'[3]23'!E14</f>
        <v>920</v>
      </c>
      <c r="F220" s="29"/>
    </row>
    <row r="221" spans="1:6" ht="6" customHeight="1" x14ac:dyDescent="0.25">
      <c r="A221" s="5"/>
      <c r="B221" s="1"/>
      <c r="C221" s="15"/>
      <c r="D221" s="9"/>
      <c r="E221" s="9"/>
      <c r="F221" s="9"/>
    </row>
    <row r="222" spans="1:6" ht="15.95" customHeight="1" x14ac:dyDescent="0.25">
      <c r="A222" s="16" t="s">
        <v>47</v>
      </c>
      <c r="B222" s="17"/>
      <c r="C222" s="18"/>
      <c r="D222" s="19"/>
      <c r="E222" s="19"/>
      <c r="F222" s="19"/>
    </row>
    <row r="223" spans="1:6" x14ac:dyDescent="0.25">
      <c r="A223" s="20" t="s">
        <v>7</v>
      </c>
      <c r="B223" s="20" t="s">
        <v>8</v>
      </c>
      <c r="C223" s="21" t="s">
        <v>9</v>
      </c>
      <c r="D223" s="21" t="s">
        <v>48</v>
      </c>
      <c r="E223" s="21" t="s">
        <v>13</v>
      </c>
      <c r="F223" s="21"/>
    </row>
    <row r="224" spans="1:6" x14ac:dyDescent="0.25">
      <c r="A224" s="22" t="str">
        <f>'[3]24'!A8</f>
        <v>MKN 100-0142</v>
      </c>
      <c r="B224" s="23" t="str">
        <f>'[3]24'!B8</f>
        <v>4 3/4" OD</v>
      </c>
      <c r="C224" s="24" t="str">
        <f>'[3]24'!C8</f>
        <v>Per Rental</v>
      </c>
      <c r="D224" s="25">
        <f>'[3]24'!D8</f>
        <v>1300</v>
      </c>
      <c r="E224" s="25">
        <f>'[3]24'!E8</f>
        <v>340</v>
      </c>
      <c r="F224" s="25"/>
    </row>
    <row r="225" spans="1:6" x14ac:dyDescent="0.25">
      <c r="A225" s="26" t="str">
        <f>'[3]24'!A9</f>
        <v>MKN 100-0143</v>
      </c>
      <c r="B225" s="27" t="str">
        <f>'[3]24'!B9</f>
        <v>6 1/2" OD</v>
      </c>
      <c r="C225" s="28" t="str">
        <f>'[3]24'!C9</f>
        <v>Per Rental</v>
      </c>
      <c r="D225" s="29">
        <f>'[3]24'!D9</f>
        <v>1300</v>
      </c>
      <c r="E225" s="29">
        <f>'[3]24'!E9</f>
        <v>340</v>
      </c>
      <c r="F225" s="29"/>
    </row>
    <row r="226" spans="1:6" x14ac:dyDescent="0.25">
      <c r="A226" s="26" t="str">
        <f>'[3]24'!A10</f>
        <v>MKN 100-0144</v>
      </c>
      <c r="B226" s="27" t="str">
        <f>'[3]24'!B10</f>
        <v>8" OD</v>
      </c>
      <c r="C226" s="28" t="str">
        <f>'[3]24'!C10</f>
        <v>Per Rental</v>
      </c>
      <c r="D226" s="29">
        <f>'[3]24'!D10</f>
        <v>1300</v>
      </c>
      <c r="E226" s="29">
        <f>'[3]24'!E10</f>
        <v>340</v>
      </c>
      <c r="F226" s="29"/>
    </row>
    <row r="227" spans="1:6" x14ac:dyDescent="0.25">
      <c r="A227" s="26" t="str">
        <f>'[3]24'!A11</f>
        <v>MKN 100-0145</v>
      </c>
      <c r="B227" s="27" t="str">
        <f>'[3]24'!B11</f>
        <v>9 1/2" OD</v>
      </c>
      <c r="C227" s="28" t="str">
        <f>'[3]24'!C11</f>
        <v>Per Rental</v>
      </c>
      <c r="D227" s="29">
        <f>'[3]24'!D11</f>
        <v>1300</v>
      </c>
      <c r="E227" s="29">
        <f>'[3]24'!E11</f>
        <v>340</v>
      </c>
      <c r="F227" s="29"/>
    </row>
    <row r="228" spans="1:6" ht="6" customHeight="1" x14ac:dyDescent="0.25">
      <c r="A228" s="5"/>
      <c r="B228" s="1"/>
      <c r="C228" s="15"/>
      <c r="D228" s="9"/>
      <c r="E228" s="9"/>
      <c r="F228" s="9"/>
    </row>
    <row r="229" spans="1:6" ht="15.95" customHeight="1" x14ac:dyDescent="0.25">
      <c r="A229" s="16" t="s">
        <v>49</v>
      </c>
      <c r="B229" s="17"/>
      <c r="C229" s="18"/>
      <c r="D229" s="19"/>
      <c r="E229" s="19"/>
      <c r="F229" s="19"/>
    </row>
    <row r="230" spans="1:6" x14ac:dyDescent="0.25">
      <c r="A230" s="20" t="s">
        <v>7</v>
      </c>
      <c r="B230" s="20" t="s">
        <v>8</v>
      </c>
      <c r="C230" s="21" t="s">
        <v>9</v>
      </c>
      <c r="D230" s="21" t="s">
        <v>10</v>
      </c>
      <c r="E230" s="21"/>
      <c r="F230" s="21"/>
    </row>
    <row r="231" spans="1:6" x14ac:dyDescent="0.25">
      <c r="A231" s="22" t="str">
        <f>'[3]25'!A7</f>
        <v>MKN 100-0146</v>
      </c>
      <c r="B231" s="23" t="str">
        <f>'[3]25'!B7</f>
        <v>SUCKER ROD CONN.</v>
      </c>
      <c r="C231" s="24" t="str">
        <f>'[3]25'!C7</f>
        <v>Per Day</v>
      </c>
      <c r="D231" s="25">
        <f>'[3]25'!D7</f>
        <v>100</v>
      </c>
      <c r="E231" s="25"/>
      <c r="F231" s="25"/>
    </row>
    <row r="232" spans="1:6" x14ac:dyDescent="0.25">
      <c r="A232" s="26" t="str">
        <f>'[3]25'!A8</f>
        <v>MKN 100-0147</v>
      </c>
      <c r="B232" s="27" t="str">
        <f>'[3]25'!B8</f>
        <v>2 7/8" CONN.</v>
      </c>
      <c r="C232" s="28" t="str">
        <f>'[3]25'!C8</f>
        <v>Per Day</v>
      </c>
      <c r="D232" s="29">
        <f>'[3]25'!D8</f>
        <v>210</v>
      </c>
      <c r="E232" s="29"/>
      <c r="F232" s="29"/>
    </row>
    <row r="233" spans="1:6" x14ac:dyDescent="0.25">
      <c r="A233" s="26" t="str">
        <f>'[3]25'!A9</f>
        <v>MKN 100-0148</v>
      </c>
      <c r="B233" s="27" t="str">
        <f>'[3]25'!B9</f>
        <v>3 1/2" CONN.</v>
      </c>
      <c r="C233" s="28" t="str">
        <f>'[3]25'!C9</f>
        <v>Per Day</v>
      </c>
      <c r="D233" s="29">
        <f>'[3]25'!D9</f>
        <v>300</v>
      </c>
      <c r="E233" s="29"/>
      <c r="F233" s="29"/>
    </row>
    <row r="234" spans="1:6" x14ac:dyDescent="0.25">
      <c r="A234" s="26" t="str">
        <f>'[3]25'!A10</f>
        <v>MKN 100-0149</v>
      </c>
      <c r="B234" s="27" t="str">
        <f>'[3]25'!B10</f>
        <v>4 1/2" CONN.</v>
      </c>
      <c r="C234" s="28" t="str">
        <f>'[3]25'!C10</f>
        <v>Per Day</v>
      </c>
      <c r="D234" s="29">
        <f>'[3]25'!D10</f>
        <v>420</v>
      </c>
      <c r="E234" s="29"/>
      <c r="F234" s="29"/>
    </row>
    <row r="235" spans="1:6" x14ac:dyDescent="0.25">
      <c r="A235" s="26" t="str">
        <f>'[3]25'!A11</f>
        <v>MKN 100-0150</v>
      </c>
      <c r="B235" s="27" t="str">
        <f>'[3]25'!B11</f>
        <v>5 1/2" CONN.</v>
      </c>
      <c r="C235" s="28" t="str">
        <f>'[3]25'!C11</f>
        <v>Per Day</v>
      </c>
      <c r="D235" s="29">
        <f>'[3]25'!D11</f>
        <v>420</v>
      </c>
      <c r="E235" s="29"/>
      <c r="F235" s="29"/>
    </row>
    <row r="236" spans="1:6" x14ac:dyDescent="0.25">
      <c r="A236" s="26" t="str">
        <f>'[3]25'!A12</f>
        <v>MKN 100-0151</v>
      </c>
      <c r="B236" s="27" t="str">
        <f>'[3]25'!B12</f>
        <v>6 5/8" CONN.</v>
      </c>
      <c r="C236" s="28" t="str">
        <f>'[3]25'!C12</f>
        <v>Per Day</v>
      </c>
      <c r="D236" s="29">
        <f>'[3]25'!D12</f>
        <v>420</v>
      </c>
      <c r="E236" s="29"/>
      <c r="F236" s="29"/>
    </row>
    <row r="237" spans="1:6" x14ac:dyDescent="0.25">
      <c r="A237" s="26" t="str">
        <f>'[3]25'!A13</f>
        <v>MKN 100-0152</v>
      </c>
      <c r="B237" s="27" t="str">
        <f>'[3]25'!B13</f>
        <v>7 5/8" CONN.</v>
      </c>
      <c r="C237" s="28" t="str">
        <f>'[3]25'!C13</f>
        <v>Per Day</v>
      </c>
      <c r="D237" s="29">
        <f>'[3]25'!D13</f>
        <v>450</v>
      </c>
      <c r="E237" s="29"/>
      <c r="F237" s="29"/>
    </row>
    <row r="238" spans="1:6" ht="6" customHeight="1" x14ac:dyDescent="0.25">
      <c r="A238" s="5"/>
      <c r="B238" s="1"/>
      <c r="C238" s="15"/>
      <c r="D238" s="9"/>
      <c r="E238" s="9"/>
      <c r="F238" s="9"/>
    </row>
    <row r="239" spans="1:6" ht="15.95" customHeight="1" x14ac:dyDescent="0.25">
      <c r="A239" s="16" t="s">
        <v>50</v>
      </c>
      <c r="B239" s="17"/>
      <c r="C239" s="18"/>
      <c r="D239" s="19"/>
      <c r="E239" s="19"/>
      <c r="F239" s="19"/>
    </row>
    <row r="240" spans="1:6" x14ac:dyDescent="0.25">
      <c r="A240" s="20" t="s">
        <v>7</v>
      </c>
      <c r="B240" s="20" t="s">
        <v>8</v>
      </c>
      <c r="C240" s="21" t="s">
        <v>9</v>
      </c>
      <c r="D240" s="21" t="s">
        <v>10</v>
      </c>
      <c r="E240" s="21"/>
      <c r="F240" s="21"/>
    </row>
    <row r="241" spans="1:6" x14ac:dyDescent="0.25">
      <c r="A241" s="22" t="str">
        <f>'[3]25'!A15</f>
        <v>MKN 100-0153</v>
      </c>
      <c r="B241" s="23" t="str">
        <f>'[3]25'!B15</f>
        <v>2 7/8" O.D</v>
      </c>
      <c r="C241" s="24" t="str">
        <f>'[3]25'!C15</f>
        <v>Per Day</v>
      </c>
      <c r="D241" s="25">
        <f>'[3]25'!D15</f>
        <v>360</v>
      </c>
      <c r="E241" s="25"/>
      <c r="F241" s="25"/>
    </row>
    <row r="242" spans="1:6" x14ac:dyDescent="0.25">
      <c r="A242" s="26" t="str">
        <f>'[3]25'!A16</f>
        <v>MKN 100-0154</v>
      </c>
      <c r="B242" s="27" t="str">
        <f>'[3]25'!B16</f>
        <v>5" O.D</v>
      </c>
      <c r="C242" s="28" t="str">
        <f>'[3]25'!C16</f>
        <v>Per Day</v>
      </c>
      <c r="D242" s="29">
        <f>'[3]25'!D16</f>
        <v>500</v>
      </c>
      <c r="E242" s="29"/>
      <c r="F242" s="29"/>
    </row>
    <row r="243" spans="1:6" x14ac:dyDescent="0.25">
      <c r="A243" s="26" t="str">
        <f>'[3]25'!A17</f>
        <v>MKN 100-0155</v>
      </c>
      <c r="B243" s="27" t="str">
        <f>'[3]25'!B17</f>
        <v>6 5/8" O.D</v>
      </c>
      <c r="C243" s="28" t="str">
        <f>'[3]25'!C17</f>
        <v>Per Day</v>
      </c>
      <c r="D243" s="29">
        <f>'[3]25'!D17</f>
        <v>650</v>
      </c>
      <c r="E243" s="29"/>
      <c r="F243" s="29"/>
    </row>
    <row r="244" spans="1:6" x14ac:dyDescent="0.25">
      <c r="A244" s="26" t="str">
        <f>'[3]25'!A18</f>
        <v>MKN 100-0156</v>
      </c>
      <c r="B244" s="27" t="str">
        <f>'[3]25'!B18</f>
        <v>8 5/8" O.D</v>
      </c>
      <c r="C244" s="28" t="str">
        <f>'[3]25'!C18</f>
        <v>Per Day</v>
      </c>
      <c r="D244" s="29">
        <f>'[3]25'!D18</f>
        <v>870</v>
      </c>
      <c r="E244" s="29"/>
      <c r="F244" s="29"/>
    </row>
    <row r="245" spans="1:6" x14ac:dyDescent="0.25">
      <c r="A245" s="26" t="str">
        <f>'[3]25'!A19</f>
        <v>MKN 100-0157</v>
      </c>
      <c r="B245" s="27" t="str">
        <f>'[3]25'!B19</f>
        <v>13 3/8" O.D</v>
      </c>
      <c r="C245" s="28" t="str">
        <f>'[3]25'!C19</f>
        <v>Per Day</v>
      </c>
      <c r="D245" s="29">
        <f>'[3]25'!D19</f>
        <v>1300</v>
      </c>
      <c r="E245" s="29"/>
      <c r="F245" s="29"/>
    </row>
    <row r="246" spans="1:6" x14ac:dyDescent="0.25">
      <c r="A246" s="26" t="str">
        <f>'[3]25'!A20</f>
        <v>MKN 100-0158</v>
      </c>
      <c r="B246" s="27" t="str">
        <f>'[3]25'!B20</f>
        <v>16" O.D</v>
      </c>
      <c r="C246" s="28" t="str">
        <f>'[3]25'!C20</f>
        <v>Per Day</v>
      </c>
      <c r="D246" s="29">
        <f>'[3]25'!D20</f>
        <v>2100</v>
      </c>
      <c r="E246" s="29"/>
      <c r="F246" s="29"/>
    </row>
    <row r="247" spans="1:6" x14ac:dyDescent="0.25">
      <c r="A247" s="26" t="str">
        <f>'[3]25'!A21</f>
        <v>MKN 100-0159</v>
      </c>
      <c r="B247" s="27" t="str">
        <f>'[3]25'!B21</f>
        <v>20" O.D</v>
      </c>
      <c r="C247" s="28" t="str">
        <f>'[3]25'!C21</f>
        <v>Per Day</v>
      </c>
      <c r="D247" s="29">
        <f>'[3]25'!D21</f>
        <v>2600</v>
      </c>
      <c r="E247" s="29"/>
      <c r="F247" s="29"/>
    </row>
    <row r="248" spans="1:6" x14ac:dyDescent="0.25">
      <c r="A248" s="26" t="str">
        <f>'[3]25'!A22</f>
        <v>MKN 100-0160</v>
      </c>
      <c r="B248" s="27" t="str">
        <f>'[3]25'!B22</f>
        <v>36" O.D</v>
      </c>
      <c r="C248" s="28" t="str">
        <f>'[3]25'!C22</f>
        <v>Per Day</v>
      </c>
      <c r="D248" s="29">
        <f>'[3]25'!D22</f>
        <v>1580</v>
      </c>
      <c r="E248" s="29"/>
      <c r="F248" s="29"/>
    </row>
    <row r="249" spans="1:6" ht="6" customHeight="1" x14ac:dyDescent="0.25">
      <c r="A249" s="5"/>
      <c r="B249" s="1"/>
      <c r="C249" s="15"/>
      <c r="D249" s="9"/>
      <c r="E249" s="9"/>
      <c r="F249" s="9"/>
    </row>
    <row r="250" spans="1:6" ht="15.95" customHeight="1" x14ac:dyDescent="0.25">
      <c r="A250" s="16" t="s">
        <v>51</v>
      </c>
      <c r="B250" s="17"/>
      <c r="C250" s="18"/>
      <c r="D250" s="19"/>
      <c r="E250" s="19"/>
      <c r="F250" s="19"/>
    </row>
    <row r="251" spans="1:6" x14ac:dyDescent="0.25">
      <c r="A251" s="20" t="s">
        <v>7</v>
      </c>
      <c r="B251" s="20" t="s">
        <v>8</v>
      </c>
      <c r="C251" s="21" t="s">
        <v>9</v>
      </c>
      <c r="D251" s="21" t="s">
        <v>10</v>
      </c>
      <c r="E251" s="21"/>
      <c r="F251" s="21"/>
    </row>
    <row r="252" spans="1:6" x14ac:dyDescent="0.25">
      <c r="A252" s="22" t="str">
        <f>'[3]26'!A7</f>
        <v>MKN 100-0161</v>
      </c>
      <c r="B252" s="23" t="str">
        <f>'[3]26'!B7</f>
        <v>2 7/8" CONN.</v>
      </c>
      <c r="C252" s="24" t="str">
        <f>'[3]26'!C7</f>
        <v>Per Day</v>
      </c>
      <c r="D252" s="25">
        <f>'[3]26'!D7</f>
        <v>75</v>
      </c>
      <c r="E252" s="25"/>
      <c r="F252" s="25"/>
    </row>
    <row r="253" spans="1:6" x14ac:dyDescent="0.25">
      <c r="A253" s="26" t="str">
        <f>'[3]26'!A8</f>
        <v>MKN 100-0162</v>
      </c>
      <c r="B253" s="27" t="str">
        <f>'[3]26'!B8</f>
        <v>3 1/2" CONN.</v>
      </c>
      <c r="C253" s="28" t="str">
        <f>'[3]26'!C8</f>
        <v>Per Day</v>
      </c>
      <c r="D253" s="29">
        <f>'[3]26'!D8</f>
        <v>75</v>
      </c>
      <c r="E253" s="29"/>
      <c r="F253" s="29"/>
    </row>
    <row r="254" spans="1:6" x14ac:dyDescent="0.25">
      <c r="A254" s="26" t="str">
        <f>'[3]26'!A9</f>
        <v>MKN 100-0163</v>
      </c>
      <c r="B254" s="27" t="str">
        <f>'[3]26'!B9</f>
        <v>4 1/2" CONN.</v>
      </c>
      <c r="C254" s="28" t="str">
        <f>'[3]26'!C9</f>
        <v>Per Day</v>
      </c>
      <c r="D254" s="29">
        <f>'[3]26'!D9</f>
        <v>95</v>
      </c>
      <c r="E254" s="29"/>
      <c r="F254" s="29"/>
    </row>
    <row r="255" spans="1:6" x14ac:dyDescent="0.25">
      <c r="A255" s="26" t="str">
        <f>'[3]26'!A10</f>
        <v>MKN 100-0164</v>
      </c>
      <c r="B255" s="27" t="str">
        <f>'[3]26'!B10</f>
        <v>6 5/8" CONN.</v>
      </c>
      <c r="C255" s="28" t="str">
        <f>'[3]26'!C10</f>
        <v>Per Day</v>
      </c>
      <c r="D255" s="29">
        <f>'[3]26'!D10</f>
        <v>95</v>
      </c>
      <c r="E255" s="29"/>
      <c r="F255" s="29"/>
    </row>
    <row r="256" spans="1:6" ht="6" customHeight="1" x14ac:dyDescent="0.25">
      <c r="A256" s="5"/>
      <c r="B256" s="1"/>
      <c r="C256" s="15"/>
      <c r="D256" s="9"/>
      <c r="E256" s="9"/>
      <c r="F256" s="9"/>
    </row>
    <row r="257" spans="1:6" ht="15.95" customHeight="1" x14ac:dyDescent="0.25">
      <c r="A257" s="16" t="s">
        <v>52</v>
      </c>
      <c r="B257" s="17"/>
      <c r="C257" s="18"/>
      <c r="D257" s="19"/>
      <c r="E257" s="19"/>
      <c r="F257" s="19"/>
    </row>
    <row r="258" spans="1:6" x14ac:dyDescent="0.25">
      <c r="A258" s="20" t="s">
        <v>7</v>
      </c>
      <c r="B258" s="20" t="s">
        <v>8</v>
      </c>
      <c r="C258" s="21" t="s">
        <v>9</v>
      </c>
      <c r="D258" s="21" t="s">
        <v>10</v>
      </c>
      <c r="E258" s="21"/>
      <c r="F258" s="21"/>
    </row>
    <row r="259" spans="1:6" x14ac:dyDescent="0.25">
      <c r="A259" s="22" t="str">
        <f>'[3]26'!A12</f>
        <v>MKN 100-0165</v>
      </c>
      <c r="B259" s="23" t="str">
        <f>'[3]26'!B12</f>
        <v>2 7/8" OD</v>
      </c>
      <c r="C259" s="24" t="str">
        <f>'[3]26'!C12</f>
        <v>Per Day</v>
      </c>
      <c r="D259" s="25">
        <f>'[3]26'!D12</f>
        <v>140</v>
      </c>
      <c r="E259" s="25"/>
      <c r="F259" s="25"/>
    </row>
    <row r="260" spans="1:6" x14ac:dyDescent="0.25">
      <c r="A260" s="26" t="str">
        <f>'[3]26'!A13</f>
        <v>MKN 100-0166</v>
      </c>
      <c r="B260" s="27" t="str">
        <f>'[3]26'!B13</f>
        <v>4" OD</v>
      </c>
      <c r="C260" s="28" t="str">
        <f>'[3]26'!C13</f>
        <v>Per Day</v>
      </c>
      <c r="D260" s="29">
        <f>'[3]26'!D13</f>
        <v>230</v>
      </c>
      <c r="E260" s="29"/>
      <c r="F260" s="29"/>
    </row>
    <row r="261" spans="1:6" x14ac:dyDescent="0.25">
      <c r="A261" s="26" t="str">
        <f>'[3]26'!A14</f>
        <v>MKN 100-0167</v>
      </c>
      <c r="B261" s="27" t="str">
        <f>'[3]26'!B14</f>
        <v>5" OD</v>
      </c>
      <c r="C261" s="28" t="str">
        <f>'[3]26'!C14</f>
        <v>Per Day</v>
      </c>
      <c r="D261" s="29">
        <f>'[3]26'!D14</f>
        <v>340</v>
      </c>
      <c r="E261" s="29"/>
      <c r="F261" s="29"/>
    </row>
    <row r="262" spans="1:6" x14ac:dyDescent="0.25">
      <c r="A262" s="26" t="str">
        <f>'[3]26'!A15</f>
        <v>MKN 100-0168</v>
      </c>
      <c r="B262" s="27" t="str">
        <f>'[3]26'!B15</f>
        <v>7" OD</v>
      </c>
      <c r="C262" s="28" t="str">
        <f>'[3]26'!C15</f>
        <v>Per Day</v>
      </c>
      <c r="D262" s="29">
        <f>'[3]26'!D15</f>
        <v>340</v>
      </c>
      <c r="E262" s="29"/>
      <c r="F262" s="29"/>
    </row>
    <row r="263" spans="1:6" x14ac:dyDescent="0.25">
      <c r="A263" s="26" t="str">
        <f>'[3]26'!A16</f>
        <v>MKN 100-0169</v>
      </c>
      <c r="B263" s="27" t="str">
        <f>'[3]26'!B16</f>
        <v>9 5/8" OD</v>
      </c>
      <c r="C263" s="28" t="str">
        <f>'[3]26'!C16</f>
        <v>Per Day</v>
      </c>
      <c r="D263" s="29">
        <f>'[3]26'!D16</f>
        <v>400</v>
      </c>
      <c r="E263" s="29"/>
      <c r="F263" s="29"/>
    </row>
    <row r="264" spans="1:6" x14ac:dyDescent="0.25">
      <c r="A264" s="26" t="str">
        <f>'[3]26'!A17</f>
        <v>MKN 100-0170</v>
      </c>
      <c r="B264" s="27" t="str">
        <f>'[3]26'!B17</f>
        <v>13 3/8" OD</v>
      </c>
      <c r="C264" s="28" t="str">
        <f>'[3]26'!C17</f>
        <v>Per Day</v>
      </c>
      <c r="D264" s="29">
        <f>'[3]26'!D17</f>
        <v>720</v>
      </c>
      <c r="E264" s="29"/>
      <c r="F264" s="29"/>
    </row>
    <row r="265" spans="1:6" x14ac:dyDescent="0.25">
      <c r="A265" s="26" t="str">
        <f>'[3]26'!A18</f>
        <v>MKN 100-0171</v>
      </c>
      <c r="B265" s="27" t="str">
        <f>'[3]26'!B18</f>
        <v>16" OD</v>
      </c>
      <c r="C265" s="28" t="str">
        <f>'[3]26'!C18</f>
        <v>Per Day</v>
      </c>
      <c r="D265" s="29">
        <f>'[3]26'!D18</f>
        <v>900</v>
      </c>
      <c r="E265" s="29"/>
      <c r="F265" s="29"/>
    </row>
    <row r="266" spans="1:6" ht="6" customHeight="1" x14ac:dyDescent="0.25">
      <c r="A266" s="5"/>
      <c r="B266" s="1"/>
      <c r="C266" s="15"/>
      <c r="D266" s="9"/>
      <c r="E266" s="9"/>
      <c r="F266" s="9"/>
    </row>
    <row r="267" spans="1:6" ht="15.95" customHeight="1" x14ac:dyDescent="0.25">
      <c r="A267" s="16" t="s">
        <v>53</v>
      </c>
      <c r="B267" s="17"/>
      <c r="C267" s="18"/>
      <c r="D267" s="19"/>
      <c r="E267" s="19"/>
      <c r="F267" s="19"/>
    </row>
    <row r="268" spans="1:6" x14ac:dyDescent="0.25">
      <c r="A268" s="20" t="s">
        <v>7</v>
      </c>
      <c r="B268" s="20" t="s">
        <v>8</v>
      </c>
      <c r="C268" s="21" t="s">
        <v>9</v>
      </c>
      <c r="D268" s="21" t="s">
        <v>12</v>
      </c>
      <c r="E268" s="21" t="s">
        <v>13</v>
      </c>
      <c r="F268" s="21"/>
    </row>
    <row r="269" spans="1:6" x14ac:dyDescent="0.25">
      <c r="A269" s="22" t="str">
        <f>'[3]27'!A8</f>
        <v>MKN 100-0172</v>
      </c>
      <c r="B269" s="23" t="str">
        <f>'[3]27'!B8</f>
        <v>4 1/2" CONN.</v>
      </c>
      <c r="C269" s="24" t="str">
        <f>'[3]27'!C8</f>
        <v>$/day</v>
      </c>
      <c r="D269" s="25">
        <f>'[3]27'!D8</f>
        <v>75</v>
      </c>
      <c r="E269" s="25">
        <f>'[3]27'!E8</f>
        <v>15</v>
      </c>
      <c r="F269" s="25"/>
    </row>
    <row r="270" spans="1:6" x14ac:dyDescent="0.25">
      <c r="A270" s="26" t="str">
        <f>'[3]27'!A9</f>
        <v>MKN 100-0173</v>
      </c>
      <c r="B270" s="27" t="str">
        <f>'[3]27'!B9</f>
        <v>6 5/8" CONN.</v>
      </c>
      <c r="C270" s="28" t="str">
        <f>'[3]27'!C9</f>
        <v>$/day</v>
      </c>
      <c r="D270" s="29">
        <f>'[3]27'!D9</f>
        <v>100</v>
      </c>
      <c r="E270" s="29">
        <f>'[3]27'!E9</f>
        <v>25</v>
      </c>
      <c r="F270" s="29"/>
    </row>
    <row r="271" spans="1:6" ht="6" customHeight="1" x14ac:dyDescent="0.25">
      <c r="A271" s="5"/>
      <c r="B271" s="1"/>
      <c r="C271" s="15"/>
      <c r="D271" s="9"/>
      <c r="E271" s="9"/>
      <c r="F271" s="9"/>
    </row>
    <row r="272" spans="1:6" ht="15.95" customHeight="1" x14ac:dyDescent="0.25">
      <c r="A272" s="16" t="s">
        <v>54</v>
      </c>
      <c r="B272" s="17"/>
      <c r="C272" s="18"/>
      <c r="D272" s="19"/>
      <c r="E272" s="19"/>
      <c r="F272" s="19"/>
    </row>
    <row r="273" spans="1:6" x14ac:dyDescent="0.25">
      <c r="A273" s="20" t="s">
        <v>7</v>
      </c>
      <c r="B273" s="20" t="s">
        <v>8</v>
      </c>
      <c r="C273" s="21" t="s">
        <v>9</v>
      </c>
      <c r="D273" s="21" t="s">
        <v>10</v>
      </c>
      <c r="E273" s="21"/>
      <c r="F273" s="21"/>
    </row>
    <row r="274" spans="1:6" x14ac:dyDescent="0.25">
      <c r="A274" s="22" t="str">
        <f>'[3]28'!A7</f>
        <v>MKN 100-0174</v>
      </c>
      <c r="B274" s="23" t="str">
        <f>'[3]28'!B7</f>
        <v>2-7/8" Connection size</v>
      </c>
      <c r="C274" s="24" t="str">
        <f>'[3]28'!C7</f>
        <v>Per Day</v>
      </c>
      <c r="D274" s="25">
        <f>'[3]28'!D7</f>
        <v>70</v>
      </c>
      <c r="E274" s="25"/>
      <c r="F274" s="25"/>
    </row>
    <row r="275" spans="1:6" x14ac:dyDescent="0.25">
      <c r="A275" s="26" t="str">
        <f>'[3]28'!A8</f>
        <v>MKN 100-0175</v>
      </c>
      <c r="B275" s="27" t="str">
        <f>'[3]28'!B8</f>
        <v>4-1/2" Connection size</v>
      </c>
      <c r="C275" s="28" t="str">
        <f>'[3]28'!C8</f>
        <v>Per Day</v>
      </c>
      <c r="D275" s="29">
        <f>'[3]28'!D8</f>
        <v>120</v>
      </c>
      <c r="E275" s="29"/>
      <c r="F275" s="29"/>
    </row>
    <row r="276" spans="1:6" x14ac:dyDescent="0.25">
      <c r="A276" s="26" t="str">
        <f>'[3]28'!A9</f>
        <v>MKN 100-0176</v>
      </c>
      <c r="B276" s="27" t="str">
        <f>'[3]28'!B9</f>
        <v>6-5/8" Connection size</v>
      </c>
      <c r="C276" s="28" t="str">
        <f>'[3]28'!C9</f>
        <v>Per Day</v>
      </c>
      <c r="D276" s="29">
        <f>'[3]28'!D9</f>
        <v>300</v>
      </c>
      <c r="E276" s="29"/>
      <c r="F276" s="29"/>
    </row>
    <row r="277" spans="1:6" x14ac:dyDescent="0.25">
      <c r="A277" s="26" t="str">
        <f>'[3]28'!A10</f>
        <v>MKN 100-0177</v>
      </c>
      <c r="B277" s="27" t="str">
        <f>'[3]28'!B10</f>
        <v>7-5/8" Connection size</v>
      </c>
      <c r="C277" s="28" t="str">
        <f>'[3]28'!C10</f>
        <v>Per Day</v>
      </c>
      <c r="D277" s="29">
        <f>'[3]28'!D10</f>
        <v>320</v>
      </c>
      <c r="E277" s="29"/>
      <c r="F277" s="29"/>
    </row>
    <row r="278" spans="1:6" x14ac:dyDescent="0.25">
      <c r="A278" s="26" t="str">
        <f>'[3]28'!A11</f>
        <v>MKN 100-0178</v>
      </c>
      <c r="B278" s="27" t="str">
        <f>'[3]28'!B11</f>
        <v>8-5/8" Connection size</v>
      </c>
      <c r="C278" s="28" t="str">
        <f>'[3]28'!C11</f>
        <v>Per Day</v>
      </c>
      <c r="D278" s="29">
        <f>'[3]28'!D11</f>
        <v>480</v>
      </c>
      <c r="E278" s="29"/>
      <c r="F278" s="29"/>
    </row>
    <row r="279" spans="1:6" ht="6" customHeight="1" x14ac:dyDescent="0.25">
      <c r="A279" s="5"/>
      <c r="B279" s="1"/>
      <c r="C279" s="15"/>
      <c r="D279" s="9"/>
      <c r="E279" s="9"/>
      <c r="F279" s="9"/>
    </row>
    <row r="280" spans="1:6" ht="15.95" customHeight="1" x14ac:dyDescent="0.25">
      <c r="A280" s="16" t="s">
        <v>55</v>
      </c>
      <c r="B280" s="17"/>
      <c r="C280" s="18"/>
      <c r="D280" s="19"/>
      <c r="E280" s="19"/>
      <c r="F280" s="19"/>
    </row>
    <row r="281" spans="1:6" x14ac:dyDescent="0.25">
      <c r="A281" s="20" t="s">
        <v>7</v>
      </c>
      <c r="B281" s="20" t="s">
        <v>8</v>
      </c>
      <c r="C281" s="21" t="s">
        <v>9</v>
      </c>
      <c r="D281" s="21" t="s">
        <v>10</v>
      </c>
      <c r="E281" s="21"/>
      <c r="F281" s="21"/>
    </row>
    <row r="282" spans="1:6" x14ac:dyDescent="0.25">
      <c r="A282" s="22" t="str">
        <f>'[3]28'!A14</f>
        <v>MKN 100-0179</v>
      </c>
      <c r="B282" s="23" t="str">
        <f>'[3]28'!B14</f>
        <v>Thru 7-3/8"OD</v>
      </c>
      <c r="C282" s="24" t="str">
        <f>'[3]28'!C14</f>
        <v>Per Job</v>
      </c>
      <c r="D282" s="25">
        <f>'[3]28'!D14</f>
        <v>70</v>
      </c>
      <c r="E282" s="25"/>
      <c r="F282" s="25"/>
    </row>
    <row r="283" spans="1:6" x14ac:dyDescent="0.25">
      <c r="A283" s="26" t="str">
        <f>'[3]28'!A15</f>
        <v>MKN 100-0180</v>
      </c>
      <c r="B283" s="27" t="str">
        <f>'[3]28'!B15</f>
        <v>Thru 13-3/8"OD</v>
      </c>
      <c r="C283" s="28" t="str">
        <f>'[3]28'!C15</f>
        <v>Per Job</v>
      </c>
      <c r="D283" s="29">
        <f>'[3]28'!D15</f>
        <v>80</v>
      </c>
      <c r="E283" s="29"/>
      <c r="F283" s="29"/>
    </row>
    <row r="284" spans="1:6" x14ac:dyDescent="0.25">
      <c r="A284" s="26" t="str">
        <f>'[3]28'!A16</f>
        <v>MKN 100-0181</v>
      </c>
      <c r="B284" s="27" t="str">
        <f>'[3]28'!B16</f>
        <v>Thru 18"OD</v>
      </c>
      <c r="C284" s="28" t="str">
        <f>'[3]28'!C16</f>
        <v>Per Job</v>
      </c>
      <c r="D284" s="29">
        <f>'[3]28'!D16</f>
        <v>75</v>
      </c>
      <c r="E284" s="29"/>
      <c r="F284" s="29"/>
    </row>
    <row r="285" spans="1:6" ht="6" customHeight="1" x14ac:dyDescent="0.25">
      <c r="A285" s="5"/>
      <c r="B285" s="1"/>
      <c r="C285" s="15"/>
      <c r="D285" s="9"/>
      <c r="E285" s="9"/>
      <c r="F285" s="9"/>
    </row>
    <row r="286" spans="1:6" ht="15.95" customHeight="1" x14ac:dyDescent="0.25">
      <c r="A286" s="16" t="s">
        <v>56</v>
      </c>
      <c r="B286" s="17"/>
      <c r="C286" s="18"/>
      <c r="D286" s="19"/>
      <c r="E286" s="19"/>
      <c r="F286" s="19"/>
    </row>
    <row r="287" spans="1:6" x14ac:dyDescent="0.25">
      <c r="A287" s="20" t="s">
        <v>7</v>
      </c>
      <c r="B287" s="20" t="s">
        <v>8</v>
      </c>
      <c r="C287" s="21" t="s">
        <v>9</v>
      </c>
      <c r="D287" s="21" t="s">
        <v>12</v>
      </c>
      <c r="E287" s="21" t="s">
        <v>13</v>
      </c>
      <c r="F287" s="21"/>
    </row>
    <row r="288" spans="1:6" x14ac:dyDescent="0.25">
      <c r="A288" s="22" t="str">
        <f>'[3]29'!A8</f>
        <v>MKN 100-0182</v>
      </c>
      <c r="B288" s="23" t="str">
        <f>'[3]29'!B8</f>
        <v>Sucker Rod CONN.</v>
      </c>
      <c r="C288" s="24" t="str">
        <f>'[3]29'!C8</f>
        <v>$/day</v>
      </c>
      <c r="D288" s="25">
        <f>'[3]29'!D8</f>
        <v>20</v>
      </c>
      <c r="E288" s="25">
        <f>'[3]29'!E8</f>
        <v>7</v>
      </c>
      <c r="F288" s="25"/>
    </row>
    <row r="289" spans="1:6" x14ac:dyDescent="0.25">
      <c r="A289" s="26" t="str">
        <f>'[3]29'!A9</f>
        <v>MKN 100-0183</v>
      </c>
      <c r="B289" s="27" t="str">
        <f>'[3]29'!B9</f>
        <v>2 7/8" CONN.</v>
      </c>
      <c r="C289" s="28" t="str">
        <f>'[3]29'!C9</f>
        <v>$/day</v>
      </c>
      <c r="D289" s="29">
        <f>'[3]29'!D9</f>
        <v>35</v>
      </c>
      <c r="E289" s="29">
        <f>'[3]29'!E9</f>
        <v>15</v>
      </c>
      <c r="F289" s="29"/>
    </row>
    <row r="290" spans="1:6" x14ac:dyDescent="0.25">
      <c r="A290" s="26" t="str">
        <f>'[3]29'!A10</f>
        <v>MKN 100-0184</v>
      </c>
      <c r="B290" s="27" t="str">
        <f>'[3]29'!B10</f>
        <v>3 1/2" CONN.</v>
      </c>
      <c r="C290" s="28" t="str">
        <f>'[3]29'!C10</f>
        <v>$/day</v>
      </c>
      <c r="D290" s="29">
        <f>'[3]29'!D10</f>
        <v>35</v>
      </c>
      <c r="E290" s="29">
        <f>'[3]29'!E10</f>
        <v>15</v>
      </c>
      <c r="F290" s="29"/>
    </row>
    <row r="291" spans="1:6" x14ac:dyDescent="0.25">
      <c r="A291" s="26" t="str">
        <f>'[3]29'!A11</f>
        <v>MKN 100-0185</v>
      </c>
      <c r="B291" s="27" t="str">
        <f>'[3]29'!B11</f>
        <v>4 1/2" CONN.</v>
      </c>
      <c r="C291" s="28" t="str">
        <f>'[3]29'!C11</f>
        <v>$/day</v>
      </c>
      <c r="D291" s="29">
        <f>'[3]29'!D11</f>
        <v>40</v>
      </c>
      <c r="E291" s="29">
        <f>'[3]29'!E11</f>
        <v>18</v>
      </c>
      <c r="F291" s="29"/>
    </row>
    <row r="292" spans="1:6" x14ac:dyDescent="0.25">
      <c r="A292" s="26" t="str">
        <f>'[3]29'!A12</f>
        <v>MKN 100-0186</v>
      </c>
      <c r="B292" s="27" t="str">
        <f>'[3]29'!B12</f>
        <v>6 5/8" CONN.</v>
      </c>
      <c r="C292" s="28" t="str">
        <f>'[3]29'!C12</f>
        <v>$/day</v>
      </c>
      <c r="D292" s="29">
        <f>'[3]29'!D12</f>
        <v>85</v>
      </c>
      <c r="E292" s="29">
        <f>'[3]29'!E12</f>
        <v>20</v>
      </c>
      <c r="F292" s="29"/>
    </row>
    <row r="293" spans="1:6" x14ac:dyDescent="0.25">
      <c r="A293" s="26" t="str">
        <f>'[3]29'!A13</f>
        <v>MKN 100-0187</v>
      </c>
      <c r="B293" s="27" t="str">
        <f>'[3]29'!B13</f>
        <v>7 5/8" CONN.</v>
      </c>
      <c r="C293" s="28" t="str">
        <f>'[3]29'!C13</f>
        <v>$/day</v>
      </c>
      <c r="D293" s="29">
        <f>'[3]29'!D13</f>
        <v>85</v>
      </c>
      <c r="E293" s="29">
        <f>'[3]29'!E13</f>
        <v>20</v>
      </c>
      <c r="F293" s="29"/>
    </row>
    <row r="294" spans="1:6" ht="6" customHeight="1" x14ac:dyDescent="0.25">
      <c r="A294" s="5"/>
      <c r="B294" s="1"/>
      <c r="C294" s="15"/>
      <c r="D294" s="9"/>
      <c r="E294" s="9"/>
      <c r="F294" s="9"/>
    </row>
    <row r="295" spans="1:6" ht="15.95" customHeight="1" x14ac:dyDescent="0.25">
      <c r="A295" s="16" t="s">
        <v>57</v>
      </c>
      <c r="B295" s="17"/>
      <c r="C295" s="18"/>
      <c r="D295" s="19"/>
      <c r="E295" s="19"/>
      <c r="F295" s="19"/>
    </row>
    <row r="296" spans="1:6" x14ac:dyDescent="0.25">
      <c r="A296" s="20" t="s">
        <v>7</v>
      </c>
      <c r="B296" s="20" t="s">
        <v>8</v>
      </c>
      <c r="C296" s="21" t="s">
        <v>9</v>
      </c>
      <c r="D296" s="21" t="s">
        <v>10</v>
      </c>
      <c r="E296" s="21"/>
      <c r="F296" s="21"/>
    </row>
    <row r="297" spans="1:6" x14ac:dyDescent="0.25">
      <c r="A297" s="22" t="str">
        <f>'[3]30'!A7</f>
        <v>MKN 100-0188</v>
      </c>
      <c r="B297" s="23" t="str">
        <f>'[3]30'!B7</f>
        <v>2 7/8" Connection &amp;</v>
      </c>
      <c r="C297" s="24" t="str">
        <f>'[3]30'!C7</f>
        <v>Per Day</v>
      </c>
      <c r="D297" s="25">
        <f>'[3]30'!D7</f>
        <v>55</v>
      </c>
      <c r="E297" s="25"/>
      <c r="F297" s="25"/>
    </row>
    <row r="298" spans="1:6" x14ac:dyDescent="0.25">
      <c r="A298" s="26" t="str">
        <f>'[3]30'!A8</f>
        <v>MKN 100-0189</v>
      </c>
      <c r="B298" s="27" t="str">
        <f>'[3]30'!B8</f>
        <v>3-1/2" Connection &amp;</v>
      </c>
      <c r="C298" s="28" t="str">
        <f>'[3]30'!C8</f>
        <v>Per Day</v>
      </c>
      <c r="D298" s="29">
        <f>'[3]30'!D8</f>
        <v>70</v>
      </c>
      <c r="E298" s="29"/>
      <c r="F298" s="29"/>
    </row>
    <row r="299" spans="1:6" x14ac:dyDescent="0.25">
      <c r="A299" s="26" t="str">
        <f>'[3]30'!A9</f>
        <v>MKN 100-0190</v>
      </c>
      <c r="B299" s="27" t="str">
        <f>'[3]30'!B9</f>
        <v>4-1/2" Connection</v>
      </c>
      <c r="C299" s="28" t="str">
        <f>'[3]30'!C9</f>
        <v>Per Day</v>
      </c>
      <c r="D299" s="29">
        <f>'[3]30'!D9</f>
        <v>70</v>
      </c>
      <c r="E299" s="29"/>
      <c r="F299" s="29"/>
    </row>
    <row r="300" spans="1:6" x14ac:dyDescent="0.25">
      <c r="A300" s="26" t="str">
        <f>'[3]30'!A10</f>
        <v>MKN 100-0191</v>
      </c>
      <c r="B300" s="27" t="str">
        <f>'[3]30'!B10</f>
        <v>5-1/2" Connection</v>
      </c>
      <c r="C300" s="28" t="str">
        <f>'[3]30'!C10</f>
        <v>Per Day</v>
      </c>
      <c r="D300" s="29">
        <f>'[3]30'!D10</f>
        <v>85</v>
      </c>
      <c r="E300" s="29"/>
      <c r="F300" s="29"/>
    </row>
    <row r="301" spans="1:6" x14ac:dyDescent="0.25">
      <c r="A301" s="26" t="str">
        <f>'[3]30'!A11</f>
        <v>MKN 100-0192</v>
      </c>
      <c r="B301" s="27" t="str">
        <f>'[3]30'!B11</f>
        <v>6 5/8" Connection</v>
      </c>
      <c r="C301" s="28" t="str">
        <f>'[3]30'!C11</f>
        <v>Per Day</v>
      </c>
      <c r="D301" s="29">
        <f>'[3]30'!D11</f>
        <v>85</v>
      </c>
      <c r="E301" s="29"/>
      <c r="F301" s="29"/>
    </row>
    <row r="302" spans="1:6" x14ac:dyDescent="0.25">
      <c r="A302" s="26" t="str">
        <f>'[3]30'!A12</f>
        <v>MKN 100-0193</v>
      </c>
      <c r="B302" s="27" t="str">
        <f>'[3]30'!B12</f>
        <v>7 5/8" Connection</v>
      </c>
      <c r="C302" s="28" t="str">
        <f>'[3]30'!C12</f>
        <v>Per Day</v>
      </c>
      <c r="D302" s="29">
        <f>'[3]30'!D12</f>
        <v>130</v>
      </c>
      <c r="E302" s="29"/>
      <c r="F302" s="29"/>
    </row>
    <row r="303" spans="1:6" ht="6" customHeight="1" x14ac:dyDescent="0.25">
      <c r="A303" s="5"/>
      <c r="B303" s="1"/>
      <c r="C303" s="15"/>
      <c r="D303" s="9"/>
      <c r="E303" s="9"/>
      <c r="F303" s="9"/>
    </row>
    <row r="304" spans="1:6" ht="15.95" customHeight="1" x14ac:dyDescent="0.25">
      <c r="A304" s="16" t="s">
        <v>58</v>
      </c>
      <c r="B304" s="17"/>
      <c r="C304" s="18"/>
      <c r="D304" s="19"/>
      <c r="E304" s="19"/>
      <c r="F304" s="19"/>
    </row>
    <row r="305" spans="1:6" x14ac:dyDescent="0.25">
      <c r="A305" s="20" t="s">
        <v>7</v>
      </c>
      <c r="B305" s="20" t="s">
        <v>8</v>
      </c>
      <c r="C305" s="21" t="s">
        <v>9</v>
      </c>
      <c r="D305" s="21" t="s">
        <v>10</v>
      </c>
      <c r="E305" s="21"/>
      <c r="F305" s="21"/>
    </row>
    <row r="306" spans="1:6" x14ac:dyDescent="0.25">
      <c r="A306" s="22" t="str">
        <f>'[3]31'!A7</f>
        <v>MKN 100-0194</v>
      </c>
      <c r="B306" s="23" t="str">
        <f>'[3]31'!B7</f>
        <v>All Sizes</v>
      </c>
      <c r="C306" s="24" t="str">
        <f>'[3]31'!C7</f>
        <v>Per Run</v>
      </c>
      <c r="D306" s="25">
        <f>'[3]31'!D7</f>
        <v>110</v>
      </c>
      <c r="E306" s="25"/>
      <c r="F306" s="25"/>
    </row>
    <row r="307" spans="1:6" ht="6" customHeight="1" x14ac:dyDescent="0.25">
      <c r="A307" s="5"/>
      <c r="B307" s="1"/>
      <c r="C307" s="15"/>
      <c r="D307" s="9"/>
      <c r="E307" s="9"/>
      <c r="F307" s="9"/>
    </row>
    <row r="308" spans="1:6" ht="15.95" customHeight="1" x14ac:dyDescent="0.25">
      <c r="A308" s="16" t="s">
        <v>59</v>
      </c>
      <c r="B308" s="17"/>
      <c r="C308" s="18"/>
      <c r="D308" s="19"/>
      <c r="E308" s="19"/>
      <c r="F308" s="19"/>
    </row>
    <row r="309" spans="1:6" x14ac:dyDescent="0.25">
      <c r="A309" s="20" t="s">
        <v>7</v>
      </c>
      <c r="B309" s="20" t="s">
        <v>8</v>
      </c>
      <c r="C309" s="21" t="s">
        <v>9</v>
      </c>
      <c r="D309" s="21" t="s">
        <v>10</v>
      </c>
      <c r="E309" s="21"/>
      <c r="F309" s="21"/>
    </row>
    <row r="310" spans="1:6" x14ac:dyDescent="0.25">
      <c r="A310" s="22" t="str">
        <f>'[3]31'!A9</f>
        <v>MKN 100-0195</v>
      </c>
      <c r="B310" s="23" t="str">
        <f>'[3]31'!B9</f>
        <v>Thru 2 1/2" OD</v>
      </c>
      <c r="C310" s="24" t="str">
        <f>'[3]31'!C9</f>
        <v>Per Run</v>
      </c>
      <c r="D310" s="25">
        <f>'[3]31'!D9</f>
        <v>130</v>
      </c>
      <c r="E310" s="25"/>
      <c r="F310" s="25"/>
    </row>
    <row r="311" spans="1:6" x14ac:dyDescent="0.25">
      <c r="A311" s="26" t="str">
        <f>'[3]31'!A10</f>
        <v>MKN 100-0196</v>
      </c>
      <c r="B311" s="27" t="str">
        <f>'[3]31'!B10</f>
        <v>Thru 3 3/4" OD</v>
      </c>
      <c r="C311" s="28" t="str">
        <f>'[3]31'!C10</f>
        <v>Per Run</v>
      </c>
      <c r="D311" s="29">
        <f>'[3]31'!D10</f>
        <v>330</v>
      </c>
      <c r="E311" s="29"/>
      <c r="F311" s="29"/>
    </row>
    <row r="312" spans="1:6" x14ac:dyDescent="0.25">
      <c r="A312" s="26" t="str">
        <f>'[3]31'!A11</f>
        <v>MKN 100-0197</v>
      </c>
      <c r="B312" s="27" t="str">
        <f>'[3]31'!B11</f>
        <v>Thru 4 3/4" OD</v>
      </c>
      <c r="C312" s="28" t="str">
        <f>'[3]31'!C11</f>
        <v>Per Run</v>
      </c>
      <c r="D312" s="29">
        <f>'[3]31'!D11</f>
        <v>320</v>
      </c>
      <c r="E312" s="29"/>
      <c r="F312" s="29"/>
    </row>
    <row r="313" spans="1:6" x14ac:dyDescent="0.25">
      <c r="A313" s="26" t="str">
        <f>'[3]31'!A12</f>
        <v>MKN 100-0198</v>
      </c>
      <c r="B313" s="27" t="str">
        <f>'[3]31'!B12</f>
        <v>Thru 5 3/4" OD</v>
      </c>
      <c r="C313" s="28" t="str">
        <f>'[3]31'!C12</f>
        <v>Per Run</v>
      </c>
      <c r="D313" s="29">
        <f>'[3]31'!D12</f>
        <v>500</v>
      </c>
      <c r="E313" s="29"/>
      <c r="F313" s="29"/>
    </row>
    <row r="314" spans="1:6" x14ac:dyDescent="0.25">
      <c r="A314" s="26" t="str">
        <f>'[3]31'!A13</f>
        <v>MKN 100-0199</v>
      </c>
      <c r="B314" s="27" t="str">
        <f>'[3]31'!B13</f>
        <v>Thru 6 3/4" OD</v>
      </c>
      <c r="C314" s="28" t="str">
        <f>'[3]31'!C13</f>
        <v>Per Run</v>
      </c>
      <c r="D314" s="29">
        <f>'[3]31'!D13</f>
        <v>590</v>
      </c>
      <c r="E314" s="29"/>
      <c r="F314" s="29"/>
    </row>
    <row r="315" spans="1:6" x14ac:dyDescent="0.25">
      <c r="A315" s="26" t="str">
        <f>'[3]31'!A14</f>
        <v>MKN 100-0200</v>
      </c>
      <c r="B315" s="27" t="str">
        <f>'[3]31'!B14</f>
        <v>Thru 7 5/8" OD</v>
      </c>
      <c r="C315" s="28" t="str">
        <f>'[3]31'!C14</f>
        <v>Per Run</v>
      </c>
      <c r="D315" s="29">
        <f>'[3]31'!D14</f>
        <v>850</v>
      </c>
      <c r="E315" s="29"/>
      <c r="F315" s="29"/>
    </row>
    <row r="316" spans="1:6" x14ac:dyDescent="0.25">
      <c r="A316" s="26" t="str">
        <f>'[3]31'!A15</f>
        <v>MKN 100-0201</v>
      </c>
      <c r="B316" s="27" t="str">
        <f>'[3]31'!B15</f>
        <v>Thru 9 5/8" OD</v>
      </c>
      <c r="C316" s="28" t="str">
        <f>'[3]31'!C15</f>
        <v>Per Run</v>
      </c>
      <c r="D316" s="29">
        <f>'[3]31'!D15</f>
        <v>1010</v>
      </c>
      <c r="E316" s="29"/>
      <c r="F316" s="29"/>
    </row>
    <row r="317" spans="1:6" x14ac:dyDescent="0.25">
      <c r="A317" s="26" t="str">
        <f>'[3]31'!A16</f>
        <v>MKN 100-0202</v>
      </c>
      <c r="B317" s="27" t="str">
        <f>'[3]31'!B16</f>
        <v>Thru 10 3/4" OD</v>
      </c>
      <c r="C317" s="28" t="str">
        <f>'[3]31'!C16</f>
        <v>Per Run</v>
      </c>
      <c r="D317" s="29">
        <f>'[3]31'!D16</f>
        <v>1500</v>
      </c>
      <c r="E317" s="29"/>
      <c r="F317" s="29"/>
    </row>
    <row r="318" spans="1:6" ht="6" customHeight="1" x14ac:dyDescent="0.25">
      <c r="A318" s="5"/>
      <c r="B318" s="1"/>
      <c r="C318" s="15"/>
      <c r="D318" s="9"/>
      <c r="E318" s="9"/>
      <c r="F318" s="9"/>
    </row>
    <row r="319" spans="1:6" ht="21.95" customHeight="1" thickBot="1" x14ac:dyDescent="0.3">
      <c r="A319" s="10" t="s">
        <v>60</v>
      </c>
      <c r="B319" s="11"/>
      <c r="C319" s="12"/>
      <c r="D319" s="13"/>
      <c r="E319" s="13"/>
      <c r="F319" s="14" t="s">
        <v>5</v>
      </c>
    </row>
    <row r="320" spans="1:6" ht="6" customHeight="1" thickTop="1" x14ac:dyDescent="0.25">
      <c r="A320" s="5"/>
      <c r="B320" s="1"/>
      <c r="C320" s="15"/>
      <c r="D320" s="9"/>
      <c r="E320" s="9"/>
      <c r="F320" s="9"/>
    </row>
    <row r="321" spans="1:6" ht="15.95" customHeight="1" x14ac:dyDescent="0.25">
      <c r="A321" s="16" t="s">
        <v>61</v>
      </c>
      <c r="B321" s="17"/>
      <c r="C321" s="18"/>
      <c r="D321" s="19"/>
      <c r="E321" s="19"/>
      <c r="F321" s="19"/>
    </row>
    <row r="322" spans="1:6" x14ac:dyDescent="0.25">
      <c r="A322" s="20" t="s">
        <v>7</v>
      </c>
      <c r="B322" s="20" t="s">
        <v>8</v>
      </c>
      <c r="C322" s="21" t="s">
        <v>10</v>
      </c>
      <c r="D322" s="21"/>
      <c r="E322" s="21"/>
      <c r="F322" s="21"/>
    </row>
    <row r="323" spans="1:6" x14ac:dyDescent="0.25">
      <c r="A323" s="22" t="str">
        <f>'[3]1'!A9</f>
        <v>ST-6601</v>
      </c>
      <c r="B323" s="23" t="str">
        <f>'[3]1'!B9</f>
        <v>Pick-up with tools traveling to wells, per KM.</v>
      </c>
      <c r="C323" s="24">
        <f>'[3]1'!C9</f>
        <v>3.6</v>
      </c>
      <c r="D323" s="25"/>
      <c r="E323" s="25"/>
      <c r="F323" s="25"/>
    </row>
    <row r="324" spans="1:6" x14ac:dyDescent="0.25">
      <c r="A324" s="26" t="str">
        <f>'[3]1'!A10</f>
        <v>ST-6602</v>
      </c>
      <c r="B324" s="27" t="str">
        <f>'[3]1'!B10</f>
        <v>Tool operator, per day or fraction</v>
      </c>
      <c r="C324" s="28">
        <f>'[3]1'!C10</f>
        <v>950</v>
      </c>
      <c r="D324" s="29"/>
      <c r="E324" s="29"/>
      <c r="F324" s="29"/>
    </row>
    <row r="325" spans="1:6" x14ac:dyDescent="0.25">
      <c r="A325" s="26" t="str">
        <f>'[3]1'!A11</f>
        <v>ST-6603</v>
      </c>
      <c r="B325" s="27" t="str">
        <f>'[3]1'!B11</f>
        <v>Assistant Tool Operator, per day or fraction</v>
      </c>
      <c r="C325" s="28">
        <f>'[3]1'!C11</f>
        <v>700</v>
      </c>
      <c r="D325" s="29"/>
      <c r="E325" s="29"/>
      <c r="F325" s="29"/>
    </row>
    <row r="326" spans="1:6" x14ac:dyDescent="0.25">
      <c r="A326" s="26" t="str">
        <f>'[3]1'!A12</f>
        <v>ST-6604</v>
      </c>
      <c r="B326" s="27" t="str">
        <f>'[3]1'!B12</f>
        <v>Supervisor or Engineer, per day or fraction</v>
      </c>
      <c r="C326" s="28">
        <f>'[3]1'!C12</f>
        <v>1050</v>
      </c>
      <c r="D326" s="29"/>
      <c r="E326" s="29"/>
      <c r="F326" s="29"/>
    </row>
    <row r="327" spans="1:6" x14ac:dyDescent="0.25">
      <c r="A327" s="26" t="str">
        <f>'[3]1'!A13</f>
        <v>ST-6605</v>
      </c>
      <c r="B327" s="27" t="str">
        <f>'[3]1'!B13</f>
        <v>Helper, per day or fraction</v>
      </c>
      <c r="C327" s="28">
        <f>'[3]1'!C13</f>
        <v>500</v>
      </c>
      <c r="D327" s="29"/>
      <c r="E327" s="29"/>
      <c r="F327" s="29"/>
    </row>
    <row r="328" spans="1:6" ht="24" x14ac:dyDescent="0.25">
      <c r="A328" s="26" t="str">
        <f>'[3]1'!A14</f>
        <v>ST-6606</v>
      </c>
      <c r="B328" s="27" t="str">
        <f>'[3]1'!B14</f>
        <v xml:space="preserve">STAND-BY: FIRST SIX HOURS after arriving on location </v>
      </c>
      <c r="C328" s="28" t="str">
        <f>'[3]1'!C14</f>
        <v>No charge</v>
      </c>
      <c r="D328" s="29"/>
      <c r="E328" s="29"/>
      <c r="F328" s="29"/>
    </row>
    <row r="329" spans="1:6" ht="36" x14ac:dyDescent="0.25">
      <c r="A329" s="26"/>
      <c r="B329" s="27" t="str">
        <f>'[3]1'!B15</f>
        <v>After the First Six (06) Hours, STAND-BY, PER HOUR OR FRACTION until job started per tool, until PERSONNEL CHARGES will be in addition.</v>
      </c>
      <c r="C329" s="28">
        <f>'[3]1'!C15</f>
        <v>90</v>
      </c>
      <c r="D329" s="29"/>
      <c r="E329" s="29"/>
      <c r="F329" s="29"/>
    </row>
    <row r="330" spans="1:6" ht="36" x14ac:dyDescent="0.25">
      <c r="A330" s="26" t="str">
        <f>'[3]1'!A16</f>
        <v>ST-6607</v>
      </c>
      <c r="B330" s="27" t="str">
        <f>'[3]1'!B16</f>
        <v>JOB CANCELLATION: When called to location and the job is not run, due to circumstances beyond our control. PERSONNEL CHARGES are in addition.</v>
      </c>
      <c r="C330" s="28"/>
      <c r="D330" s="29"/>
      <c r="E330" s="29"/>
      <c r="F330" s="29"/>
    </row>
    <row r="331" spans="1:6" ht="6" customHeight="1" x14ac:dyDescent="0.25">
      <c r="A331" s="5"/>
      <c r="B331" s="1"/>
      <c r="C331" s="15"/>
      <c r="D331" s="9"/>
      <c r="E331" s="9"/>
      <c r="F331" s="9"/>
    </row>
    <row r="332" spans="1:6" ht="15.95" customHeight="1" x14ac:dyDescent="0.25">
      <c r="A332" s="16" t="s">
        <v>62</v>
      </c>
      <c r="B332" s="17"/>
      <c r="C332" s="18"/>
      <c r="D332" s="19"/>
      <c r="E332" s="19"/>
      <c r="F332" s="19"/>
    </row>
    <row r="333" spans="1:6" ht="14.1" customHeight="1" x14ac:dyDescent="0.25">
      <c r="A333" s="462" t="str">
        <f>'[3]1'!A19</f>
        <v>Price is determined by size and depth packer set. Time of job begins when tool starts in well are time end when recovered from well.</v>
      </c>
      <c r="B333" s="462"/>
      <c r="C333" s="462"/>
      <c r="D333" s="462"/>
      <c r="E333" s="462"/>
      <c r="F333" s="462"/>
    </row>
    <row r="334" spans="1:6" ht="14.1" customHeight="1" x14ac:dyDescent="0.25">
      <c r="A334" s="462" t="str">
        <f>'[3]1'!A21</f>
        <v>FIRST EIGHT (8) HOURS or Fraction</v>
      </c>
      <c r="B334" s="462"/>
      <c r="C334" s="462"/>
      <c r="D334" s="462"/>
      <c r="E334" s="462"/>
      <c r="F334" s="462"/>
    </row>
    <row r="335" spans="1:6" x14ac:dyDescent="0.25">
      <c r="A335" s="20" t="s">
        <v>7</v>
      </c>
      <c r="B335" s="20" t="s">
        <v>8</v>
      </c>
      <c r="C335" s="21" t="s">
        <v>10</v>
      </c>
      <c r="D335" s="21"/>
      <c r="E335" s="21"/>
      <c r="F335" s="21"/>
    </row>
    <row r="336" spans="1:6" x14ac:dyDescent="0.25">
      <c r="A336" s="22" t="str">
        <f>'[3]1'!A22</f>
        <v>ST-6608</v>
      </c>
      <c r="B336" s="23" t="str">
        <f>'[3]1'!B22</f>
        <v>Size thru 7"</v>
      </c>
      <c r="C336" s="24">
        <f>'[3]1'!C22</f>
        <v>2200</v>
      </c>
      <c r="D336" s="25"/>
      <c r="E336" s="25"/>
      <c r="F336" s="25"/>
    </row>
    <row r="337" spans="1:6" ht="24" x14ac:dyDescent="0.25">
      <c r="A337" s="26" t="str">
        <f>'[3]1'!A23</f>
        <v>ST-6609</v>
      </c>
      <c r="B337" s="27" t="str">
        <f>'[3]1'!B23</f>
        <v>Each 1,000 ft. or fraction between 5,000 ft. and 15,000 ft., add:</v>
      </c>
      <c r="C337" s="28">
        <f>'[3]1'!C23</f>
        <v>40</v>
      </c>
      <c r="D337" s="29"/>
      <c r="E337" s="29"/>
      <c r="F337" s="29"/>
    </row>
    <row r="338" spans="1:6" x14ac:dyDescent="0.25">
      <c r="A338" s="26" t="str">
        <f>'[3]1'!A24</f>
        <v>ST-6610</v>
      </c>
      <c r="B338" s="27" t="str">
        <f>'[3]1'!B24</f>
        <v>Size thru 9 5/8".</v>
      </c>
      <c r="C338" s="28">
        <f>'[3]1'!C24</f>
        <v>2900</v>
      </c>
      <c r="D338" s="29"/>
      <c r="E338" s="29"/>
      <c r="F338" s="29"/>
    </row>
    <row r="339" spans="1:6" ht="24" x14ac:dyDescent="0.25">
      <c r="A339" s="26" t="str">
        <f>'[3]1'!A25</f>
        <v>ST-6611</v>
      </c>
      <c r="B339" s="27" t="str">
        <f>'[3]1'!B25</f>
        <v>Each 1,000 ft. or fraction between 5,000 ft. and 15,000 ft., add:</v>
      </c>
      <c r="C339" s="28">
        <f>'[3]1'!C25</f>
        <v>60</v>
      </c>
      <c r="D339" s="29"/>
      <c r="E339" s="29"/>
      <c r="F339" s="29"/>
    </row>
    <row r="340" spans="1:6" x14ac:dyDescent="0.25">
      <c r="A340" s="26" t="str">
        <f>'[3]1'!A26</f>
        <v>ST-6612</v>
      </c>
      <c r="B340" s="27" t="str">
        <f>'[3]1'!B26</f>
        <v>Size 13 3/8".</v>
      </c>
      <c r="C340" s="28">
        <f>'[3]1'!C26</f>
        <v>5000</v>
      </c>
      <c r="D340" s="29"/>
      <c r="E340" s="29"/>
      <c r="F340" s="29"/>
    </row>
    <row r="341" spans="1:6" ht="24" x14ac:dyDescent="0.25">
      <c r="A341" s="26" t="str">
        <f>'[3]1'!A27</f>
        <v>ST-6613</v>
      </c>
      <c r="B341" s="27" t="str">
        <f>'[3]1'!B27</f>
        <v>Each 1,000 ft. or fraction between 5,000 ft. and 15,000 ft., add:</v>
      </c>
      <c r="C341" s="28">
        <f>'[3]1'!C27</f>
        <v>75</v>
      </c>
      <c r="D341" s="29"/>
      <c r="E341" s="29"/>
      <c r="F341" s="29"/>
    </row>
    <row r="342" spans="1:6" ht="24" x14ac:dyDescent="0.25">
      <c r="A342" s="26" t="str">
        <f>'[3]1'!A28</f>
        <v>ST-6614</v>
      </c>
      <c r="B342" s="27" t="str">
        <f>'[3]1'!B28</f>
        <v>All sizes, below 15,000 ft. per 100 ft. or fraction: add</v>
      </c>
      <c r="C342" s="28">
        <f>'[3]1'!C28</f>
        <v>75</v>
      </c>
      <c r="D342" s="29"/>
      <c r="E342" s="29"/>
      <c r="F342" s="29"/>
    </row>
    <row r="343" spans="1:6" ht="60" x14ac:dyDescent="0.25">
      <c r="A343" s="26" t="str">
        <f>'[3]1'!A29</f>
        <v>ST-6615</v>
      </c>
      <c r="B343" s="27" t="str">
        <f>'[3]1'!B29</f>
        <v>ADDITIONAL ZONE. Each ADDITIONAL ZONE on same run in well, any depth: (This change applies when tool is moved to another zone for any purpose. It does not include "looking for casing leaks")</v>
      </c>
      <c r="C343" s="28">
        <f>'[3]1'!C29</f>
        <v>800</v>
      </c>
      <c r="D343" s="29"/>
      <c r="E343" s="29"/>
      <c r="F343" s="29"/>
    </row>
    <row r="344" spans="1:6" x14ac:dyDescent="0.25">
      <c r="A344" s="26" t="str">
        <f>'[3]1'!A30</f>
        <v>ST-6616</v>
      </c>
      <c r="B344" s="27" t="str">
        <f>'[3]1'!B30</f>
        <v>Unsuccessful run.</v>
      </c>
      <c r="C344" s="28">
        <f>'[3]1'!C30</f>
        <v>1100</v>
      </c>
      <c r="D344" s="29"/>
      <c r="E344" s="29"/>
      <c r="F344" s="29"/>
    </row>
    <row r="345" spans="1:6" ht="24" x14ac:dyDescent="0.25">
      <c r="A345" s="26" t="str">
        <f>'[3]1'!A31</f>
        <v>ST-6617</v>
      </c>
      <c r="B345" s="27" t="str">
        <f>'[3]1'!B31</f>
        <v>Additional TIME. Each additional consecutive 8-hour or fraction.</v>
      </c>
      <c r="C345" s="28">
        <f>'[3]1'!C31</f>
        <v>1100</v>
      </c>
      <c r="D345" s="29"/>
      <c r="E345" s="29"/>
      <c r="F345" s="29"/>
    </row>
    <row r="346" spans="1:6" x14ac:dyDescent="0.25">
      <c r="A346" s="26" t="str">
        <f>'[3]1'!A32</f>
        <v>ST-6618</v>
      </c>
      <c r="B346" s="27" t="str">
        <f>'[3]1'!B32</f>
        <v>Each extra packer added to above tool, per run.</v>
      </c>
      <c r="C346" s="28">
        <f>'[3]1'!C32</f>
        <v>900</v>
      </c>
      <c r="D346" s="29"/>
      <c r="E346" s="29"/>
      <c r="F346" s="29"/>
    </row>
    <row r="347" spans="1:6" ht="6" customHeight="1" x14ac:dyDescent="0.25">
      <c r="A347" s="5"/>
      <c r="B347" s="1"/>
      <c r="C347" s="15"/>
      <c r="D347" s="9"/>
      <c r="E347" s="9"/>
      <c r="F347" s="9"/>
    </row>
    <row r="348" spans="1:6" ht="15.95" customHeight="1" x14ac:dyDescent="0.25">
      <c r="A348" s="16" t="s">
        <v>63</v>
      </c>
      <c r="B348" s="17"/>
      <c r="C348" s="18"/>
      <c r="D348" s="19"/>
      <c r="E348" s="19"/>
      <c r="F348" s="19"/>
    </row>
    <row r="349" spans="1:6" ht="14.1" customHeight="1" x14ac:dyDescent="0.25">
      <c r="A349" s="462" t="str">
        <f>'[3]2'!A9</f>
        <v>Price is determined by size and depth packer set. Time of job begins when tool starts in well and ends when recovered from well.</v>
      </c>
      <c r="B349" s="462"/>
      <c r="C349" s="462"/>
      <c r="D349" s="462"/>
      <c r="E349" s="462"/>
      <c r="F349" s="462"/>
    </row>
    <row r="350" spans="1:6" ht="14.1" customHeight="1" x14ac:dyDescent="0.25">
      <c r="A350" s="462" t="str">
        <f>'[3]2'!A10</f>
        <v>FIRST EIGHT (8) HOURS or Fraction.</v>
      </c>
      <c r="B350" s="462"/>
      <c r="C350" s="462"/>
      <c r="D350" s="462"/>
      <c r="E350" s="462"/>
      <c r="F350" s="462"/>
    </row>
    <row r="351" spans="1:6" x14ac:dyDescent="0.25">
      <c r="A351" s="20" t="s">
        <v>7</v>
      </c>
      <c r="B351" s="20" t="s">
        <v>8</v>
      </c>
      <c r="C351" s="21" t="s">
        <v>10</v>
      </c>
      <c r="D351" s="21"/>
      <c r="E351" s="21"/>
      <c r="F351" s="21"/>
    </row>
    <row r="352" spans="1:6" x14ac:dyDescent="0.25">
      <c r="A352" s="22" t="str">
        <f>'[3]2'!A11</f>
        <v>ST-6619</v>
      </c>
      <c r="B352" s="23" t="str">
        <f>'[3]2'!B11</f>
        <v>Size thru 7"</v>
      </c>
      <c r="C352" s="24">
        <f>'[3]2'!C11</f>
        <v>2200</v>
      </c>
      <c r="D352" s="25"/>
      <c r="E352" s="25"/>
      <c r="F352" s="25"/>
    </row>
    <row r="353" spans="1:6" ht="24" x14ac:dyDescent="0.25">
      <c r="A353" s="26" t="str">
        <f>'[3]2'!A12</f>
        <v>ST-6620</v>
      </c>
      <c r="B353" s="27" t="str">
        <f>'[3]2'!B12</f>
        <v>Each 1,000 ft. or fraction between 5,000 ft. and 15,000 ft, add:</v>
      </c>
      <c r="C353" s="28">
        <f>'[3]2'!C12</f>
        <v>40</v>
      </c>
      <c r="D353" s="29"/>
      <c r="E353" s="29"/>
      <c r="F353" s="29"/>
    </row>
    <row r="354" spans="1:6" x14ac:dyDescent="0.25">
      <c r="A354" s="26" t="str">
        <f>'[3]2'!A13</f>
        <v>ST-6621</v>
      </c>
      <c r="B354" s="27" t="str">
        <f>'[3]2'!B13</f>
        <v>Size thru 9 5/8"</v>
      </c>
      <c r="C354" s="28">
        <f>'[3]2'!C13</f>
        <v>2700</v>
      </c>
      <c r="D354" s="29"/>
      <c r="E354" s="29"/>
      <c r="F354" s="29"/>
    </row>
    <row r="355" spans="1:6" ht="24" x14ac:dyDescent="0.25">
      <c r="A355" s="26" t="str">
        <f>'[3]2'!A14</f>
        <v>ST-6622</v>
      </c>
      <c r="B355" s="27" t="str">
        <f>'[3]2'!B14</f>
        <v>Each 1,000 ft. or fraction between 5,000 ft. and 15,000 ft, add:</v>
      </c>
      <c r="C355" s="28">
        <f>'[3]2'!C14</f>
        <v>50</v>
      </c>
      <c r="D355" s="29"/>
      <c r="E355" s="29"/>
      <c r="F355" s="29"/>
    </row>
    <row r="356" spans="1:6" x14ac:dyDescent="0.25">
      <c r="A356" s="26" t="str">
        <f>'[3]2'!A15</f>
        <v>ST-6623</v>
      </c>
      <c r="B356" s="27" t="str">
        <f>'[3]2'!B15</f>
        <v>Size 13 3/8"</v>
      </c>
      <c r="C356" s="28">
        <f>'[3]2'!C15</f>
        <v>4500</v>
      </c>
      <c r="D356" s="29"/>
      <c r="E356" s="29"/>
      <c r="F356" s="29"/>
    </row>
    <row r="357" spans="1:6" ht="24" x14ac:dyDescent="0.25">
      <c r="A357" s="26" t="str">
        <f>'[3]2'!A16</f>
        <v>ST-6624</v>
      </c>
      <c r="B357" s="27" t="str">
        <f>'[3]2'!B16</f>
        <v>Each 1,000 ft. or fraction between 5,000 ft. and 15,000 ft, add:</v>
      </c>
      <c r="C357" s="28">
        <f>'[3]2'!C16</f>
        <v>70</v>
      </c>
      <c r="D357" s="29"/>
      <c r="E357" s="29"/>
      <c r="F357" s="29"/>
    </row>
    <row r="358" spans="1:6" ht="24" x14ac:dyDescent="0.25">
      <c r="A358" s="26" t="str">
        <f>'[3]2'!A17</f>
        <v>ST-6625</v>
      </c>
      <c r="B358" s="27" t="str">
        <f>'[3]2'!B17</f>
        <v>All sizes, below 15,000 ft. per 100 ft. or fraction: add</v>
      </c>
      <c r="C358" s="28">
        <f>'[3]2'!C17</f>
        <v>70</v>
      </c>
      <c r="D358" s="29"/>
      <c r="E358" s="29"/>
      <c r="F358" s="29"/>
    </row>
    <row r="359" spans="1:6" ht="24" x14ac:dyDescent="0.25">
      <c r="A359" s="26" t="str">
        <f>'[3]2'!A18</f>
        <v>ST-6626</v>
      </c>
      <c r="B359" s="27" t="str">
        <f>'[3]2'!B18</f>
        <v>ADDITIONAL TIME. Each additional consecutive 8-hour or fraction.</v>
      </c>
      <c r="C359" s="28">
        <f>'[3]2'!C18</f>
        <v>800</v>
      </c>
      <c r="D359" s="29"/>
      <c r="E359" s="29"/>
      <c r="F359" s="29"/>
    </row>
    <row r="360" spans="1:6" x14ac:dyDescent="0.25">
      <c r="A360" s="26" t="str">
        <f>'[3]2'!A19</f>
        <v>ST-6627</v>
      </c>
      <c r="B360" s="27" t="str">
        <f>'[3]2'!B19</f>
        <v>Each reset on ADDITIONAL ZONE.</v>
      </c>
      <c r="C360" s="28">
        <f>'[3]2'!C19</f>
        <v>700</v>
      </c>
      <c r="D360" s="29"/>
      <c r="E360" s="29"/>
      <c r="F360" s="29"/>
    </row>
    <row r="361" spans="1:6" x14ac:dyDescent="0.25">
      <c r="A361" s="26" t="str">
        <f>'[3]2'!A20</f>
        <v>ST-6628</v>
      </c>
      <c r="B361" s="27" t="str">
        <f>'[3]2'!B20</f>
        <v>Unsuccessful run.</v>
      </c>
      <c r="C361" s="28">
        <f>'[3]2'!C20</f>
        <v>1300</v>
      </c>
      <c r="D361" s="29"/>
      <c r="E361" s="29"/>
      <c r="F361" s="29"/>
    </row>
    <row r="362" spans="1:6" ht="6" customHeight="1" x14ac:dyDescent="0.25">
      <c r="A362" s="5"/>
      <c r="B362" s="1"/>
      <c r="C362" s="15"/>
      <c r="D362" s="9"/>
      <c r="E362" s="9"/>
      <c r="F362" s="9"/>
    </row>
    <row r="363" spans="1:6" ht="15.95" customHeight="1" x14ac:dyDescent="0.25">
      <c r="A363" s="16" t="s">
        <v>64</v>
      </c>
      <c r="B363" s="17"/>
      <c r="C363" s="18"/>
      <c r="D363" s="19"/>
      <c r="E363" s="19"/>
      <c r="F363" s="19"/>
    </row>
    <row r="364" spans="1:6" ht="14.1" customHeight="1" x14ac:dyDescent="0.25">
      <c r="A364" s="462" t="str">
        <f>'[3]2'!A22</f>
        <v>RETRIEVABLE BRIDGE PLUG. (When run with another MAKAMAN LIBYA CO. packer)</v>
      </c>
      <c r="B364" s="462"/>
      <c r="C364" s="462"/>
      <c r="D364" s="462"/>
      <c r="E364" s="462"/>
      <c r="F364" s="462"/>
    </row>
    <row r="365" spans="1:6" ht="14.1" customHeight="1" x14ac:dyDescent="0.25">
      <c r="A365" s="462" t="str">
        <f>'[3]2'!A23</f>
        <v>Price is determined by size and depth packer set. Time of job begins when tool starts in well and time ends when recovered from well.</v>
      </c>
      <c r="B365" s="462"/>
      <c r="C365" s="462"/>
      <c r="D365" s="462"/>
      <c r="E365" s="462"/>
      <c r="F365" s="462"/>
    </row>
    <row r="366" spans="1:6" ht="14.1" customHeight="1" x14ac:dyDescent="0.25">
      <c r="A366" s="462" t="str">
        <f>'[3]2'!A24</f>
        <v>FIRST EIGHT (8) HOURS or Fraction.</v>
      </c>
      <c r="B366" s="462"/>
      <c r="C366" s="462"/>
      <c r="D366" s="462"/>
      <c r="E366" s="462"/>
      <c r="F366" s="462"/>
    </row>
    <row r="367" spans="1:6" x14ac:dyDescent="0.25">
      <c r="A367" s="20" t="s">
        <v>7</v>
      </c>
      <c r="B367" s="20" t="s">
        <v>8</v>
      </c>
      <c r="C367" s="21" t="s">
        <v>10</v>
      </c>
      <c r="D367" s="21"/>
      <c r="E367" s="21"/>
      <c r="F367" s="21"/>
    </row>
    <row r="368" spans="1:6" x14ac:dyDescent="0.25">
      <c r="A368" s="22" t="str">
        <f>'[3]2'!A26</f>
        <v>ST-6629</v>
      </c>
      <c r="B368" s="23" t="str">
        <f>'[3]2'!B26</f>
        <v>Size thru 7"</v>
      </c>
      <c r="C368" s="24">
        <f>'[3]2'!C26</f>
        <v>1900</v>
      </c>
      <c r="D368" s="25"/>
      <c r="E368" s="25"/>
      <c r="F368" s="25"/>
    </row>
    <row r="369" spans="1:6" ht="24" x14ac:dyDescent="0.25">
      <c r="A369" s="26" t="str">
        <f>'[3]2'!A27</f>
        <v>ST-6630</v>
      </c>
      <c r="B369" s="27" t="str">
        <f>'[3]2'!B27</f>
        <v>Each 1,000 ft. or fraction between 5,000 ft. and 15,000 ft, add:</v>
      </c>
      <c r="C369" s="28">
        <f>'[3]2'!C27</f>
        <v>40</v>
      </c>
      <c r="D369" s="29"/>
      <c r="E369" s="29"/>
      <c r="F369" s="29"/>
    </row>
    <row r="370" spans="1:6" x14ac:dyDescent="0.25">
      <c r="A370" s="26" t="str">
        <f>'[3]2'!A28</f>
        <v>ST-6631</v>
      </c>
      <c r="B370" s="27" t="str">
        <f>'[3]2'!B28</f>
        <v>Size thru 9 5/8"</v>
      </c>
      <c r="C370" s="28">
        <f>'[3]2'!C28</f>
        <v>2700</v>
      </c>
      <c r="D370" s="29"/>
      <c r="E370" s="29"/>
      <c r="F370" s="29"/>
    </row>
    <row r="371" spans="1:6" ht="24" x14ac:dyDescent="0.25">
      <c r="A371" s="26" t="str">
        <f>'[3]2'!A29</f>
        <v>ST-6632</v>
      </c>
      <c r="B371" s="27" t="str">
        <f>'[3]2'!B29</f>
        <v>Each 1,000 ft. or fraction between 5,000 ft. and 15,000 ft, add:</v>
      </c>
      <c r="C371" s="28">
        <f>'[3]2'!C29</f>
        <v>50</v>
      </c>
      <c r="D371" s="29"/>
      <c r="E371" s="29"/>
      <c r="F371" s="29"/>
    </row>
    <row r="372" spans="1:6" x14ac:dyDescent="0.25">
      <c r="A372" s="26" t="str">
        <f>'[3]2'!A30</f>
        <v>ST-6633</v>
      </c>
      <c r="B372" s="27" t="str">
        <f>'[3]2'!B30</f>
        <v>Size 13 3/8"</v>
      </c>
      <c r="C372" s="28">
        <f>'[3]2'!C30</f>
        <v>4500</v>
      </c>
      <c r="D372" s="29"/>
      <c r="E372" s="29"/>
      <c r="F372" s="29"/>
    </row>
    <row r="373" spans="1:6" ht="24" x14ac:dyDescent="0.25">
      <c r="A373" s="26" t="str">
        <f>'[3]2'!A31</f>
        <v>ST-6634</v>
      </c>
      <c r="B373" s="27" t="str">
        <f>'[3]2'!B31</f>
        <v>Each 1,000 ft. or fraction between 5,000 ft. and 15,000 ft, add:</v>
      </c>
      <c r="C373" s="28">
        <f>'[3]2'!C31</f>
        <v>70</v>
      </c>
      <c r="D373" s="29"/>
      <c r="E373" s="29"/>
      <c r="F373" s="29"/>
    </row>
    <row r="374" spans="1:6" ht="24" x14ac:dyDescent="0.25">
      <c r="A374" s="26" t="str">
        <f>'[3]2'!A32</f>
        <v>ST-6635</v>
      </c>
      <c r="B374" s="27" t="str">
        <f>'[3]2'!B32</f>
        <v>All sizes, below 15,000 ft. per 100 ft. or fraction: add</v>
      </c>
      <c r="C374" s="28">
        <f>'[3]2'!C32</f>
        <v>70</v>
      </c>
      <c r="D374" s="29"/>
      <c r="E374" s="29"/>
      <c r="F374" s="29"/>
    </row>
    <row r="375" spans="1:6" ht="24" x14ac:dyDescent="0.25">
      <c r="A375" s="26" t="str">
        <f>'[3]2'!A33</f>
        <v>ST-6636</v>
      </c>
      <c r="B375" s="27" t="str">
        <f>'[3]2'!B33</f>
        <v>Additional time. Each additional consecutive 8-hour or fraction</v>
      </c>
      <c r="C375" s="28">
        <f>'[3]2'!C33</f>
        <v>800</v>
      </c>
      <c r="D375" s="29"/>
      <c r="E375" s="29"/>
      <c r="F375" s="29"/>
    </row>
    <row r="376" spans="1:6" x14ac:dyDescent="0.25">
      <c r="A376" s="26" t="str">
        <f>'[3]2'!A34</f>
        <v>ST-6637</v>
      </c>
      <c r="B376" s="27" t="str">
        <f>'[3]2'!B34</f>
        <v>Each reset on additional zone</v>
      </c>
      <c r="C376" s="28">
        <f>'[3]2'!C34</f>
        <v>700</v>
      </c>
      <c r="D376" s="29"/>
      <c r="E376" s="29"/>
      <c r="F376" s="29"/>
    </row>
    <row r="377" spans="1:6" x14ac:dyDescent="0.25">
      <c r="A377" s="26" t="str">
        <f>'[3]2'!A35</f>
        <v>ST-6638</v>
      </c>
      <c r="B377" s="27" t="str">
        <f>'[3]2'!B35</f>
        <v>Unsuccessful run</v>
      </c>
      <c r="C377" s="28">
        <f>'[3]2'!C35</f>
        <v>1300</v>
      </c>
      <c r="D377" s="29"/>
      <c r="E377" s="29"/>
      <c r="F377" s="29"/>
    </row>
    <row r="378" spans="1:6" x14ac:dyDescent="0.25">
      <c r="A378" s="26" t="str">
        <f>'[3]2'!A36</f>
        <v>ST-6639</v>
      </c>
      <c r="B378" s="27" t="str">
        <f>'[3]2'!B36</f>
        <v>Crossover subs, per sub, per job</v>
      </c>
      <c r="C378" s="28">
        <f>'[3]2'!C36</f>
        <v>50</v>
      </c>
      <c r="D378" s="29"/>
      <c r="E378" s="29"/>
      <c r="F378" s="29"/>
    </row>
    <row r="379" spans="1:6" ht="6" customHeight="1" x14ac:dyDescent="0.25">
      <c r="A379" s="5"/>
      <c r="B379" s="1"/>
      <c r="C379" s="15"/>
      <c r="D379" s="9"/>
      <c r="E379" s="9"/>
      <c r="F379" s="9"/>
    </row>
    <row r="380" spans="1:6" ht="15.95" customHeight="1" x14ac:dyDescent="0.25">
      <c r="A380" s="16" t="s">
        <v>65</v>
      </c>
      <c r="B380" s="17"/>
      <c r="C380" s="18"/>
      <c r="D380" s="19"/>
      <c r="E380" s="19"/>
      <c r="F380" s="19"/>
    </row>
    <row r="381" spans="1:6" x14ac:dyDescent="0.25">
      <c r="A381" s="20" t="s">
        <v>7</v>
      </c>
      <c r="B381" s="20" t="s">
        <v>8</v>
      </c>
      <c r="C381" s="21" t="s">
        <v>10</v>
      </c>
      <c r="D381" s="21"/>
      <c r="E381" s="21"/>
      <c r="F381" s="21"/>
    </row>
    <row r="382" spans="1:6" x14ac:dyDescent="0.25">
      <c r="A382" s="22" t="str">
        <f>'[3]3'!A21</f>
        <v>ST-6645</v>
      </c>
      <c r="B382" s="23" t="str">
        <f>'[3]3'!B21</f>
        <v>MECHANICAL SETTING TOOL, per run</v>
      </c>
      <c r="C382" s="24">
        <f>'[3]3'!C21</f>
        <v>1850</v>
      </c>
      <c r="D382" s="25"/>
      <c r="E382" s="25"/>
      <c r="F382" s="25"/>
    </row>
    <row r="383" spans="1:6" ht="24" x14ac:dyDescent="0.25">
      <c r="A383" s="26" t="str">
        <f>'[3]3'!A22</f>
        <v>ST-6646</v>
      </c>
      <c r="B383" s="27" t="str">
        <f>'[3]3'!B22</f>
        <v>Wire line kit for cement Retainer/Bridge plug, Per run</v>
      </c>
      <c r="C383" s="28">
        <f>'[3]3'!C22</f>
        <v>300</v>
      </c>
      <c r="D383" s="29"/>
      <c r="E383" s="29"/>
      <c r="F383" s="29"/>
    </row>
    <row r="384" spans="1:6" x14ac:dyDescent="0.25">
      <c r="A384" s="26" t="str">
        <f>'[3]3'!A23</f>
        <v>ST-6647</v>
      </c>
      <c r="B384" s="27" t="str">
        <f>'[3]3'!B23</f>
        <v>Tubing Stinger Coupling/ (SSA), Per job</v>
      </c>
      <c r="C384" s="28">
        <f>'[3]3'!C23</f>
        <v>350</v>
      </c>
      <c r="D384" s="29"/>
      <c r="E384" s="29"/>
      <c r="F384" s="29"/>
    </row>
    <row r="385" spans="1:6" x14ac:dyDescent="0.25">
      <c r="A385" s="26" t="str">
        <f>'[3]3'!A24</f>
        <v>ST-6648</v>
      </c>
      <c r="B385" s="27" t="str">
        <f>'[3]3'!B24</f>
        <v>Tubing Centralizer ,Per job</v>
      </c>
      <c r="C385" s="28">
        <f>'[3]3'!C24</f>
        <v>300</v>
      </c>
      <c r="D385" s="29"/>
      <c r="E385" s="29"/>
      <c r="F385" s="29"/>
    </row>
    <row r="386" spans="1:6" ht="6" customHeight="1" x14ac:dyDescent="0.25">
      <c r="A386" s="5"/>
      <c r="B386" s="1"/>
      <c r="C386" s="15"/>
      <c r="D386" s="9"/>
      <c r="E386" s="9"/>
      <c r="F386" s="9"/>
    </row>
    <row r="387" spans="1:6" ht="21.95" customHeight="1" thickBot="1" x14ac:dyDescent="0.3">
      <c r="A387" s="10" t="s">
        <v>66</v>
      </c>
      <c r="B387" s="11"/>
      <c r="C387" s="12"/>
      <c r="D387" s="13"/>
      <c r="E387" s="13"/>
      <c r="F387" s="14" t="s">
        <v>5</v>
      </c>
    </row>
    <row r="388" spans="1:6" ht="6" customHeight="1" thickTop="1" x14ac:dyDescent="0.25">
      <c r="A388" s="5"/>
      <c r="B388" s="1"/>
      <c r="C388" s="15"/>
      <c r="D388" s="9"/>
      <c r="E388" s="9"/>
      <c r="F388" s="9"/>
    </row>
    <row r="389" spans="1:6" ht="15.95" customHeight="1" x14ac:dyDescent="0.25">
      <c r="A389" s="16" t="s">
        <v>67</v>
      </c>
      <c r="B389" s="17"/>
      <c r="C389" s="18"/>
      <c r="D389" s="19"/>
      <c r="E389" s="19"/>
      <c r="F389" s="19"/>
    </row>
    <row r="390" spans="1:6" x14ac:dyDescent="0.25">
      <c r="A390" s="20" t="s">
        <v>7</v>
      </c>
      <c r="B390" s="20" t="s">
        <v>8</v>
      </c>
      <c r="C390" s="21" t="s">
        <v>10</v>
      </c>
      <c r="D390" s="21"/>
      <c r="E390" s="21"/>
      <c r="F390" s="21"/>
    </row>
    <row r="391" spans="1:6" ht="24" x14ac:dyDescent="0.25">
      <c r="A391" s="22" t="str">
        <f>'[3]4'!A7</f>
        <v>ST-6649</v>
      </c>
      <c r="B391" s="23" t="str">
        <f>'[3]4'!B7</f>
        <v>Drillable CEMENT RETAINERS AND Drillable BRIDGE PLUG PACKER per CSG OD</v>
      </c>
      <c r="C391" s="24"/>
      <c r="D391" s="25"/>
      <c r="E391" s="25"/>
      <c r="F391" s="25"/>
    </row>
    <row r="392" spans="1:6" x14ac:dyDescent="0.25">
      <c r="A392" s="26" t="str">
        <f>'[3]4'!A8</f>
        <v>ST-6650</v>
      </c>
      <c r="B392" s="27" t="str">
        <f>'[3]4'!B8</f>
        <v>4 1/2"</v>
      </c>
      <c r="C392" s="28">
        <f>'[3]4'!C8</f>
        <v>3500</v>
      </c>
      <c r="D392" s="29"/>
      <c r="E392" s="29"/>
      <c r="F392" s="29"/>
    </row>
    <row r="393" spans="1:6" x14ac:dyDescent="0.25">
      <c r="A393" s="26" t="str">
        <f>'[3]4'!A9</f>
        <v>ST-6651</v>
      </c>
      <c r="B393" s="27" t="str">
        <f>'[3]4'!B9</f>
        <v>5"</v>
      </c>
      <c r="C393" s="28">
        <f>'[3]4'!C9</f>
        <v>3560</v>
      </c>
      <c r="D393" s="29"/>
      <c r="E393" s="29"/>
      <c r="F393" s="29"/>
    </row>
    <row r="394" spans="1:6" x14ac:dyDescent="0.25">
      <c r="A394" s="26" t="str">
        <f>'[3]4'!A10</f>
        <v>ST-6652</v>
      </c>
      <c r="B394" s="27" t="str">
        <f>'[3]4'!B10</f>
        <v>5 1/2"</v>
      </c>
      <c r="C394" s="28">
        <f>'[3]4'!C10</f>
        <v>3560</v>
      </c>
      <c r="D394" s="29"/>
      <c r="E394" s="29"/>
      <c r="F394" s="29"/>
    </row>
    <row r="395" spans="1:6" x14ac:dyDescent="0.25">
      <c r="A395" s="26" t="str">
        <f>'[3]4'!A11</f>
        <v>ST-6653</v>
      </c>
      <c r="B395" s="27" t="str">
        <f>'[3]4'!B11</f>
        <v>7"</v>
      </c>
      <c r="C395" s="28">
        <f>'[3]4'!C11</f>
        <v>3900</v>
      </c>
      <c r="D395" s="29"/>
      <c r="E395" s="29"/>
      <c r="F395" s="29"/>
    </row>
    <row r="396" spans="1:6" x14ac:dyDescent="0.25">
      <c r="A396" s="26" t="str">
        <f>'[3]4'!A12</f>
        <v>ST-6654</v>
      </c>
      <c r="B396" s="27" t="str">
        <f>'[3]4'!B12</f>
        <v>9 5/8"</v>
      </c>
      <c r="C396" s="28">
        <f>'[3]4'!C12</f>
        <v>5200</v>
      </c>
      <c r="D396" s="29"/>
      <c r="E396" s="29"/>
      <c r="F396" s="29"/>
    </row>
    <row r="397" spans="1:6" x14ac:dyDescent="0.25">
      <c r="A397" s="26" t="str">
        <f>'[3]4'!A13</f>
        <v>ST-6655</v>
      </c>
      <c r="B397" s="27" t="str">
        <f>'[3]4'!B13</f>
        <v>13 3/8"</v>
      </c>
      <c r="C397" s="28">
        <f>'[3]4'!C13</f>
        <v>8200</v>
      </c>
      <c r="D397" s="29"/>
      <c r="E397" s="29"/>
      <c r="F397" s="29"/>
    </row>
    <row r="398" spans="1:6" ht="6" customHeight="1" x14ac:dyDescent="0.25">
      <c r="A398" s="5"/>
      <c r="B398" s="1"/>
      <c r="C398" s="15"/>
      <c r="D398" s="9"/>
      <c r="E398" s="9"/>
      <c r="F398" s="9"/>
    </row>
    <row r="399" spans="1:6" ht="21.95" customHeight="1" thickBot="1" x14ac:dyDescent="0.3">
      <c r="A399" s="10" t="s">
        <v>68</v>
      </c>
      <c r="B399" s="11"/>
      <c r="C399" s="12"/>
      <c r="D399" s="13"/>
      <c r="E399" s="13"/>
      <c r="F399" s="14" t="s">
        <v>5</v>
      </c>
    </row>
    <row r="400" spans="1:6" ht="6" customHeight="1" thickTop="1" x14ac:dyDescent="0.25">
      <c r="A400" s="5"/>
      <c r="B400" s="1"/>
      <c r="C400" s="15"/>
      <c r="D400" s="9"/>
      <c r="E400" s="9"/>
      <c r="F400" s="9"/>
    </row>
    <row r="401" spans="1:6" ht="15.95" customHeight="1" x14ac:dyDescent="0.25">
      <c r="A401" s="16" t="s">
        <v>69</v>
      </c>
      <c r="B401" s="17"/>
      <c r="C401" s="18"/>
      <c r="D401" s="19"/>
      <c r="E401" s="19"/>
      <c r="F401" s="19"/>
    </row>
    <row r="402" spans="1:6" ht="24.95" customHeight="1" x14ac:dyDescent="0.25">
      <c r="A402" s="462" t="str">
        <f>'[3]3'!A9</f>
        <v>Tool Services' tools and equipment damaged or lost in the well during Tool Service's operations will be charged for as per the following:</v>
      </c>
      <c r="B402" s="462"/>
      <c r="C402" s="462"/>
      <c r="D402" s="462"/>
      <c r="E402" s="462"/>
      <c r="F402" s="462"/>
    </row>
    <row r="403" spans="1:6" x14ac:dyDescent="0.25">
      <c r="A403" s="20" t="s">
        <v>7</v>
      </c>
      <c r="B403" s="20" t="s">
        <v>8</v>
      </c>
      <c r="C403" s="21" t="s">
        <v>10</v>
      </c>
      <c r="D403" s="21"/>
      <c r="E403" s="21"/>
      <c r="F403" s="21"/>
    </row>
    <row r="404" spans="1:6" x14ac:dyDescent="0.25">
      <c r="A404" s="22" t="str">
        <f>'[3]3'!A10</f>
        <v>ST-6644</v>
      </c>
      <c r="B404" s="23" t="str">
        <f>'[3]3'!B10</f>
        <v>Damaged or lost Tools</v>
      </c>
      <c r="C404" s="24"/>
      <c r="D404" s="25"/>
      <c r="E404" s="25"/>
      <c r="F404" s="25"/>
    </row>
    <row r="405" spans="1:6" ht="48" x14ac:dyDescent="0.25">
      <c r="A405" s="26" t="str">
        <f>'[3]3'!A11</f>
        <v>ST-6644-01</v>
      </c>
      <c r="B405" s="27" t="str">
        <f>'[3]3'!B11</f>
        <v>Tools lost or damaged in transit, lost-in-hole or damaged beyond repair will be charged at MAKAMAN LIBYA landed cost plus 50% plus 100% of accrued rental.</v>
      </c>
      <c r="C405" s="28"/>
      <c r="D405" s="29"/>
      <c r="E405" s="29"/>
      <c r="F405" s="29"/>
    </row>
    <row r="406" spans="1:6" ht="24" x14ac:dyDescent="0.25">
      <c r="A406" s="26" t="str">
        <f>'[3]3'!A12</f>
        <v>ST-6644-02</v>
      </c>
      <c r="B406" s="27" t="str">
        <f>'[3]3'!B12</f>
        <v>Parts required to recondition tool will be charged at landed cost plus 50%.</v>
      </c>
      <c r="C406" s="28"/>
      <c r="D406" s="29"/>
      <c r="E406" s="29"/>
      <c r="F406" s="29"/>
    </row>
    <row r="407" spans="1:6" ht="36" x14ac:dyDescent="0.25">
      <c r="A407" s="26" t="str">
        <f>'[3]3'!A13</f>
        <v>ST-6644-03</v>
      </c>
      <c r="B407" s="27" t="str">
        <f>'[3]3'!B13</f>
        <v>Tools or parts cut on, welded on or modified at customer's request will be considered damaged beyond repair.</v>
      </c>
      <c r="C407" s="28"/>
      <c r="D407" s="29"/>
      <c r="E407" s="29"/>
      <c r="F407" s="29"/>
    </row>
    <row r="408" spans="1:6" ht="48" x14ac:dyDescent="0.25">
      <c r="A408" s="26" t="str">
        <f>'[3]3'!A14</f>
        <v>ST-6644-04</v>
      </c>
      <c r="B408" s="27" t="str">
        <f>'[3]3'!B14</f>
        <v>Tools or parts sold to customer as per Ref. No. ST-6644 will be held for the customer for 60 days and if not claimed within that time will be disposed of by MAKAMAN LIBYA CO.</v>
      </c>
      <c r="C408" s="28"/>
      <c r="D408" s="29"/>
      <c r="E408" s="29"/>
      <c r="F408" s="29"/>
    </row>
    <row r="409" spans="1:6" ht="36" x14ac:dyDescent="0.25">
      <c r="A409" s="26" t="str">
        <f>'[3]3'!A15</f>
        <v>ST-6644-05</v>
      </c>
      <c r="B409" s="27" t="str">
        <f>'[3]3'!B15</f>
        <v>Special tools built at the customer's request will be charged at MAKAMAN LIBYA CO. price including material and labor.</v>
      </c>
      <c r="C409" s="28"/>
      <c r="D409" s="29"/>
      <c r="E409" s="29"/>
      <c r="F409" s="29"/>
    </row>
    <row r="410" spans="1:6" ht="24" x14ac:dyDescent="0.25">
      <c r="A410" s="26" t="str">
        <f>'[3]3'!A16</f>
        <v>ST-6644-06</v>
      </c>
      <c r="B410" s="27" t="str">
        <f>'[3]3'!B16</f>
        <v>Landed cost means manufacturer's export price plus 35%.</v>
      </c>
      <c r="C410" s="28"/>
      <c r="D410" s="29"/>
      <c r="E410" s="29"/>
      <c r="F410" s="29"/>
    </row>
    <row r="411" spans="1:6" ht="36" x14ac:dyDescent="0.25">
      <c r="A411" s="26" t="str">
        <f>'[3]3'!A17</f>
        <v>ST-6644-07</v>
      </c>
      <c r="B411" s="27" t="str">
        <f>'[3]3'!B17</f>
        <v>Rental rates and tool charges for tools used in corrosive environment are subject to a corrosive environment surcharge of 50%.</v>
      </c>
      <c r="C411" s="28"/>
      <c r="D411" s="29"/>
      <c r="E411" s="29"/>
      <c r="F411" s="29"/>
    </row>
    <row r="412" spans="1:6" x14ac:dyDescent="0.25">
      <c r="A412" s="26" t="str">
        <f>'[3]3'!A18</f>
        <v>ST-6644-08</v>
      </c>
      <c r="B412" s="27" t="str">
        <f>'[3]3'!B18</f>
        <v>Desert/Marine Surcharge (add to all invoices)</v>
      </c>
      <c r="C412" s="28"/>
      <c r="D412" s="29"/>
      <c r="E412" s="29"/>
      <c r="F412" s="29"/>
    </row>
    <row r="413" spans="1:6" ht="6" customHeight="1" x14ac:dyDescent="0.25">
      <c r="A413" s="5"/>
      <c r="B413" s="1"/>
      <c r="C413" s="15"/>
      <c r="D413" s="9"/>
      <c r="E413" s="9"/>
      <c r="F413" s="9"/>
    </row>
    <row r="414" spans="1:6" ht="15.95" customHeight="1" x14ac:dyDescent="0.25">
      <c r="A414" s="16" t="s">
        <v>70</v>
      </c>
      <c r="B414" s="17"/>
      <c r="C414" s="18"/>
      <c r="D414" s="19"/>
      <c r="E414" s="19"/>
      <c r="F414" s="19"/>
    </row>
    <row r="415" spans="1:6" x14ac:dyDescent="0.25">
      <c r="A415" s="20" t="s">
        <v>7</v>
      </c>
      <c r="B415" s="20" t="s">
        <v>8</v>
      </c>
      <c r="C415" s="21" t="s">
        <v>10</v>
      </c>
      <c r="D415" s="21"/>
      <c r="E415" s="21"/>
      <c r="F415" s="21"/>
    </row>
    <row r="416" spans="1:6" ht="60" x14ac:dyDescent="0.25">
      <c r="A416" s="22" t="str">
        <f>'[3]2'!A39</f>
        <v>ST-6640</v>
      </c>
      <c r="B416" s="23" t="str">
        <f>'[3]2'!B39</f>
        <v>Service jobs performed by MAKAMAN LIBYA CO. Personnel on equipment owned by customer.Apply :</v>
      </c>
      <c r="C416" s="24" t="str">
        <f>'[3]2'!C39</f>
        <v>Regular service price schedule, plus (30%) Thirty percent</v>
      </c>
      <c r="D416" s="25"/>
      <c r="E416" s="25"/>
      <c r="F416" s="25"/>
    </row>
    <row r="417" spans="1:6" ht="6" customHeight="1" x14ac:dyDescent="0.25">
      <c r="A417" s="5"/>
      <c r="B417" s="1"/>
      <c r="C417" s="15"/>
      <c r="D417" s="9"/>
      <c r="E417" s="9"/>
      <c r="F417" s="9"/>
    </row>
    <row r="418" spans="1:6" ht="15.95" customHeight="1" x14ac:dyDescent="0.25">
      <c r="A418" s="16" t="s">
        <v>71</v>
      </c>
      <c r="B418" s="17"/>
      <c r="C418" s="18"/>
      <c r="D418" s="19"/>
      <c r="E418" s="19"/>
      <c r="F418" s="19"/>
    </row>
    <row r="419" spans="1:6" x14ac:dyDescent="0.25">
      <c r="A419" s="20" t="s">
        <v>7</v>
      </c>
      <c r="B419" s="20" t="s">
        <v>8</v>
      </c>
      <c r="C419" s="21" t="s">
        <v>10</v>
      </c>
      <c r="D419" s="21"/>
      <c r="E419" s="21"/>
      <c r="F419" s="21"/>
    </row>
    <row r="420" spans="1:6" ht="72" x14ac:dyDescent="0.25">
      <c r="A420" s="22" t="str">
        <f>'[3]2'!A41</f>
        <v>ST-6641</v>
      </c>
      <c r="B420" s="23" t="str">
        <f>'[3]2'!B41</f>
        <v>When tools are run in H2S, CO2, or other such corrosive well gasses or liquids or when production involves excessive erosion by sand or other materials, Apply:</v>
      </c>
      <c r="C420" s="24" t="str">
        <f>'[3]2'!C41</f>
        <v>Regular service price schedule, plus (20%) Twenty percent</v>
      </c>
      <c r="D420" s="25"/>
      <c r="E420" s="25"/>
      <c r="F420" s="25"/>
    </row>
    <row r="421" spans="1:6" ht="72" x14ac:dyDescent="0.25">
      <c r="A421" s="26" t="str">
        <f>'[3]2'!A42</f>
        <v>ST-6642</v>
      </c>
      <c r="B421" s="27" t="str">
        <f>'[3]2'!B42</f>
        <v>Stimulation or cementing through the tools when MAKAMAN LIBYA CO. does not provide stimulation fluids, chemicals, cement and service, Apply:</v>
      </c>
      <c r="C421" s="28" t="str">
        <f>'[3]2'!C42</f>
        <v>Regular service price schedule, plus (25%) Twenty five percent</v>
      </c>
      <c r="D421" s="29"/>
      <c r="E421" s="29"/>
      <c r="F421" s="29"/>
    </row>
    <row r="422" spans="1:6" ht="36" x14ac:dyDescent="0.25">
      <c r="A422" s="26" t="str">
        <f>'[3]2'!A43</f>
        <v>ST-6643</v>
      </c>
      <c r="B422" s="27" t="str">
        <f>'[3]2'!B43</f>
        <v>DESERT/MARINE SURCHARGE add to all jnvoices)</v>
      </c>
      <c r="C422" s="28" t="str">
        <f>'[3]2'!C43</f>
        <v> plus (20%) Twenty percent</v>
      </c>
      <c r="D422" s="29"/>
      <c r="E422" s="29"/>
      <c r="F422" s="29"/>
    </row>
    <row r="423" spans="1:6" ht="6" customHeight="1" x14ac:dyDescent="0.25">
      <c r="A423" s="5"/>
      <c r="B423" s="1"/>
      <c r="C423" s="15"/>
      <c r="D423" s="9"/>
      <c r="E423" s="9"/>
      <c r="F423" s="9"/>
    </row>
  </sheetData>
  <mergeCells count="8">
    <mergeCell ref="A366:F366"/>
    <mergeCell ref="A402:F402"/>
    <mergeCell ref="A333:F333"/>
    <mergeCell ref="A334:F334"/>
    <mergeCell ref="A349:F349"/>
    <mergeCell ref="A350:F350"/>
    <mergeCell ref="A364:F364"/>
    <mergeCell ref="A365:F365"/>
  </mergeCells>
  <hyperlinks>
    <hyperlink ref="F6" location="Contents!A1" tooltip="Back to Contents" display="← Contents" xr:uid="{97E7FAE4-8398-4D03-9D7C-6F2343C1174B}"/>
    <hyperlink ref="F319" location="Contents!A1" tooltip="Back to Contents" display="← Contents" xr:uid="{55128C77-2675-46BF-9CF4-DF70B521A9CF}"/>
    <hyperlink ref="F387" location="Contents!A1" tooltip="Back to Contents" display="← Contents" xr:uid="{F1BCAFB3-E618-436B-B107-BA3257EFD950}"/>
    <hyperlink ref="F399" location="Contents!A1" tooltip="Back to Contents" display="← Contents" xr:uid="{F9213557-2820-4605-AF3C-AEF1A40B35D0}"/>
  </hyperlinks>
  <pageMargins left="0.3888888888888889" right="0.3888888888888889" top="0.5" bottom="0.5" header="0.3" footer="0.3"/>
  <pageSetup paperSize="9" scale="93" fitToHeight="0" orientation="portrait" r:id="rId1"/>
  <headerFooter>
    <oddFooter>&amp;CPage &amp;P of &amp;N</oddFooter>
  </headerFooter>
  <rowBreaks count="10" manualBreakCount="10">
    <brk id="46" max="16383" man="1"/>
    <brk id="93" max="16383" man="1"/>
    <brk id="134" max="16383" man="1"/>
    <brk id="180" max="16383" man="1"/>
    <brk id="228" max="16383" man="1"/>
    <brk id="271" max="16383" man="1"/>
    <brk id="318" max="16383" man="1"/>
    <brk id="347" max="16383" man="1"/>
    <brk id="386" max="16383" man="1"/>
    <brk id="41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5B10-91A3-41DB-97BB-1997749A9726}">
  <sheetPr>
    <pageSetUpPr fitToPage="1"/>
  </sheetPr>
  <dimension ref="A1:F649"/>
  <sheetViews>
    <sheetView showGridLines="0" zoomScale="85" zoomScaleNormal="85" workbookViewId="0">
      <pane ySplit="5" topLeftCell="A6" activePane="bottomLeft" state="frozen"/>
      <selection pane="bottomLeft" activeCell="A2" sqref="A2"/>
    </sheetView>
  </sheetViews>
  <sheetFormatPr defaultRowHeight="15" x14ac:dyDescent="0.25"/>
  <cols>
    <col min="1" max="1" width="12.28515625" customWidth="1"/>
    <col min="2" max="2" width="39.42578125" customWidth="1"/>
    <col min="3" max="6" width="11.85546875" customWidth="1"/>
  </cols>
  <sheetData>
    <row r="1" spans="1:6" ht="21" x14ac:dyDescent="0.25">
      <c r="A1" s="56" t="s">
        <v>2623</v>
      </c>
      <c r="B1" s="57"/>
      <c r="C1" s="57"/>
      <c r="D1" s="57"/>
      <c r="E1" s="57"/>
    </row>
    <row r="2" spans="1:6" x14ac:dyDescent="0.25">
      <c r="A2" s="30" t="s">
        <v>72</v>
      </c>
    </row>
    <row r="3" spans="1:6" x14ac:dyDescent="0.25">
      <c r="A3" s="31" t="s">
        <v>73</v>
      </c>
    </row>
    <row r="4" spans="1:6" x14ac:dyDescent="0.25">
      <c r="A4" s="32" t="s">
        <v>2</v>
      </c>
      <c r="B4" s="33"/>
      <c r="C4" s="34"/>
      <c r="D4" s="32" t="s">
        <v>3</v>
      </c>
      <c r="E4" s="33"/>
      <c r="F4" s="34"/>
    </row>
    <row r="5" spans="1:6" ht="24" customHeight="1" x14ac:dyDescent="0.25"/>
    <row r="6" spans="1:6" ht="22.15" customHeight="1" thickBot="1" x14ac:dyDescent="0.3">
      <c r="A6" s="35" t="s">
        <v>74</v>
      </c>
      <c r="B6" s="36"/>
      <c r="C6" s="37"/>
      <c r="D6" s="37"/>
      <c r="E6" s="37"/>
      <c r="F6" s="38" t="s">
        <v>5</v>
      </c>
    </row>
    <row r="7" spans="1:6" ht="6" customHeight="1" thickTop="1" x14ac:dyDescent="0.25">
      <c r="A7" s="39"/>
      <c r="B7" s="40"/>
      <c r="C7" s="41"/>
      <c r="D7" s="41"/>
      <c r="E7" s="41"/>
      <c r="F7" s="41"/>
    </row>
    <row r="8" spans="1:6" ht="16.149999999999999" customHeight="1" x14ac:dyDescent="0.25">
      <c r="A8" s="42" t="s">
        <v>61</v>
      </c>
      <c r="B8" s="43"/>
      <c r="C8" s="44"/>
      <c r="D8" s="44"/>
      <c r="E8" s="44"/>
      <c r="F8" s="44"/>
    </row>
    <row r="9" spans="1:6" x14ac:dyDescent="0.25">
      <c r="A9" s="45" t="s">
        <v>7</v>
      </c>
      <c r="B9" s="45" t="s">
        <v>8</v>
      </c>
      <c r="C9" s="46" t="s">
        <v>75</v>
      </c>
      <c r="D9" s="46"/>
      <c r="E9" s="46"/>
      <c r="F9" s="46"/>
    </row>
    <row r="10" spans="1:6" x14ac:dyDescent="0.25">
      <c r="A10" s="47" t="str">
        <f>'[4]1'!A11</f>
        <v>MKN-1801</v>
      </c>
      <c r="B10" s="48" t="str">
        <f>'[4]1'!B11</f>
        <v xml:space="preserve"> Pick-up with tools traveling to wells, per KM. </v>
      </c>
      <c r="C10" s="49">
        <f>'[4]1'!C11</f>
        <v>3.9</v>
      </c>
      <c r="D10" s="49"/>
      <c r="E10" s="49"/>
      <c r="F10" s="49"/>
    </row>
    <row r="11" spans="1:6" x14ac:dyDescent="0.25">
      <c r="A11" s="50" t="str">
        <f>'[4]1'!A12</f>
        <v>MKN-1802</v>
      </c>
      <c r="B11" s="51" t="str">
        <f>'[4]1'!B12</f>
        <v xml:space="preserve"> Tool operator, per day or fraction</v>
      </c>
      <c r="C11" s="52">
        <f>'[4]1'!C12</f>
        <v>950</v>
      </c>
      <c r="D11" s="52"/>
      <c r="E11" s="52"/>
      <c r="F11" s="52"/>
    </row>
    <row r="12" spans="1:6" x14ac:dyDescent="0.25">
      <c r="A12" s="50" t="str">
        <f>'[4]1'!A13</f>
        <v>MKN-1803</v>
      </c>
      <c r="B12" s="51" t="str">
        <f>'[4]1'!B13</f>
        <v>Assistant Tool Operator, per day or fraction</v>
      </c>
      <c r="C12" s="52">
        <f>'[4]1'!C13</f>
        <v>800</v>
      </c>
      <c r="D12" s="52"/>
      <c r="E12" s="52"/>
      <c r="F12" s="52"/>
    </row>
    <row r="13" spans="1:6" x14ac:dyDescent="0.25">
      <c r="A13" s="50" t="str">
        <f>'[4]1'!A14</f>
        <v>MKN-1804</v>
      </c>
      <c r="B13" s="51" t="str">
        <f>'[4]1'!B14</f>
        <v xml:space="preserve">Supervisor or Engineer, per day or fraction </v>
      </c>
      <c r="C13" s="52">
        <f>'[4]1'!C14</f>
        <v>1050</v>
      </c>
      <c r="D13" s="52"/>
      <c r="E13" s="52"/>
      <c r="F13" s="52"/>
    </row>
    <row r="14" spans="1:6" x14ac:dyDescent="0.25">
      <c r="A14" s="50" t="str">
        <f>'[4]1'!A15</f>
        <v>MKN-1805</v>
      </c>
      <c r="B14" s="51" t="str">
        <f>'[4]1'!B15</f>
        <v>Helper, per day or fraction</v>
      </c>
      <c r="C14" s="52">
        <f>'[4]1'!C15</f>
        <v>500</v>
      </c>
      <c r="D14" s="52"/>
      <c r="E14" s="52"/>
      <c r="F14" s="52"/>
    </row>
    <row r="15" spans="1:6" ht="24" x14ac:dyDescent="0.25">
      <c r="A15" s="50" t="str">
        <f>'[4]1'!A16</f>
        <v>MKN-1806</v>
      </c>
      <c r="B15" s="51" t="str">
        <f>'[4]1'!B16</f>
        <v>STAND-BY             FRIST SIX HOURS after arriving on location</v>
      </c>
      <c r="C15" s="52" t="str">
        <f>'[4]1'!C16</f>
        <v>No charge</v>
      </c>
      <c r="D15" s="52"/>
      <c r="E15" s="52"/>
      <c r="F15" s="52"/>
    </row>
    <row r="16" spans="1:6" ht="36" x14ac:dyDescent="0.25">
      <c r="A16" s="50"/>
      <c r="B16" s="51" t="str">
        <f>'[4]1'!B17</f>
        <v>After the Frist Six 06) Hours, STAND-BY, PER HOUR OR FRACTION until job started per tool, until PERSONNEL CHARGES will be in addition.</v>
      </c>
      <c r="C16" s="52">
        <f>'[4]1'!C17</f>
        <v>90</v>
      </c>
      <c r="D16" s="52"/>
      <c r="E16" s="52"/>
      <c r="F16" s="52"/>
    </row>
    <row r="17" spans="1:6" ht="24" x14ac:dyDescent="0.25">
      <c r="A17" s="53" t="str">
        <f>'[4]1'!A18</f>
        <v>MKN-1807</v>
      </c>
      <c r="B17" s="54" t="str">
        <f>'[4]1'!B18</f>
        <v xml:space="preserve"> JOB CANCELITION When called to location and the job is not run,</v>
      </c>
      <c r="C17" s="55">
        <f>'[4]1'!C18</f>
        <v>1800</v>
      </c>
      <c r="D17" s="55"/>
      <c r="E17" s="55"/>
      <c r="F17" s="55"/>
    </row>
    <row r="18" spans="1:6" ht="25.9" customHeight="1" x14ac:dyDescent="0.25">
      <c r="A18" s="465" t="s">
        <v>76</v>
      </c>
      <c r="B18" s="465"/>
      <c r="C18" s="465"/>
      <c r="D18" s="465"/>
      <c r="E18" s="465"/>
      <c r="F18" s="465"/>
    </row>
    <row r="19" spans="1:6" ht="6" customHeight="1" x14ac:dyDescent="0.25">
      <c r="A19" s="39"/>
      <c r="B19" s="40"/>
      <c r="C19" s="41"/>
      <c r="D19" s="41"/>
      <c r="E19" s="41"/>
      <c r="F19" s="41"/>
    </row>
    <row r="20" spans="1:6" ht="16.149999999999999" customHeight="1" x14ac:dyDescent="0.25">
      <c r="A20" s="42" t="s">
        <v>77</v>
      </c>
      <c r="B20" s="43"/>
      <c r="C20" s="44"/>
      <c r="D20" s="44"/>
      <c r="E20" s="44"/>
      <c r="F20" s="44"/>
    </row>
    <row r="21" spans="1:6" x14ac:dyDescent="0.25">
      <c r="A21" s="45" t="s">
        <v>7</v>
      </c>
      <c r="B21" s="45" t="s">
        <v>8</v>
      </c>
      <c r="C21" s="46" t="s">
        <v>75</v>
      </c>
      <c r="D21" s="46"/>
      <c r="E21" s="46"/>
      <c r="F21" s="46"/>
    </row>
    <row r="22" spans="1:6" x14ac:dyDescent="0.25">
      <c r="A22" s="47" t="str">
        <f>'[4]1'!A26</f>
        <v>MKN-1808</v>
      </c>
      <c r="B22" s="48" t="str">
        <f>'[4]1'!B26</f>
        <v>"Size thru 7</v>
      </c>
      <c r="C22" s="49">
        <f>'[4]1'!C26</f>
        <v>2200</v>
      </c>
      <c r="D22" s="49"/>
      <c r="E22" s="49"/>
      <c r="F22" s="49"/>
    </row>
    <row r="23" spans="1:6" x14ac:dyDescent="0.25">
      <c r="A23" s="50" t="str">
        <f>'[4]1'!A27</f>
        <v>MKN-1809</v>
      </c>
      <c r="B23" s="51" t="str">
        <f>'[4]1'!B27</f>
        <v>AFTER FIRST DAY size 7"</v>
      </c>
      <c r="C23" s="52">
        <f>'[4]1'!C27</f>
        <v>800</v>
      </c>
      <c r="D23" s="52"/>
      <c r="E23" s="52"/>
      <c r="F23" s="52"/>
    </row>
    <row r="24" spans="1:6" x14ac:dyDescent="0.25">
      <c r="A24" s="50" t="str">
        <f>'[4]1'!A28</f>
        <v>MKN-1810</v>
      </c>
      <c r="B24" s="51" t="str">
        <f>'[4]1'!B28</f>
        <v xml:space="preserve"> "Size thru 95/8. </v>
      </c>
      <c r="C24" s="52">
        <f>'[4]1'!C28</f>
        <v>2900</v>
      </c>
      <c r="D24" s="52"/>
      <c r="E24" s="52"/>
      <c r="F24" s="52"/>
    </row>
    <row r="25" spans="1:6" x14ac:dyDescent="0.25">
      <c r="A25" s="50" t="str">
        <f>'[4]1'!A29</f>
        <v>MKN-1811</v>
      </c>
      <c r="B25" s="51" t="str">
        <f>'[4]1'!B29</f>
        <v>AFTER FIRST DAY size 9 5/8"</v>
      </c>
      <c r="C25" s="52">
        <f>'[4]1'!C29</f>
        <v>950</v>
      </c>
      <c r="D25" s="52"/>
      <c r="E25" s="52"/>
      <c r="F25" s="52"/>
    </row>
    <row r="26" spans="1:6" x14ac:dyDescent="0.25">
      <c r="A26" s="50" t="str">
        <f>'[4]1'!A30</f>
        <v>MKN-1812</v>
      </c>
      <c r="B26" s="51" t="str">
        <f>'[4]1'!B30</f>
        <v xml:space="preserve"> "Size 13 3/8.</v>
      </c>
      <c r="C26" s="52">
        <f>'[4]1'!C30</f>
        <v>5000</v>
      </c>
      <c r="D26" s="52"/>
      <c r="E26" s="52"/>
      <c r="F26" s="52"/>
    </row>
    <row r="27" spans="1:6" x14ac:dyDescent="0.25">
      <c r="A27" s="50" t="str">
        <f>'[4]1'!A31</f>
        <v>MKN-1813</v>
      </c>
      <c r="B27" s="51" t="str">
        <f>'[4]1'!B31</f>
        <v>AFTER FIRST DAY size 13 3/8"</v>
      </c>
      <c r="C27" s="52">
        <f>'[4]1'!C31</f>
        <v>1100</v>
      </c>
      <c r="D27" s="52"/>
      <c r="E27" s="52"/>
      <c r="F27" s="52"/>
    </row>
    <row r="28" spans="1:6" ht="24" x14ac:dyDescent="0.25">
      <c r="A28" s="50" t="str">
        <f>'[4]1'!A32</f>
        <v>MKN-1814</v>
      </c>
      <c r="B28" s="51" t="str">
        <f>'[4]1'!B32</f>
        <v>All sizes, above 15,000 ft. per 100 ft. or fraction add</v>
      </c>
      <c r="C28" s="52">
        <f>'[4]1'!C32</f>
        <v>75</v>
      </c>
      <c r="D28" s="52"/>
      <c r="E28" s="52"/>
      <c r="F28" s="52"/>
    </row>
    <row r="29" spans="1:6" ht="24" x14ac:dyDescent="0.25">
      <c r="A29" s="50" t="str">
        <f>'[4]1'!A33</f>
        <v>MKN-1815</v>
      </c>
      <c r="B29" s="51" t="str">
        <f>'[4]1'!B33</f>
        <v>ADDITIONAL ZONE. Each ADDITIONAL ZONE on same run in well, any depth:</v>
      </c>
      <c r="C29" s="52">
        <f>'[4]1'!C33</f>
        <v>800</v>
      </c>
      <c r="D29" s="52"/>
      <c r="E29" s="52"/>
      <c r="F29" s="52"/>
    </row>
    <row r="30" spans="1:6" x14ac:dyDescent="0.25">
      <c r="A30" s="50" t="str">
        <f>'[4]1'!A36</f>
        <v>MKN-1816</v>
      </c>
      <c r="B30" s="51" t="str">
        <f>'[4]1'!B36</f>
        <v>Unsuccessful run.</v>
      </c>
      <c r="C30" s="52">
        <f>'[4]1'!C36</f>
        <v>1100</v>
      </c>
      <c r="D30" s="52"/>
      <c r="E30" s="52"/>
      <c r="F30" s="52"/>
    </row>
    <row r="31" spans="1:6" x14ac:dyDescent="0.25">
      <c r="A31" s="53" t="str">
        <f>'[4]1'!A37</f>
        <v>MKN-1817</v>
      </c>
      <c r="B31" s="54" t="str">
        <f>'[4]1'!B37</f>
        <v xml:space="preserve"> Each Reset Packer For All Sizes</v>
      </c>
      <c r="C31" s="55">
        <f>'[4]1'!C37</f>
        <v>200</v>
      </c>
      <c r="D31" s="55"/>
      <c r="E31" s="55"/>
      <c r="F31" s="55"/>
    </row>
    <row r="32" spans="1:6" ht="25.9" customHeight="1" x14ac:dyDescent="0.25">
      <c r="A32" s="465" t="s">
        <v>78</v>
      </c>
      <c r="B32" s="465"/>
      <c r="C32" s="465"/>
      <c r="D32" s="465"/>
      <c r="E32" s="465"/>
      <c r="F32" s="465"/>
    </row>
    <row r="33" spans="1:6" ht="6" customHeight="1" x14ac:dyDescent="0.25">
      <c r="A33" s="39"/>
      <c r="B33" s="40"/>
      <c r="C33" s="41"/>
      <c r="D33" s="41"/>
      <c r="E33" s="41"/>
      <c r="F33" s="41"/>
    </row>
    <row r="34" spans="1:6" ht="16.149999999999999" customHeight="1" x14ac:dyDescent="0.25">
      <c r="A34" s="42" t="s">
        <v>79</v>
      </c>
      <c r="B34" s="43"/>
      <c r="C34" s="44"/>
      <c r="D34" s="44"/>
      <c r="E34" s="44"/>
      <c r="F34" s="44"/>
    </row>
    <row r="35" spans="1:6" x14ac:dyDescent="0.25">
      <c r="A35" s="45" t="s">
        <v>7</v>
      </c>
      <c r="B35" s="45" t="s">
        <v>8</v>
      </c>
      <c r="C35" s="46" t="s">
        <v>75</v>
      </c>
      <c r="D35" s="46"/>
      <c r="E35" s="46"/>
      <c r="F35" s="46"/>
    </row>
    <row r="36" spans="1:6" x14ac:dyDescent="0.25">
      <c r="A36" s="47" t="str">
        <f>'[4]2'!A10</f>
        <v>MKN-1818</v>
      </c>
      <c r="B36" s="48" t="str">
        <f>'[4]2'!B10</f>
        <v>Size thru 7" : first day</v>
      </c>
      <c r="C36" s="49">
        <f>'[4]2'!C10</f>
        <v>2200</v>
      </c>
      <c r="D36" s="49"/>
      <c r="E36" s="49"/>
      <c r="F36" s="49"/>
    </row>
    <row r="37" spans="1:6" x14ac:dyDescent="0.25">
      <c r="A37" s="50" t="str">
        <f>'[4]2'!A11</f>
        <v>MKN-1819</v>
      </c>
      <c r="B37" s="51" t="str">
        <f>'[4]2'!B11</f>
        <v>Size thru 7" : after first day</v>
      </c>
      <c r="C37" s="52">
        <f>'[4]2'!C11</f>
        <v>850</v>
      </c>
      <c r="D37" s="52"/>
      <c r="E37" s="52"/>
      <c r="F37" s="52"/>
    </row>
    <row r="38" spans="1:6" x14ac:dyDescent="0.25">
      <c r="A38" s="50" t="str">
        <f>'[4]2'!A12</f>
        <v>MKN-1820</v>
      </c>
      <c r="B38" s="51" t="str">
        <f>'[4]2'!B12</f>
        <v>Size thru 9 5/8" : first day</v>
      </c>
      <c r="C38" s="52">
        <f>'[4]2'!C12</f>
        <v>2900</v>
      </c>
      <c r="D38" s="52"/>
      <c r="E38" s="52"/>
      <c r="F38" s="52"/>
    </row>
    <row r="39" spans="1:6" x14ac:dyDescent="0.25">
      <c r="A39" s="50" t="str">
        <f>'[4]2'!A13</f>
        <v>MKN-1821</v>
      </c>
      <c r="B39" s="51" t="str">
        <f>'[4]2'!B13</f>
        <v>Size thru 9 5/8" : after first day</v>
      </c>
      <c r="C39" s="52">
        <f>'[4]2'!C13</f>
        <v>950</v>
      </c>
      <c r="D39" s="52"/>
      <c r="E39" s="52"/>
      <c r="F39" s="52"/>
    </row>
    <row r="40" spans="1:6" x14ac:dyDescent="0.25">
      <c r="A40" s="50" t="str">
        <f>'[4]2'!A14</f>
        <v>MKN-1822</v>
      </c>
      <c r="B40" s="51" t="str">
        <f>'[4]2'!B14</f>
        <v>Size 13 3/8" : first day</v>
      </c>
      <c r="C40" s="52">
        <f>'[4]2'!C14</f>
        <v>5000</v>
      </c>
      <c r="D40" s="52"/>
      <c r="E40" s="52"/>
      <c r="F40" s="52"/>
    </row>
    <row r="41" spans="1:6" x14ac:dyDescent="0.25">
      <c r="A41" s="50" t="str">
        <f>'[4]2'!A15</f>
        <v>MKN-1823</v>
      </c>
      <c r="B41" s="51" t="str">
        <f>'[4]2'!B15</f>
        <v>Size 13 3/8" : after first day</v>
      </c>
      <c r="C41" s="52">
        <f>'[4]2'!C15</f>
        <v>1100</v>
      </c>
      <c r="D41" s="52"/>
      <c r="E41" s="52"/>
      <c r="F41" s="52"/>
    </row>
    <row r="42" spans="1:6" ht="24" x14ac:dyDescent="0.25">
      <c r="A42" s="50" t="str">
        <f>'[4]2'!A16</f>
        <v>MKN-1824</v>
      </c>
      <c r="B42" s="51" t="str">
        <f>'[4]2'!B16</f>
        <v>All sizes above 15,000 ft. per 100 ft. or fraction: add</v>
      </c>
      <c r="C42" s="52">
        <f>'[4]2'!C16</f>
        <v>75</v>
      </c>
      <c r="D42" s="52"/>
      <c r="E42" s="52"/>
      <c r="F42" s="52"/>
    </row>
    <row r="43" spans="1:6" ht="24" x14ac:dyDescent="0.25">
      <c r="A43" s="50" t="str">
        <f>'[4]2'!A17</f>
        <v>MKN-1825</v>
      </c>
      <c r="B43" s="51" t="str">
        <f>'[4]2'!B17</f>
        <v>ADDITIONAL TIME. Each additional consecutive 8-hour or fraction</v>
      </c>
      <c r="C43" s="52">
        <f>'[4]2'!C17</f>
        <v>1100</v>
      </c>
      <c r="D43" s="52"/>
      <c r="E43" s="52"/>
      <c r="F43" s="52"/>
    </row>
    <row r="44" spans="1:6" x14ac:dyDescent="0.25">
      <c r="A44" s="50" t="str">
        <f>'[4]2'!A18</f>
        <v>MKN-1826</v>
      </c>
      <c r="B44" s="51" t="str">
        <f>'[4]2'!B18</f>
        <v>Frac sand (M.E.) 20–40 per pound</v>
      </c>
      <c r="C44" s="52">
        <f>'[4]2'!C18</f>
        <v>3.6</v>
      </c>
      <c r="D44" s="52"/>
      <c r="E44" s="52"/>
      <c r="F44" s="52"/>
    </row>
    <row r="45" spans="1:6" x14ac:dyDescent="0.25">
      <c r="A45" s="53" t="str">
        <f>'[4]2'!A19</f>
        <v>MKN-1827</v>
      </c>
      <c r="B45" s="54" t="str">
        <f>'[4]2'!B19</f>
        <v>Unsuccessful run</v>
      </c>
      <c r="C45" s="55">
        <f>'[4]2'!C19</f>
        <v>1100</v>
      </c>
      <c r="D45" s="55"/>
      <c r="E45" s="55"/>
      <c r="F45" s="55"/>
    </row>
    <row r="46" spans="1:6" ht="6" customHeight="1" x14ac:dyDescent="0.25">
      <c r="A46" s="39"/>
      <c r="B46" s="40"/>
      <c r="C46" s="41"/>
      <c r="D46" s="41"/>
      <c r="E46" s="41"/>
      <c r="F46" s="41"/>
    </row>
    <row r="47" spans="1:6" ht="16.149999999999999" customHeight="1" x14ac:dyDescent="0.25">
      <c r="A47" s="42" t="s">
        <v>80</v>
      </c>
      <c r="B47" s="43"/>
      <c r="C47" s="44"/>
      <c r="D47" s="44"/>
      <c r="E47" s="44"/>
      <c r="F47" s="44"/>
    </row>
    <row r="48" spans="1:6" x14ac:dyDescent="0.25">
      <c r="A48" s="45" t="s">
        <v>7</v>
      </c>
      <c r="B48" s="45" t="s">
        <v>8</v>
      </c>
      <c r="C48" s="46" t="s">
        <v>75</v>
      </c>
      <c r="D48" s="46"/>
      <c r="E48" s="46"/>
      <c r="F48" s="46"/>
    </row>
    <row r="49" spans="1:6" x14ac:dyDescent="0.25">
      <c r="A49" s="47" t="str">
        <f>'[4]2'!A27</f>
        <v>MKN-1828</v>
      </c>
      <c r="B49" s="48" t="str">
        <f>'[4]2'!B27</f>
        <v>Size thru 7" : first day</v>
      </c>
      <c r="C49" s="49">
        <f>'[4]2'!C27</f>
        <v>1900</v>
      </c>
      <c r="D49" s="49"/>
      <c r="E49" s="49"/>
      <c r="F49" s="49"/>
    </row>
    <row r="50" spans="1:6" x14ac:dyDescent="0.25">
      <c r="A50" s="50" t="str">
        <f>'[4]2'!A28</f>
        <v>MKN-1829</v>
      </c>
      <c r="B50" s="51" t="str">
        <f>'[4]2'!B28</f>
        <v>Size thru 7" : after first day</v>
      </c>
      <c r="C50" s="52">
        <f>'[4]2'!C28</f>
        <v>800</v>
      </c>
      <c r="D50" s="52"/>
      <c r="E50" s="52"/>
      <c r="F50" s="52"/>
    </row>
    <row r="51" spans="1:6" x14ac:dyDescent="0.25">
      <c r="A51" s="50" t="str">
        <f>'[4]2'!A29</f>
        <v>MKN-1830</v>
      </c>
      <c r="B51" s="51" t="str">
        <f>'[4]2'!B29</f>
        <v>Size thru 9 5/8" : first day</v>
      </c>
      <c r="C51" s="52">
        <f>'[4]2'!C29</f>
        <v>2700</v>
      </c>
      <c r="D51" s="52"/>
      <c r="E51" s="52"/>
      <c r="F51" s="52"/>
    </row>
    <row r="52" spans="1:6" x14ac:dyDescent="0.25">
      <c r="A52" s="50" t="str">
        <f>'[4]2'!A30</f>
        <v>MKN-1831</v>
      </c>
      <c r="B52" s="51" t="str">
        <f>'[4]2'!B30</f>
        <v>Size thru 9 5/8" : after first day</v>
      </c>
      <c r="C52" s="52">
        <f>'[4]2'!C30</f>
        <v>1000</v>
      </c>
      <c r="D52" s="52"/>
      <c r="E52" s="52"/>
      <c r="F52" s="52"/>
    </row>
    <row r="53" spans="1:6" x14ac:dyDescent="0.25">
      <c r="A53" s="50" t="str">
        <f>'[4]2'!A31</f>
        <v>MKN-1832</v>
      </c>
      <c r="B53" s="51" t="str">
        <f>'[4]2'!B31</f>
        <v>Size 13 3/8" : first day</v>
      </c>
      <c r="C53" s="52">
        <f>'[4]2'!C31</f>
        <v>4500</v>
      </c>
      <c r="D53" s="52"/>
      <c r="E53" s="52"/>
      <c r="F53" s="52"/>
    </row>
    <row r="54" spans="1:6" x14ac:dyDescent="0.25">
      <c r="A54" s="50" t="str">
        <f>'[4]2'!A32</f>
        <v>MKN-1833</v>
      </c>
      <c r="B54" s="51" t="str">
        <f>'[4]2'!B32</f>
        <v>Size 13 3/8" : after first day</v>
      </c>
      <c r="C54" s="52">
        <f>'[4]2'!C32</f>
        <v>1200</v>
      </c>
      <c r="D54" s="52"/>
      <c r="E54" s="52"/>
      <c r="F54" s="52"/>
    </row>
    <row r="55" spans="1:6" ht="24" x14ac:dyDescent="0.25">
      <c r="A55" s="50" t="str">
        <f>'[4]2'!A33</f>
        <v>MKN-1834</v>
      </c>
      <c r="B55" s="51" t="str">
        <f>'[4]2'!B33</f>
        <v>All sizes above 15,000 ft. per 100 ft. or fraction: add</v>
      </c>
      <c r="C55" s="52">
        <f>'[4]2'!C33</f>
        <v>70</v>
      </c>
      <c r="D55" s="52"/>
      <c r="E55" s="52"/>
      <c r="F55" s="52"/>
    </row>
    <row r="56" spans="1:6" ht="24" x14ac:dyDescent="0.25">
      <c r="A56" s="50" t="str">
        <f>'[4]2'!A34</f>
        <v>MKN-1835</v>
      </c>
      <c r="B56" s="51" t="str">
        <f>'[4]2'!B34</f>
        <v>ADDITIONAL TIME. Each additional consecutive 8-hour or fraction</v>
      </c>
      <c r="C56" s="52">
        <f>'[4]2'!C34</f>
        <v>800</v>
      </c>
      <c r="D56" s="52"/>
      <c r="E56" s="52"/>
      <c r="F56" s="52"/>
    </row>
    <row r="57" spans="1:6" x14ac:dyDescent="0.25">
      <c r="A57" s="50" t="str">
        <f>'[4]2'!A35</f>
        <v>MKN-1836</v>
      </c>
      <c r="B57" s="51" t="str">
        <f>'[4]2'!B35</f>
        <v>Each reset on ADDITIONAL ZONE</v>
      </c>
      <c r="C57" s="52">
        <f>'[4]2'!C35</f>
        <v>700</v>
      </c>
      <c r="D57" s="52"/>
      <c r="E57" s="52"/>
      <c r="F57" s="52"/>
    </row>
    <row r="58" spans="1:6" x14ac:dyDescent="0.25">
      <c r="A58" s="50" t="str">
        <f>'[4]2'!A36</f>
        <v>MKN-1837</v>
      </c>
      <c r="B58" s="51" t="str">
        <f>'[4]2'!B36</f>
        <v>Unsuccessful run</v>
      </c>
      <c r="C58" s="52">
        <f>'[4]2'!C36</f>
        <v>1300</v>
      </c>
      <c r="D58" s="52"/>
      <c r="E58" s="52"/>
      <c r="F58" s="52"/>
    </row>
    <row r="59" spans="1:6" x14ac:dyDescent="0.25">
      <c r="A59" s="53" t="str">
        <f>'[4]2'!A37</f>
        <v>MKN-1838</v>
      </c>
      <c r="B59" s="54" t="str">
        <f>'[4]2'!B37</f>
        <v>Crossover subs, per sub, per job</v>
      </c>
      <c r="C59" s="55">
        <f>'[4]2'!C37</f>
        <v>50</v>
      </c>
      <c r="D59" s="55"/>
      <c r="E59" s="55"/>
      <c r="F59" s="55"/>
    </row>
    <row r="60" spans="1:6" ht="6" customHeight="1" x14ac:dyDescent="0.25">
      <c r="A60" s="39"/>
      <c r="B60" s="40"/>
      <c r="C60" s="41"/>
      <c r="D60" s="41"/>
      <c r="E60" s="41"/>
      <c r="F60" s="41"/>
    </row>
    <row r="61" spans="1:6" ht="16.149999999999999" customHeight="1" x14ac:dyDescent="0.25">
      <c r="A61" s="42" t="s">
        <v>81</v>
      </c>
      <c r="B61" s="43"/>
      <c r="C61" s="44"/>
      <c r="D61" s="44"/>
      <c r="E61" s="44"/>
      <c r="F61" s="44"/>
    </row>
    <row r="62" spans="1:6" x14ac:dyDescent="0.25">
      <c r="A62" s="45" t="s">
        <v>7</v>
      </c>
      <c r="B62" s="45" t="s">
        <v>8</v>
      </c>
      <c r="C62" s="46" t="s">
        <v>75</v>
      </c>
      <c r="D62" s="46"/>
      <c r="E62" s="46"/>
      <c r="F62" s="46"/>
    </row>
    <row r="63" spans="1:6" x14ac:dyDescent="0.25">
      <c r="A63" s="47" t="str">
        <f>'[4]3'!A15</f>
        <v>MKN-1839</v>
      </c>
      <c r="B63" s="48" t="str">
        <f>'[4]3'!B15</f>
        <v>MECHANICAL SETTING TOOL, per run</v>
      </c>
      <c r="C63" s="49">
        <f>'[4]3'!C15</f>
        <v>2500</v>
      </c>
      <c r="D63" s="49"/>
      <c r="E63" s="49"/>
      <c r="F63" s="49"/>
    </row>
    <row r="64" spans="1:6" ht="24" x14ac:dyDescent="0.25">
      <c r="A64" s="50" t="str">
        <f>'[4]3'!A16</f>
        <v>MKN-1840</v>
      </c>
      <c r="B64" s="51" t="str">
        <f>'[4]3'!B16</f>
        <v>Wire line kit for cement Retainer/Bridge plug, Per run</v>
      </c>
      <c r="C64" s="52">
        <f>'[4]3'!C16</f>
        <v>300</v>
      </c>
      <c r="D64" s="52"/>
      <c r="E64" s="52"/>
      <c r="F64" s="52"/>
    </row>
    <row r="65" spans="1:6" x14ac:dyDescent="0.25">
      <c r="A65" s="50" t="str">
        <f>'[4]3'!A17</f>
        <v>MKN-1841</v>
      </c>
      <c r="B65" s="51" t="str">
        <f>'[4]3'!B17</f>
        <v>Tubing Stinger Coupling/ (SSA), Per job</v>
      </c>
      <c r="C65" s="52">
        <f>'[4]3'!C17</f>
        <v>600</v>
      </c>
      <c r="D65" s="52"/>
      <c r="E65" s="52"/>
      <c r="F65" s="52"/>
    </row>
    <row r="66" spans="1:6" x14ac:dyDescent="0.25">
      <c r="A66" s="53" t="str">
        <f>'[4]3'!A18</f>
        <v>MKN-1842</v>
      </c>
      <c r="B66" s="54" t="str">
        <f>'[4]3'!B18</f>
        <v>Tubing Centralizer ,Per job</v>
      </c>
      <c r="C66" s="55">
        <f>'[4]3'!C18</f>
        <v>300</v>
      </c>
      <c r="D66" s="55"/>
      <c r="E66" s="55"/>
      <c r="F66" s="55"/>
    </row>
    <row r="67" spans="1:6" ht="6" customHeight="1" x14ac:dyDescent="0.25">
      <c r="A67" s="39"/>
      <c r="B67" s="40"/>
      <c r="C67" s="41"/>
      <c r="D67" s="41"/>
      <c r="E67" s="41"/>
      <c r="F67" s="41"/>
    </row>
    <row r="68" spans="1:6" ht="16.149999999999999" customHeight="1" x14ac:dyDescent="0.25">
      <c r="A68" s="42" t="s">
        <v>82</v>
      </c>
      <c r="B68" s="43"/>
      <c r="C68" s="44"/>
      <c r="D68" s="44"/>
      <c r="E68" s="44"/>
      <c r="F68" s="44"/>
    </row>
    <row r="69" spans="1:6" x14ac:dyDescent="0.25">
      <c r="A69" s="45" t="s">
        <v>7</v>
      </c>
      <c r="B69" s="45" t="s">
        <v>8</v>
      </c>
      <c r="C69" s="46" t="s">
        <v>75</v>
      </c>
      <c r="D69" s="46"/>
      <c r="E69" s="46"/>
      <c r="F69" s="46"/>
    </row>
    <row r="70" spans="1:6" x14ac:dyDescent="0.25">
      <c r="A70" s="47" t="str">
        <f>'[4]3'!A23</f>
        <v>MKN-1843</v>
      </c>
      <c r="B70" s="48" t="str">
        <f>'[4]3'!B23</f>
        <v>4  1/2"</v>
      </c>
      <c r="C70" s="49">
        <f>'[4]3'!C23</f>
        <v>3500</v>
      </c>
      <c r="D70" s="49"/>
      <c r="E70" s="49"/>
      <c r="F70" s="49"/>
    </row>
    <row r="71" spans="1:6" x14ac:dyDescent="0.25">
      <c r="A71" s="50" t="str">
        <f>'[4]3'!A24</f>
        <v>MKN-1844</v>
      </c>
      <c r="B71" s="51" t="str">
        <f>'[4]3'!B24</f>
        <v>5"</v>
      </c>
      <c r="C71" s="52">
        <f>'[4]3'!C24</f>
        <v>3560</v>
      </c>
      <c r="D71" s="52"/>
      <c r="E71" s="52"/>
      <c r="F71" s="52"/>
    </row>
    <row r="72" spans="1:6" x14ac:dyDescent="0.25">
      <c r="A72" s="50" t="str">
        <f>'[4]3'!A25</f>
        <v>MKN-1845</v>
      </c>
      <c r="B72" s="51" t="str">
        <f>'[4]3'!B25</f>
        <v>5  1/2"</v>
      </c>
      <c r="C72" s="52">
        <f>'[4]3'!C25</f>
        <v>3560</v>
      </c>
      <c r="D72" s="52"/>
      <c r="E72" s="52"/>
      <c r="F72" s="52"/>
    </row>
    <row r="73" spans="1:6" x14ac:dyDescent="0.25">
      <c r="A73" s="50" t="str">
        <f>'[4]3'!A26</f>
        <v>MKN-1846</v>
      </c>
      <c r="B73" s="51" t="str">
        <f>'[4]3'!B26</f>
        <v>7"</v>
      </c>
      <c r="C73" s="52">
        <f>'[4]3'!C26</f>
        <v>3900</v>
      </c>
      <c r="D73" s="52"/>
      <c r="E73" s="52"/>
      <c r="F73" s="52"/>
    </row>
    <row r="74" spans="1:6" x14ac:dyDescent="0.25">
      <c r="A74" s="50" t="str">
        <f>'[4]3'!A27</f>
        <v>MKN-1847</v>
      </c>
      <c r="B74" s="51" t="str">
        <f>'[4]3'!B27</f>
        <v>9 5/8"</v>
      </c>
      <c r="C74" s="52">
        <f>'[4]3'!C27</f>
        <v>5200</v>
      </c>
      <c r="D74" s="52"/>
      <c r="E74" s="52"/>
      <c r="F74" s="52"/>
    </row>
    <row r="75" spans="1:6" x14ac:dyDescent="0.25">
      <c r="A75" s="53" t="str">
        <f>'[4]3'!A28</f>
        <v>MKN-1848</v>
      </c>
      <c r="B75" s="54" t="str">
        <f>'[4]3'!B28</f>
        <v>13  3/8"</v>
      </c>
      <c r="C75" s="55">
        <f>'[4]3'!C28</f>
        <v>8200</v>
      </c>
      <c r="D75" s="55"/>
      <c r="E75" s="55"/>
      <c r="F75" s="55"/>
    </row>
    <row r="76" spans="1:6" ht="6" customHeight="1" x14ac:dyDescent="0.25">
      <c r="A76" s="39"/>
      <c r="B76" s="40"/>
      <c r="C76" s="41"/>
      <c r="D76" s="41"/>
      <c r="E76" s="41"/>
      <c r="F76" s="41"/>
    </row>
    <row r="77" spans="1:6" ht="22.15" customHeight="1" thickBot="1" x14ac:dyDescent="0.3">
      <c r="A77" s="35" t="s">
        <v>83</v>
      </c>
      <c r="B77" s="36"/>
      <c r="C77" s="37"/>
      <c r="D77" s="37"/>
      <c r="E77" s="37"/>
      <c r="F77" s="38" t="s">
        <v>5</v>
      </c>
    </row>
    <row r="78" spans="1:6" ht="6" customHeight="1" thickTop="1" x14ac:dyDescent="0.25">
      <c r="A78" s="39"/>
      <c r="B78" s="40"/>
      <c r="C78" s="41"/>
      <c r="D78" s="41"/>
      <c r="E78" s="41"/>
      <c r="F78" s="41"/>
    </row>
    <row r="79" spans="1:6" ht="16.149999999999999" customHeight="1" x14ac:dyDescent="0.25">
      <c r="A79" s="42" t="s">
        <v>84</v>
      </c>
      <c r="B79" s="43"/>
      <c r="C79" s="44"/>
      <c r="D79" s="44"/>
      <c r="E79" s="44"/>
      <c r="F79" s="44"/>
    </row>
    <row r="80" spans="1:6" x14ac:dyDescent="0.25">
      <c r="A80" s="45" t="s">
        <v>7</v>
      </c>
      <c r="B80" s="45" t="s">
        <v>8</v>
      </c>
      <c r="C80" s="46" t="s">
        <v>85</v>
      </c>
      <c r="D80" s="46" t="s">
        <v>86</v>
      </c>
      <c r="E80" s="46" t="s">
        <v>87</v>
      </c>
      <c r="F80" s="46"/>
    </row>
    <row r="81" spans="1:6" x14ac:dyDescent="0.25">
      <c r="A81" s="47" t="str">
        <f>'[4]4'!A7</f>
        <v>MKN-1849</v>
      </c>
      <c r="B81" s="48" t="str">
        <f>'[4]4'!B7</f>
        <v>STABILIZER Thru 6 1/8"</v>
      </c>
      <c r="C81" s="49">
        <f>'[4]4'!C7</f>
        <v>534</v>
      </c>
      <c r="D81" s="49">
        <f>'[4]4'!D7</f>
        <v>200</v>
      </c>
      <c r="E81" s="49">
        <f>'[4]4'!E7</f>
        <v>110</v>
      </c>
      <c r="F81" s="49"/>
    </row>
    <row r="82" spans="1:6" x14ac:dyDescent="0.25">
      <c r="A82" s="50" t="str">
        <f>'[4]4'!A8</f>
        <v>MKN-1850</v>
      </c>
      <c r="B82" s="51" t="str">
        <f>'[4]4'!B8</f>
        <v>STABILIZER Thru 8 5/8"</v>
      </c>
      <c r="C82" s="52">
        <f>'[4]4'!C8</f>
        <v>607</v>
      </c>
      <c r="D82" s="52">
        <f>'[4]4'!D8</f>
        <v>250</v>
      </c>
      <c r="E82" s="52">
        <f>'[4]4'!E8</f>
        <v>122</v>
      </c>
      <c r="F82" s="52"/>
    </row>
    <row r="83" spans="1:6" x14ac:dyDescent="0.25">
      <c r="A83" s="50" t="str">
        <f>'[4]4'!A9</f>
        <v>MKN-1851</v>
      </c>
      <c r="B83" s="51" t="str">
        <f>'[4]4'!B9</f>
        <v>STABILIZER Thru 12 1/4"</v>
      </c>
      <c r="C83" s="52">
        <f>'[4]4'!C9</f>
        <v>662</v>
      </c>
      <c r="D83" s="52">
        <f>'[4]4'!D9</f>
        <v>300</v>
      </c>
      <c r="E83" s="52">
        <f>'[4]4'!E9</f>
        <v>133</v>
      </c>
      <c r="F83" s="52"/>
    </row>
    <row r="84" spans="1:6" x14ac:dyDescent="0.25">
      <c r="A84" s="50" t="str">
        <f>'[4]4'!A10</f>
        <v>MKN-1852</v>
      </c>
      <c r="B84" s="51" t="str">
        <f>'[4]4'!B10</f>
        <v>STABILIZER Thru 17 1/2"</v>
      </c>
      <c r="C84" s="52">
        <f>'[4]4'!C10</f>
        <v>772</v>
      </c>
      <c r="D84" s="52">
        <f>'[4]4'!D10</f>
        <v>350</v>
      </c>
      <c r="E84" s="52">
        <f>'[4]4'!E10</f>
        <v>166</v>
      </c>
      <c r="F84" s="52"/>
    </row>
    <row r="85" spans="1:6" x14ac:dyDescent="0.25">
      <c r="A85" s="50" t="str">
        <f>'[4]4'!A11</f>
        <v>MKN-1853</v>
      </c>
      <c r="B85" s="51" t="str">
        <f>'[4]4'!B11</f>
        <v>HYDROLIC DRILLING JAR 4 3/4" OD &amp; UNDER</v>
      </c>
      <c r="C85" s="52">
        <f>'[4]4'!C11</f>
        <v>1150</v>
      </c>
      <c r="D85" s="52">
        <f>'[4]4'!D11</f>
        <v>900</v>
      </c>
      <c r="E85" s="52">
        <f>'[4]4'!E11</f>
        <v>265</v>
      </c>
      <c r="F85" s="52"/>
    </row>
    <row r="86" spans="1:6" x14ac:dyDescent="0.25">
      <c r="A86" s="50" t="str">
        <f>'[4]4'!A12</f>
        <v>MKN-1854</v>
      </c>
      <c r="B86" s="51" t="str">
        <f>'[4]4'!B12</f>
        <v>HYDROLIC DRILLING JAR THRU 5 3/4" OD</v>
      </c>
      <c r="C86" s="52">
        <f>'[4]4'!C12</f>
        <v>1600</v>
      </c>
      <c r="D86" s="52">
        <f>'[4]4'!D12</f>
        <v>1000</v>
      </c>
      <c r="E86" s="52">
        <f>'[4]4'!E12</f>
        <v>420</v>
      </c>
      <c r="F86" s="52"/>
    </row>
    <row r="87" spans="1:6" x14ac:dyDescent="0.25">
      <c r="A87" s="50" t="str">
        <f>'[4]4'!A13</f>
        <v>MKN-1855</v>
      </c>
      <c r="B87" s="51" t="str">
        <f>'[4]4'!B13</f>
        <v>HYDROLIC DRILLING JAR THRU 6 1/4" OD</v>
      </c>
      <c r="C87" s="52">
        <f>'[4]4'!C13</f>
        <v>1800</v>
      </c>
      <c r="D87" s="52">
        <f>'[4]4'!D13</f>
        <v>1200</v>
      </c>
      <c r="E87" s="52">
        <f>'[4]4'!E13</f>
        <v>450</v>
      </c>
      <c r="F87" s="52"/>
    </row>
    <row r="88" spans="1:6" x14ac:dyDescent="0.25">
      <c r="A88" s="50" t="str">
        <f>'[4]4'!A14</f>
        <v>MKN-1856</v>
      </c>
      <c r="B88" s="51" t="str">
        <f>'[4]4'!B14</f>
        <v>HYDROLIC DRILLING JAR THRU 7 3/4" OD</v>
      </c>
      <c r="C88" s="52">
        <f>'[4]4'!C14</f>
        <v>2000</v>
      </c>
      <c r="D88" s="52">
        <f>'[4]4'!D14</f>
        <v>1300</v>
      </c>
      <c r="E88" s="52">
        <f>'[4]4'!E14</f>
        <v>520</v>
      </c>
      <c r="F88" s="52"/>
    </row>
    <row r="89" spans="1:6" x14ac:dyDescent="0.25">
      <c r="A89" s="50" t="str">
        <f>'[4]4'!A15</f>
        <v>MKN-1857</v>
      </c>
      <c r="B89" s="51" t="str">
        <f>'[4]4'!B15</f>
        <v>CASING SCRAPER 5" &amp; 5 1/2"</v>
      </c>
      <c r="C89" s="52">
        <f>'[4]4'!C15</f>
        <v>400</v>
      </c>
      <c r="D89" s="52">
        <f>'[4]4'!D15</f>
        <v>200</v>
      </c>
      <c r="E89" s="52">
        <f>'[4]4'!E15</f>
        <v>120</v>
      </c>
      <c r="F89" s="52"/>
    </row>
    <row r="90" spans="1:6" x14ac:dyDescent="0.25">
      <c r="A90" s="50" t="str">
        <f>'[4]4'!A16</f>
        <v>MKN-1858</v>
      </c>
      <c r="B90" s="51" t="str">
        <f>'[4]4'!B16</f>
        <v>CASING SCRAPER 7"</v>
      </c>
      <c r="C90" s="52">
        <f>'[4]4'!C16</f>
        <v>450</v>
      </c>
      <c r="D90" s="52">
        <f>'[4]4'!D16</f>
        <v>220</v>
      </c>
      <c r="E90" s="52">
        <f>'[4]4'!E16</f>
        <v>140</v>
      </c>
      <c r="F90" s="52"/>
    </row>
    <row r="91" spans="1:6" x14ac:dyDescent="0.25">
      <c r="A91" s="53" t="str">
        <f>'[4]4'!A17</f>
        <v>MKN-1859</v>
      </c>
      <c r="B91" s="54" t="str">
        <f>'[4]4'!B17</f>
        <v>CASING SCRAPER 9 5/8"</v>
      </c>
      <c r="C91" s="55">
        <f>'[4]4'!C17</f>
        <v>550</v>
      </c>
      <c r="D91" s="55">
        <f>'[4]4'!D17</f>
        <v>250</v>
      </c>
      <c r="E91" s="55">
        <f>'[4]4'!E17</f>
        <v>160</v>
      </c>
      <c r="F91" s="55"/>
    </row>
    <row r="92" spans="1:6" ht="6" customHeight="1" x14ac:dyDescent="0.25">
      <c r="A92" s="39"/>
      <c r="B92" s="40"/>
      <c r="C92" s="41"/>
      <c r="D92" s="41"/>
      <c r="E92" s="41"/>
      <c r="F92" s="41"/>
    </row>
    <row r="93" spans="1:6" ht="16.149999999999999" customHeight="1" x14ac:dyDescent="0.25">
      <c r="A93" s="42" t="s">
        <v>88</v>
      </c>
      <c r="B93" s="43"/>
      <c r="C93" s="44"/>
      <c r="D93" s="44"/>
      <c r="E93" s="44"/>
      <c r="F93" s="44"/>
    </row>
    <row r="94" spans="1:6" x14ac:dyDescent="0.25">
      <c r="A94" s="45" t="s">
        <v>7</v>
      </c>
      <c r="B94" s="45" t="s">
        <v>8</v>
      </c>
      <c r="C94" s="46" t="s">
        <v>9</v>
      </c>
      <c r="D94" s="46" t="s">
        <v>75</v>
      </c>
      <c r="E94" s="46"/>
      <c r="F94" s="46"/>
    </row>
    <row r="95" spans="1:6" x14ac:dyDescent="0.25">
      <c r="A95" s="47" t="str">
        <f>'[4]5'!A6</f>
        <v>MKN-1860</v>
      </c>
      <c r="B95" s="48" t="str">
        <f>'[4]5'!B6</f>
        <v>SERVICE SUPERVISOR FILTRATION UNIT</v>
      </c>
      <c r="C95" s="49" t="str">
        <f>'[4]5'!C6</f>
        <v>PER DAY</v>
      </c>
      <c r="D95" s="49">
        <f>'[4]5'!D6</f>
        <v>1000</v>
      </c>
      <c r="E95" s="49"/>
      <c r="F95" s="49"/>
    </row>
    <row r="96" spans="1:6" x14ac:dyDescent="0.25">
      <c r="A96" s="50" t="str">
        <f>'[4]5'!A7</f>
        <v>MKN-1861</v>
      </c>
      <c r="B96" s="51" t="str">
        <f>'[4]5'!B7</f>
        <v>HELPER</v>
      </c>
      <c r="C96" s="52" t="str">
        <f>'[4]5'!C7</f>
        <v>PER DAY</v>
      </c>
      <c r="D96" s="52">
        <f>'[4]5'!D7</f>
        <v>500</v>
      </c>
      <c r="E96" s="52"/>
      <c r="F96" s="52"/>
    </row>
    <row r="97" spans="1:6" x14ac:dyDescent="0.25">
      <c r="A97" s="50" t="str">
        <f>'[4]5'!A8</f>
        <v>MKN-1862</v>
      </c>
      <c r="B97" s="51" t="str">
        <f>'[4]5'!B8</f>
        <v>FILTRATION UNIT AND C-PUMP TRANSPORT</v>
      </c>
      <c r="C97" s="52" t="str">
        <f>'[4]5'!C8</f>
        <v>PER DAY</v>
      </c>
      <c r="D97" s="52">
        <f>'[4]5'!D8</f>
        <v>400</v>
      </c>
      <c r="E97" s="52"/>
      <c r="F97" s="52"/>
    </row>
    <row r="98" spans="1:6" x14ac:dyDescent="0.25">
      <c r="A98" s="50" t="str">
        <f>'[4]5'!A9</f>
        <v>MKN-1863</v>
      </c>
      <c r="B98" s="51" t="str">
        <f>'[4]5'!B9</f>
        <v>FRAC TANK</v>
      </c>
      <c r="C98" s="52" t="str">
        <f>'[4]5'!C9</f>
        <v>PER JOB</v>
      </c>
      <c r="D98" s="52">
        <f>'[4]5'!D9</f>
        <v>900</v>
      </c>
      <c r="E98" s="52"/>
      <c r="F98" s="52"/>
    </row>
    <row r="99" spans="1:6" x14ac:dyDescent="0.25">
      <c r="A99" s="50" t="str">
        <f>'[4]5'!A10</f>
        <v>MKN-1864</v>
      </c>
      <c r="B99" s="51" t="str">
        <f>'[4]5'!B10</f>
        <v>CENTER FUGAL PUMP</v>
      </c>
      <c r="C99" s="52" t="str">
        <f>'[4]5'!C10</f>
        <v>PER JOB</v>
      </c>
      <c r="D99" s="52">
        <f>'[4]5'!D10</f>
        <v>900</v>
      </c>
      <c r="E99" s="52"/>
      <c r="F99" s="52"/>
    </row>
    <row r="100" spans="1:6" x14ac:dyDescent="0.25">
      <c r="A100" s="50" t="str">
        <f>'[4]5'!A11</f>
        <v>MKN-1865</v>
      </c>
      <c r="B100" s="51" t="str">
        <f>'[4]5'!B11</f>
        <v>FILTRATION UNIT</v>
      </c>
      <c r="C100" s="52" t="str">
        <f>'[4]5'!C11</f>
        <v>PER DAY</v>
      </c>
      <c r="D100" s="52">
        <f>'[4]5'!D11</f>
        <v>300</v>
      </c>
      <c r="E100" s="52"/>
      <c r="F100" s="52"/>
    </row>
    <row r="101" spans="1:6" x14ac:dyDescent="0.25">
      <c r="A101" s="53" t="str">
        <f>'[4]5'!A12</f>
        <v>MKN-1866</v>
      </c>
      <c r="B101" s="54" t="str">
        <f>'[4]5'!B12</f>
        <v>FILTRATION CATRIDGES</v>
      </c>
      <c r="C101" s="55" t="str">
        <f>'[4]5'!C12</f>
        <v>PER EACH</v>
      </c>
      <c r="D101" s="55">
        <f>'[4]5'!D12</f>
        <v>20</v>
      </c>
      <c r="E101" s="55"/>
      <c r="F101" s="55"/>
    </row>
    <row r="102" spans="1:6" ht="6" customHeight="1" x14ac:dyDescent="0.25">
      <c r="A102" s="39"/>
      <c r="B102" s="40"/>
      <c r="C102" s="41"/>
      <c r="D102" s="41"/>
      <c r="E102" s="41"/>
      <c r="F102" s="41"/>
    </row>
    <row r="103" spans="1:6" ht="22.15" customHeight="1" thickBot="1" x14ac:dyDescent="0.3">
      <c r="A103" s="35" t="s">
        <v>89</v>
      </c>
      <c r="B103" s="36"/>
      <c r="C103" s="37"/>
      <c r="D103" s="37"/>
      <c r="E103" s="37"/>
      <c r="F103" s="38" t="s">
        <v>5</v>
      </c>
    </row>
    <row r="104" spans="1:6" ht="6" customHeight="1" thickTop="1" x14ac:dyDescent="0.25">
      <c r="A104" s="39"/>
      <c r="B104" s="40"/>
      <c r="C104" s="41"/>
      <c r="D104" s="41"/>
      <c r="E104" s="41"/>
      <c r="F104" s="41"/>
    </row>
    <row r="105" spans="1:6" ht="16.149999999999999" customHeight="1" x14ac:dyDescent="0.25">
      <c r="A105" s="42" t="s">
        <v>90</v>
      </c>
      <c r="B105" s="43"/>
      <c r="C105" s="44"/>
      <c r="D105" s="44"/>
      <c r="E105" s="44"/>
      <c r="F105" s="44"/>
    </row>
    <row r="106" spans="1:6" x14ac:dyDescent="0.25">
      <c r="A106" s="45" t="s">
        <v>7</v>
      </c>
      <c r="B106" s="45" t="s">
        <v>8</v>
      </c>
      <c r="C106" s="46" t="s">
        <v>9</v>
      </c>
      <c r="D106" s="46" t="s">
        <v>75</v>
      </c>
      <c r="E106" s="46"/>
      <c r="F106" s="46"/>
    </row>
    <row r="107" spans="1:6" x14ac:dyDescent="0.25">
      <c r="A107" s="47" t="str">
        <f>'[4]6'!A6</f>
        <v>MKN-1867</v>
      </c>
      <c r="B107" s="48" t="str">
        <f>'[4]6'!B6</f>
        <v>500 HP PUMP, rental or standby per pump</v>
      </c>
      <c r="C107" s="49" t="str">
        <f>'[4]6'!C6</f>
        <v>DAY</v>
      </c>
      <c r="D107" s="49">
        <f>'[4]6'!D6</f>
        <v>2000</v>
      </c>
      <c r="E107" s="49"/>
      <c r="F107" s="49"/>
    </row>
    <row r="108" spans="1:6" ht="24" x14ac:dyDescent="0.25">
      <c r="A108" s="50" t="str">
        <f>'[4]6'!A7</f>
        <v>MKN-1868</v>
      </c>
      <c r="B108" s="51" t="str">
        <f>'[4]6'!B7</f>
        <v>500 HP PUMP, 0 to 5,000 psi, operating, first 4 hours</v>
      </c>
      <c r="C108" s="52" t="str">
        <f>'[4]6'!C7</f>
        <v>4 HRS</v>
      </c>
      <c r="D108" s="52">
        <f>'[4]6'!D7</f>
        <v>4500</v>
      </c>
      <c r="E108" s="52"/>
      <c r="F108" s="52"/>
    </row>
    <row r="109" spans="1:6" ht="24" x14ac:dyDescent="0.25">
      <c r="A109" s="50" t="str">
        <f>'[4]6'!A8</f>
        <v>MKN-1869</v>
      </c>
      <c r="B109" s="51" t="str">
        <f>'[4]6'!B8</f>
        <v>500 HP PUMP, 0 to 5,000 psi, operating, additional hours</v>
      </c>
      <c r="C109" s="52" t="str">
        <f>'[4]6'!C8</f>
        <v>HOUR</v>
      </c>
      <c r="D109" s="52">
        <f>'[4]6'!D8</f>
        <v>600</v>
      </c>
      <c r="E109" s="52"/>
      <c r="F109" s="52"/>
    </row>
    <row r="110" spans="1:6" ht="24" x14ac:dyDescent="0.25">
      <c r="A110" s="50" t="str">
        <f>'[4]6'!A9</f>
        <v>MKN-1870</v>
      </c>
      <c r="B110" s="51" t="str">
        <f>'[4]6'!B9</f>
        <v>500 HP PUMP, 5,001 to 10,000 psi, operating, first 4 hours</v>
      </c>
      <c r="C110" s="52" t="str">
        <f>'[4]6'!C9</f>
        <v>4 HRS</v>
      </c>
      <c r="D110" s="52">
        <f>'[4]6'!D9</f>
        <v>5225</v>
      </c>
      <c r="E110" s="52"/>
      <c r="F110" s="52"/>
    </row>
    <row r="111" spans="1:6" ht="24" x14ac:dyDescent="0.25">
      <c r="A111" s="53" t="str">
        <f>'[4]6'!A10</f>
        <v>MKN-1871</v>
      </c>
      <c r="B111" s="54" t="str">
        <f>'[4]6'!B10</f>
        <v>500 HP PUMP, 5,001 to 10,000 psi, operating, additional hours</v>
      </c>
      <c r="C111" s="55" t="str">
        <f>'[4]6'!C10</f>
        <v>HOUR</v>
      </c>
      <c r="D111" s="55">
        <f>'[4]6'!D10</f>
        <v>1100</v>
      </c>
      <c r="E111" s="55"/>
      <c r="F111" s="55"/>
    </row>
    <row r="112" spans="1:6" ht="6" customHeight="1" x14ac:dyDescent="0.25">
      <c r="A112" s="39"/>
      <c r="B112" s="40"/>
      <c r="C112" s="41"/>
      <c r="D112" s="41"/>
      <c r="E112" s="41"/>
      <c r="F112" s="41"/>
    </row>
    <row r="113" spans="1:6" ht="16.149999999999999" customHeight="1" x14ac:dyDescent="0.25">
      <c r="A113" s="42" t="s">
        <v>91</v>
      </c>
      <c r="B113" s="43"/>
      <c r="C113" s="44"/>
      <c r="D113" s="44"/>
      <c r="E113" s="44"/>
      <c r="F113" s="44"/>
    </row>
    <row r="114" spans="1:6" x14ac:dyDescent="0.25">
      <c r="A114" s="45" t="s">
        <v>7</v>
      </c>
      <c r="B114" s="45" t="s">
        <v>8</v>
      </c>
      <c r="C114" s="46" t="s">
        <v>9</v>
      </c>
      <c r="D114" s="46" t="s">
        <v>75</v>
      </c>
      <c r="E114" s="46"/>
      <c r="F114" s="46"/>
    </row>
    <row r="115" spans="1:6" x14ac:dyDescent="0.25">
      <c r="A115" s="47" t="str">
        <f>'[4]6'!A14</f>
        <v>MKN-1872</v>
      </c>
      <c r="B115" s="48" t="str">
        <f>'[4]6'!B14</f>
        <v>1000 HP PUMP, rental or standby per pump</v>
      </c>
      <c r="C115" s="49" t="str">
        <f>'[4]6'!C14</f>
        <v>DAY</v>
      </c>
      <c r="D115" s="49">
        <f>'[4]6'!D14</f>
        <v>2475</v>
      </c>
      <c r="E115" s="49"/>
      <c r="F115" s="49"/>
    </row>
    <row r="116" spans="1:6" ht="24" x14ac:dyDescent="0.25">
      <c r="A116" s="50" t="str">
        <f>'[4]6'!A15</f>
        <v>MKN-1873</v>
      </c>
      <c r="B116" s="51" t="str">
        <f>'[4]6'!B15</f>
        <v>1000 HP PUMP, 0 to 5,000 psi, operating, first 4 hours</v>
      </c>
      <c r="C116" s="52" t="str">
        <f>'[4]6'!C15</f>
        <v>4 HRS</v>
      </c>
      <c r="D116" s="52">
        <f>'[4]6'!D15</f>
        <v>5050</v>
      </c>
      <c r="E116" s="52"/>
      <c r="F116" s="52"/>
    </row>
    <row r="117" spans="1:6" ht="24" x14ac:dyDescent="0.25">
      <c r="A117" s="50" t="str">
        <f>'[4]6'!A16</f>
        <v>MKN-1874</v>
      </c>
      <c r="B117" s="51" t="str">
        <f>'[4]6'!B16</f>
        <v>1000 HP PUMP, 0 to 5,000 psi, operating, additional hours</v>
      </c>
      <c r="C117" s="52" t="str">
        <f>'[4]6'!C16</f>
        <v>HOUR</v>
      </c>
      <c r="D117" s="52">
        <f>'[4]6'!D16</f>
        <v>1225</v>
      </c>
      <c r="E117" s="52"/>
      <c r="F117" s="52"/>
    </row>
    <row r="118" spans="1:6" ht="24" x14ac:dyDescent="0.25">
      <c r="A118" s="50" t="str">
        <f>'[4]6'!A17</f>
        <v>MKN-1875</v>
      </c>
      <c r="B118" s="51" t="str">
        <f>'[4]6'!B17</f>
        <v>1000 HP PUMP, 5,001 to 10,000 psi, operating, first 4 hours</v>
      </c>
      <c r="C118" s="52" t="str">
        <f>'[4]6'!C17</f>
        <v>4 HRS</v>
      </c>
      <c r="D118" s="52">
        <f>'[4]6'!D17</f>
        <v>10120</v>
      </c>
      <c r="E118" s="52"/>
      <c r="F118" s="52"/>
    </row>
    <row r="119" spans="1:6" ht="24" x14ac:dyDescent="0.25">
      <c r="A119" s="53" t="str">
        <f>'[4]6'!A18</f>
        <v>MKN-1876</v>
      </c>
      <c r="B119" s="54" t="str">
        <f>'[4]6'!B18</f>
        <v>1000 HP PUMP, 5,001 to 10,000 psi, operating, additional hours</v>
      </c>
      <c r="C119" s="55" t="str">
        <f>'[4]6'!C18</f>
        <v>HOUR</v>
      </c>
      <c r="D119" s="55">
        <f>'[4]6'!D18</f>
        <v>2470</v>
      </c>
      <c r="E119" s="55"/>
      <c r="F119" s="55"/>
    </row>
    <row r="120" spans="1:6" ht="6" customHeight="1" x14ac:dyDescent="0.25">
      <c r="A120" s="39"/>
      <c r="B120" s="40"/>
      <c r="C120" s="41"/>
      <c r="D120" s="41"/>
      <c r="E120" s="41"/>
      <c r="F120" s="41"/>
    </row>
    <row r="121" spans="1:6" ht="16.149999999999999" customHeight="1" x14ac:dyDescent="0.25">
      <c r="A121" s="42" t="s">
        <v>92</v>
      </c>
      <c r="B121" s="43"/>
      <c r="C121" s="44"/>
      <c r="D121" s="44"/>
      <c r="E121" s="44"/>
      <c r="F121" s="44"/>
    </row>
    <row r="122" spans="1:6" x14ac:dyDescent="0.25">
      <c r="A122" s="45" t="s">
        <v>7</v>
      </c>
      <c r="B122" s="45" t="s">
        <v>8</v>
      </c>
      <c r="C122" s="46" t="s">
        <v>9</v>
      </c>
      <c r="D122" s="46" t="s">
        <v>75</v>
      </c>
      <c r="E122" s="46"/>
      <c r="F122" s="46"/>
    </row>
    <row r="123" spans="1:6" x14ac:dyDescent="0.25">
      <c r="A123" s="47" t="str">
        <f>'[4]6'!A22</f>
        <v>MKN-1877</v>
      </c>
      <c r="B123" s="48" t="str">
        <f>'[4]6'!B22</f>
        <v>2,000 HP PUMP, rental or standby per pump</v>
      </c>
      <c r="C123" s="49" t="str">
        <f>'[4]6'!C22</f>
        <v>DAY</v>
      </c>
      <c r="D123" s="49">
        <f>'[4]6'!D22</f>
        <v>4825</v>
      </c>
      <c r="E123" s="49"/>
      <c r="F123" s="49"/>
    </row>
    <row r="124" spans="1:6" ht="24" x14ac:dyDescent="0.25">
      <c r="A124" s="50" t="str">
        <f>'[4]6'!A23</f>
        <v>MKN-1878</v>
      </c>
      <c r="B124" s="51" t="str">
        <f>'[4]6'!B23</f>
        <v>2,000 HP PUMP, 0 to 5,000 psi, operating, first 4 hours</v>
      </c>
      <c r="C124" s="52" t="str">
        <f>'[4]6'!C23</f>
        <v>4 HRS</v>
      </c>
      <c r="D124" s="52">
        <f>'[4]6'!D23</f>
        <v>9880</v>
      </c>
      <c r="E124" s="52"/>
      <c r="F124" s="52"/>
    </row>
    <row r="125" spans="1:6" ht="24" x14ac:dyDescent="0.25">
      <c r="A125" s="50" t="str">
        <f>'[4]6'!A24</f>
        <v>MKN-1879</v>
      </c>
      <c r="B125" s="51" t="str">
        <f>'[4]6'!B24</f>
        <v>2,000 HP PUMP, 0 to 5,000 psi, operating, additional hours</v>
      </c>
      <c r="C125" s="52" t="str">
        <f>'[4]6'!C24</f>
        <v>HOUR</v>
      </c>
      <c r="D125" s="52">
        <f>'[4]6'!D24</f>
        <v>2581</v>
      </c>
      <c r="E125" s="52"/>
      <c r="F125" s="52"/>
    </row>
    <row r="126" spans="1:6" ht="24" x14ac:dyDescent="0.25">
      <c r="A126" s="50" t="str">
        <f>'[4]6'!A25</f>
        <v>MKN-1880</v>
      </c>
      <c r="B126" s="51" t="str">
        <f>'[4]6'!B25</f>
        <v>2,000 HP PUMP, 5,001 to 7,500 psi, operating, first 4 hours</v>
      </c>
      <c r="C126" s="52" t="str">
        <f>'[4]6'!C25</f>
        <v>4 HRS</v>
      </c>
      <c r="D126" s="52">
        <f>'[4]6'!D25</f>
        <v>14820</v>
      </c>
      <c r="E126" s="52"/>
      <c r="F126" s="52"/>
    </row>
    <row r="127" spans="1:6" ht="24" x14ac:dyDescent="0.25">
      <c r="A127" s="50" t="str">
        <f>'[4]6'!A26</f>
        <v>MKN-1881</v>
      </c>
      <c r="B127" s="51" t="str">
        <f>'[4]6'!B26</f>
        <v>2,000 HP PUMP, 5,001 to 7,500 psi, operating, additional hours</v>
      </c>
      <c r="C127" s="52" t="str">
        <f>'[4]6'!C26</f>
        <v>HOUR</v>
      </c>
      <c r="D127" s="52">
        <f>'[4]6'!D26</f>
        <v>3870</v>
      </c>
      <c r="E127" s="52"/>
      <c r="F127" s="52"/>
    </row>
    <row r="128" spans="1:6" ht="24" x14ac:dyDescent="0.25">
      <c r="A128" s="50" t="str">
        <f>'[4]6'!A27</f>
        <v>MKN-1882</v>
      </c>
      <c r="B128" s="51" t="str">
        <f>'[4]6'!B27</f>
        <v>2,000 HP PUMP, 7,501 to 10,000 psi, operating, first 4 hours</v>
      </c>
      <c r="C128" s="52" t="str">
        <f>'[4]6'!C27</f>
        <v>4 HRS</v>
      </c>
      <c r="D128" s="52">
        <f>'[4]6'!D27</f>
        <v>19760</v>
      </c>
      <c r="E128" s="52"/>
      <c r="F128" s="52"/>
    </row>
    <row r="129" spans="1:6" ht="24" x14ac:dyDescent="0.25">
      <c r="A129" s="50" t="str">
        <f>'[4]6'!A28</f>
        <v>MKN-1883</v>
      </c>
      <c r="B129" s="51" t="str">
        <f>'[4]6'!B28</f>
        <v>2,000 HP PUMP, 7,501 to 10,000 psi, operating, additional hours</v>
      </c>
      <c r="C129" s="52" t="str">
        <f>'[4]6'!C28</f>
        <v>HOUR</v>
      </c>
      <c r="D129" s="52">
        <f>'[4]6'!D28</f>
        <v>5160</v>
      </c>
      <c r="E129" s="52"/>
      <c r="F129" s="52"/>
    </row>
    <row r="130" spans="1:6" ht="24" x14ac:dyDescent="0.25">
      <c r="A130" s="50" t="str">
        <f>'[4]6'!A29</f>
        <v>MKN-1884</v>
      </c>
      <c r="B130" s="51" t="str">
        <f>'[4]6'!B29</f>
        <v>2,000 HP PUMP, 10,001 to 12,500 psi, operating, First 4 hours</v>
      </c>
      <c r="C130" s="52" t="str">
        <f>'[4]6'!C29</f>
        <v>4 HRS</v>
      </c>
      <c r="D130" s="52">
        <f>'[4]6'!D29</f>
        <v>24700</v>
      </c>
      <c r="E130" s="52"/>
      <c r="F130" s="52"/>
    </row>
    <row r="131" spans="1:6" ht="24" x14ac:dyDescent="0.25">
      <c r="A131" s="50" t="str">
        <f>'[4]6'!A30</f>
        <v>MKN-1885</v>
      </c>
      <c r="B131" s="51" t="str">
        <f>'[4]6'!B30</f>
        <v>2,000 HP PUMP, 10,001 to 12,500 psi, operating, Additional hours</v>
      </c>
      <c r="C131" s="52" t="str">
        <f>'[4]6'!C30</f>
        <v>HOUR</v>
      </c>
      <c r="D131" s="52">
        <f>'[4]6'!D30</f>
        <v>6450</v>
      </c>
      <c r="E131" s="52"/>
      <c r="F131" s="52"/>
    </row>
    <row r="132" spans="1:6" ht="24" x14ac:dyDescent="0.25">
      <c r="A132" s="50" t="str">
        <f>'[4]6'!A31</f>
        <v>MKN-1886</v>
      </c>
      <c r="B132" s="51" t="str">
        <f>'[4]6'!B31</f>
        <v>2,000 HP PUMP, 12,501 to 15,000 psi, operating, first 4 hours</v>
      </c>
      <c r="C132" s="52" t="str">
        <f>'[4]6'!C31</f>
        <v>4 HRS</v>
      </c>
      <c r="D132" s="52">
        <f>'[4]6'!D31</f>
        <v>29640</v>
      </c>
      <c r="E132" s="52"/>
      <c r="F132" s="52"/>
    </row>
    <row r="133" spans="1:6" ht="24" x14ac:dyDescent="0.25">
      <c r="A133" s="53" t="str">
        <f>'[4]6'!A32</f>
        <v>MKN-1887</v>
      </c>
      <c r="B133" s="54" t="str">
        <f>'[4]6'!B32</f>
        <v>2,000 HP PUMP, 12,501 to 15,000 psi, operating, additional hours</v>
      </c>
      <c r="C133" s="55" t="str">
        <f>'[4]6'!C32</f>
        <v>HOUR</v>
      </c>
      <c r="D133" s="55">
        <f>'[4]6'!D32</f>
        <v>7750</v>
      </c>
      <c r="E133" s="55"/>
      <c r="F133" s="55"/>
    </row>
    <row r="134" spans="1:6" ht="6" customHeight="1" x14ac:dyDescent="0.25">
      <c r="A134" s="39"/>
      <c r="B134" s="40"/>
      <c r="C134" s="41"/>
      <c r="D134" s="41"/>
      <c r="E134" s="41"/>
      <c r="F134" s="41"/>
    </row>
    <row r="135" spans="1:6" ht="16.149999999999999" customHeight="1" x14ac:dyDescent="0.25">
      <c r="A135" s="42" t="s">
        <v>93</v>
      </c>
      <c r="B135" s="43"/>
      <c r="C135" s="44"/>
      <c r="D135" s="44"/>
      <c r="E135" s="44"/>
      <c r="F135" s="44"/>
    </row>
    <row r="136" spans="1:6" x14ac:dyDescent="0.25">
      <c r="A136" s="45" t="s">
        <v>7</v>
      </c>
      <c r="B136" s="45" t="s">
        <v>8</v>
      </c>
      <c r="C136" s="46" t="s">
        <v>9</v>
      </c>
      <c r="D136" s="46" t="s">
        <v>75</v>
      </c>
      <c r="E136" s="46"/>
      <c r="F136" s="46"/>
    </row>
    <row r="137" spans="1:6" x14ac:dyDescent="0.25">
      <c r="A137" s="47" t="str">
        <f>'[4]6'!A37</f>
        <v>MKN-1888</v>
      </c>
      <c r="B137" s="48" t="str">
        <f>'[4]6'!B37</f>
        <v>Non-corrosive fluids</v>
      </c>
      <c r="C137" s="49" t="str">
        <f>'[4]6'!C37</f>
        <v>GAL</v>
      </c>
      <c r="D137" s="49">
        <f>'[4]6'!D37</f>
        <v>0.5</v>
      </c>
      <c r="E137" s="49"/>
      <c r="F137" s="49"/>
    </row>
    <row r="138" spans="1:6" x14ac:dyDescent="0.25">
      <c r="A138" s="53" t="str">
        <f>'[4]6'!A38</f>
        <v>MKN-1889</v>
      </c>
      <c r="B138" s="54" t="str">
        <f>'[4]6'!B38</f>
        <v>corrosive or abrasive fluids, additional</v>
      </c>
      <c r="C138" s="55" t="str">
        <f>'[4]6'!C38</f>
        <v>GAL</v>
      </c>
      <c r="D138" s="55">
        <f>'[4]6'!D38</f>
        <v>0.65</v>
      </c>
      <c r="E138" s="55"/>
      <c r="F138" s="55"/>
    </row>
    <row r="139" spans="1:6" ht="6" customHeight="1" x14ac:dyDescent="0.25">
      <c r="A139" s="39"/>
      <c r="B139" s="40"/>
      <c r="C139" s="41"/>
      <c r="D139" s="41"/>
      <c r="E139" s="41"/>
      <c r="F139" s="41"/>
    </row>
    <row r="140" spans="1:6" ht="16.149999999999999" customHeight="1" x14ac:dyDescent="0.25">
      <c r="A140" s="42" t="s">
        <v>94</v>
      </c>
      <c r="B140" s="43"/>
      <c r="C140" s="44"/>
      <c r="D140" s="44"/>
      <c r="E140" s="44"/>
      <c r="F140" s="44"/>
    </row>
    <row r="141" spans="1:6" x14ac:dyDescent="0.25">
      <c r="A141" s="45" t="s">
        <v>7</v>
      </c>
      <c r="B141" s="45" t="s">
        <v>8</v>
      </c>
      <c r="C141" s="46" t="s">
        <v>9</v>
      </c>
      <c r="D141" s="46" t="s">
        <v>75</v>
      </c>
      <c r="E141" s="46"/>
      <c r="F141" s="46"/>
    </row>
    <row r="142" spans="1:6" x14ac:dyDescent="0.25">
      <c r="A142" s="47" t="str">
        <f>'[4]6'!A45</f>
        <v>MKN-1890</v>
      </c>
      <c r="B142" s="48" t="str">
        <f>'[4]6'!B45</f>
        <v>2" H.P Plug Valve , each</v>
      </c>
      <c r="C142" s="49" t="str">
        <f>'[4]6'!C45</f>
        <v>DAY</v>
      </c>
      <c r="D142" s="49">
        <f>'[4]6'!D45</f>
        <v>200</v>
      </c>
      <c r="E142" s="49"/>
      <c r="F142" s="49"/>
    </row>
    <row r="143" spans="1:6" x14ac:dyDescent="0.25">
      <c r="A143" s="50" t="str">
        <f>'[4]6'!A46</f>
        <v>MKN-1891</v>
      </c>
      <c r="B143" s="51" t="str">
        <f>'[4]6'!B46</f>
        <v>2" H.P Check Valve , each</v>
      </c>
      <c r="C143" s="52" t="str">
        <f>'[4]6'!C46</f>
        <v>DAY</v>
      </c>
      <c r="D143" s="52">
        <f>'[4]6'!D46</f>
        <v>200</v>
      </c>
      <c r="E143" s="52"/>
      <c r="F143" s="52"/>
    </row>
    <row r="144" spans="1:6" x14ac:dyDescent="0.25">
      <c r="A144" s="50" t="str">
        <f>'[4]6'!A47</f>
        <v>MKN-1892</v>
      </c>
      <c r="B144" s="51" t="str">
        <f>'[4]6'!B47</f>
        <v xml:space="preserve">2" H.P Straight Joints per foot </v>
      </c>
      <c r="C144" s="52" t="str">
        <f>'[4]6'!C47</f>
        <v>DAY</v>
      </c>
      <c r="D144" s="52">
        <f>'[4]6'!D47</f>
        <v>20</v>
      </c>
      <c r="E144" s="52"/>
      <c r="F144" s="52"/>
    </row>
    <row r="145" spans="1:6" x14ac:dyDescent="0.25">
      <c r="A145" s="50" t="str">
        <f>'[4]6'!A48</f>
        <v>MKN-1893</v>
      </c>
      <c r="B145" s="51" t="str">
        <f>'[4]6'!B48</f>
        <v>2" H.P Chicksans , each</v>
      </c>
      <c r="C145" s="52" t="str">
        <f>'[4]6'!C48</f>
        <v>DAY</v>
      </c>
      <c r="D145" s="52">
        <f>'[4]6'!D48</f>
        <v>150</v>
      </c>
      <c r="E145" s="52"/>
      <c r="F145" s="52"/>
    </row>
    <row r="146" spans="1:6" x14ac:dyDescent="0.25">
      <c r="A146" s="50" t="str">
        <f>'[4]6'!A49</f>
        <v>MKN-1894</v>
      </c>
      <c r="B146" s="51" t="str">
        <f>'[4]6'!B49</f>
        <v>2" H.P Loops , each</v>
      </c>
      <c r="C146" s="52" t="str">
        <f>'[4]6'!C49</f>
        <v>DAY</v>
      </c>
      <c r="D146" s="52">
        <f>'[4]6'!D49</f>
        <v>300</v>
      </c>
      <c r="E146" s="52"/>
      <c r="F146" s="52"/>
    </row>
    <row r="147" spans="1:6" x14ac:dyDescent="0.25">
      <c r="A147" s="50" t="str">
        <f>'[4]6'!A50</f>
        <v>MKN-1895</v>
      </c>
      <c r="B147" s="51" t="str">
        <f>'[4]6'!B50</f>
        <v>2" H.P Lateral , each</v>
      </c>
      <c r="C147" s="52" t="str">
        <f>'[4]6'!C50</f>
        <v>DAY</v>
      </c>
      <c r="D147" s="52">
        <f>'[4]6'!D50</f>
        <v>50</v>
      </c>
      <c r="E147" s="52"/>
      <c r="F147" s="52"/>
    </row>
    <row r="148" spans="1:6" x14ac:dyDescent="0.25">
      <c r="A148" s="50" t="str">
        <f>'[4]6'!A51</f>
        <v>MKN-1896</v>
      </c>
      <c r="B148" s="51" t="str">
        <f>'[4]6'!B51</f>
        <v>2" H.P Flow Tee , each</v>
      </c>
      <c r="C148" s="52" t="str">
        <f>'[4]6'!C51</f>
        <v>DAY</v>
      </c>
      <c r="D148" s="52">
        <f>'[4]6'!D51</f>
        <v>70</v>
      </c>
      <c r="E148" s="52"/>
      <c r="F148" s="52"/>
    </row>
    <row r="149" spans="1:6" x14ac:dyDescent="0.25">
      <c r="A149" s="53" t="str">
        <f>'[4]6'!A52</f>
        <v>MKN-1897</v>
      </c>
      <c r="B149" s="54" t="str">
        <f>'[4]6'!B52</f>
        <v>2" H.P Crossover , each</v>
      </c>
      <c r="C149" s="55" t="str">
        <f>'[4]6'!C52</f>
        <v>DAY</v>
      </c>
      <c r="D149" s="55">
        <f>'[4]6'!D52</f>
        <v>40</v>
      </c>
      <c r="E149" s="55"/>
      <c r="F149" s="55"/>
    </row>
    <row r="150" spans="1:6" ht="6" customHeight="1" x14ac:dyDescent="0.25">
      <c r="A150" s="39"/>
      <c r="B150" s="40"/>
      <c r="C150" s="41"/>
      <c r="D150" s="41"/>
      <c r="E150" s="41"/>
      <c r="F150" s="41"/>
    </row>
    <row r="151" spans="1:6" ht="16.149999999999999" customHeight="1" x14ac:dyDescent="0.25">
      <c r="A151" s="42" t="s">
        <v>95</v>
      </c>
      <c r="B151" s="43"/>
      <c r="C151" s="44"/>
      <c r="D151" s="44"/>
      <c r="E151" s="44"/>
      <c r="F151" s="44"/>
    </row>
    <row r="152" spans="1:6" x14ac:dyDescent="0.25">
      <c r="A152" s="45" t="s">
        <v>7</v>
      </c>
      <c r="B152" s="45" t="s">
        <v>8</v>
      </c>
      <c r="C152" s="46" t="s">
        <v>9</v>
      </c>
      <c r="D152" s="46" t="s">
        <v>75</v>
      </c>
      <c r="E152" s="46"/>
      <c r="F152" s="46"/>
    </row>
    <row r="153" spans="1:6" ht="24" x14ac:dyDescent="0.25">
      <c r="A153" s="47" t="str">
        <f>'[4]7'!A7</f>
        <v>MKN-1898</v>
      </c>
      <c r="B153" s="48" t="str">
        <f>'[4]7'!B7</f>
        <v>2" Coflexip high pressure flexible hose, each, rental or standby</v>
      </c>
      <c r="C153" s="49" t="str">
        <f>'[4]7'!C7</f>
        <v>DAY</v>
      </c>
      <c r="D153" s="49">
        <f>'[4]7'!D7</f>
        <v>800</v>
      </c>
      <c r="E153" s="49"/>
      <c r="F153" s="49"/>
    </row>
    <row r="154" spans="1:6" ht="24" x14ac:dyDescent="0.25">
      <c r="A154" s="50" t="str">
        <f>'[4]7'!A8</f>
        <v>MKN-1899</v>
      </c>
      <c r="B154" s="51" t="str">
        <f>'[4]7'!B8</f>
        <v>2" Coflexip high pressure flexible hose, each, job charge</v>
      </c>
      <c r="C154" s="52" t="str">
        <f>'[4]7'!C8</f>
        <v>JOB</v>
      </c>
      <c r="D154" s="52">
        <f>'[4]7'!D8</f>
        <v>3000</v>
      </c>
      <c r="E154" s="52"/>
      <c r="F154" s="52"/>
    </row>
    <row r="155" spans="1:6" ht="24" x14ac:dyDescent="0.25">
      <c r="A155" s="50" t="str">
        <f>'[4]7'!A9</f>
        <v>MKN-1900</v>
      </c>
      <c r="B155" s="51" t="str">
        <f>'[4]7'!B9</f>
        <v>3" Coflexip high pressure flexible hose, each, rental or stand by</v>
      </c>
      <c r="C155" s="52" t="str">
        <f>'[4]7'!C9</f>
        <v>DAY</v>
      </c>
      <c r="D155" s="52">
        <f>'[4]7'!D9</f>
        <v>1000</v>
      </c>
      <c r="E155" s="52"/>
      <c r="F155" s="52"/>
    </row>
    <row r="156" spans="1:6" ht="24" x14ac:dyDescent="0.25">
      <c r="A156" s="50" t="str">
        <f>'[4]7'!A10</f>
        <v>MKN-1901</v>
      </c>
      <c r="B156" s="51" t="str">
        <f>'[4]7'!B10</f>
        <v>3" Coflexip high pressure flexible hose, each, job charge</v>
      </c>
      <c r="C156" s="52" t="str">
        <f>'[4]7'!C10</f>
        <v>JOB</v>
      </c>
      <c r="D156" s="52">
        <f>'[4]7'!D10</f>
        <v>4000</v>
      </c>
      <c r="E156" s="52"/>
      <c r="F156" s="52"/>
    </row>
    <row r="157" spans="1:6" ht="24" x14ac:dyDescent="0.25">
      <c r="A157" s="50" t="str">
        <f>'[4]7'!A11</f>
        <v>MKN-1902</v>
      </c>
      <c r="B157" s="51" t="str">
        <f>'[4]7'!B11</f>
        <v>4" Coflexip high pressure flexible hose, each, rental or standby</v>
      </c>
      <c r="C157" s="52" t="str">
        <f>'[4]7'!C11</f>
        <v>DAY</v>
      </c>
      <c r="D157" s="52">
        <f>'[4]7'!D11</f>
        <v>1500</v>
      </c>
      <c r="E157" s="52"/>
      <c r="F157" s="52"/>
    </row>
    <row r="158" spans="1:6" ht="24" x14ac:dyDescent="0.25">
      <c r="A158" s="50" t="str">
        <f>'[4]7'!A12</f>
        <v>MKN-1903</v>
      </c>
      <c r="B158" s="51" t="str">
        <f>'[4]7'!B12</f>
        <v>4" Coflexip high pressure flexible hose, each, job charge</v>
      </c>
      <c r="C158" s="52" t="str">
        <f>'[4]7'!C12</f>
        <v>JOB</v>
      </c>
      <c r="D158" s="52">
        <f>'[4]7'!D12</f>
        <v>6000</v>
      </c>
      <c r="E158" s="52"/>
      <c r="F158" s="52"/>
    </row>
    <row r="159" spans="1:6" x14ac:dyDescent="0.25">
      <c r="A159" s="50" t="str">
        <f>'[4]7'!A13</f>
        <v>MKN-1904</v>
      </c>
      <c r="B159" s="51" t="str">
        <f>'[4]7'!B13</f>
        <v>Quick disconnect, rental or standby</v>
      </c>
      <c r="C159" s="52" t="str">
        <f>'[4]7'!C13</f>
        <v>DAY</v>
      </c>
      <c r="D159" s="52">
        <f>'[4]7'!D13</f>
        <v>1000</v>
      </c>
      <c r="E159" s="52"/>
      <c r="F159" s="52"/>
    </row>
    <row r="160" spans="1:6" x14ac:dyDescent="0.25">
      <c r="A160" s="53" t="str">
        <f>'[4]7'!A14</f>
        <v>MKN-1905</v>
      </c>
      <c r="B160" s="54" t="str">
        <f>'[4]7'!B14</f>
        <v>Quick disconnect, job charge</v>
      </c>
      <c r="C160" s="55" t="str">
        <f>'[4]7'!C14</f>
        <v>JOB</v>
      </c>
      <c r="D160" s="55">
        <f>'[4]7'!D14</f>
        <v>4000</v>
      </c>
      <c r="E160" s="55"/>
      <c r="F160" s="55"/>
    </row>
    <row r="161" spans="1:6" ht="6" customHeight="1" x14ac:dyDescent="0.25">
      <c r="A161" s="39"/>
      <c r="B161" s="40"/>
      <c r="C161" s="41"/>
      <c r="D161" s="41"/>
      <c r="E161" s="41"/>
      <c r="F161" s="41"/>
    </row>
    <row r="162" spans="1:6" ht="16.149999999999999" customHeight="1" x14ac:dyDescent="0.25">
      <c r="A162" s="42" t="s">
        <v>96</v>
      </c>
      <c r="B162" s="43"/>
      <c r="C162" s="44"/>
      <c r="D162" s="44"/>
      <c r="E162" s="44"/>
      <c r="F162" s="44"/>
    </row>
    <row r="163" spans="1:6" x14ac:dyDescent="0.25">
      <c r="A163" s="45" t="s">
        <v>7</v>
      </c>
      <c r="B163" s="45" t="s">
        <v>8</v>
      </c>
      <c r="C163" s="46" t="s">
        <v>9</v>
      </c>
      <c r="D163" s="46" t="s">
        <v>75</v>
      </c>
      <c r="E163" s="46"/>
      <c r="F163" s="46"/>
    </row>
    <row r="164" spans="1:6" ht="24" x14ac:dyDescent="0.25">
      <c r="A164" s="47" t="str">
        <f>'[4]7'!A19</f>
        <v>MKN-1906</v>
      </c>
      <c r="B164" s="48" t="str">
        <f>'[4]7'!B19</f>
        <v>Acid mixing &amp; holding tanks, to 4,000 gal, rental or standby</v>
      </c>
      <c r="C164" s="49" t="str">
        <f>'[4]7'!C19</f>
        <v>DAY</v>
      </c>
      <c r="D164" s="49">
        <f>'[4]7'!D19</f>
        <v>200</v>
      </c>
      <c r="E164" s="49"/>
      <c r="F164" s="49"/>
    </row>
    <row r="165" spans="1:6" ht="24" x14ac:dyDescent="0.25">
      <c r="A165" s="50" t="str">
        <f>'[4]7'!A20</f>
        <v>MKN-1907</v>
      </c>
      <c r="B165" s="51" t="str">
        <f>'[4]7'!B20</f>
        <v>Acid mixing &amp; holding tanks, to 4,000 gal, job charge</v>
      </c>
      <c r="C165" s="52" t="str">
        <f>'[4]7'!C20</f>
        <v>JOB</v>
      </c>
      <c r="D165" s="52">
        <f>'[4]7'!D20</f>
        <v>1000</v>
      </c>
      <c r="E165" s="52"/>
      <c r="F165" s="52"/>
    </row>
    <row r="166" spans="1:6" ht="24" x14ac:dyDescent="0.25">
      <c r="A166" s="50" t="str">
        <f>'[4]7'!A21</f>
        <v>MKN-1908</v>
      </c>
      <c r="B166" s="51" t="str">
        <f>'[4]7'!B21</f>
        <v>Acid mixing &amp; holding tanks, 4,001 to 8000 gal, rental or standby</v>
      </c>
      <c r="C166" s="52" t="str">
        <f>'[4]7'!C21</f>
        <v>DAY</v>
      </c>
      <c r="D166" s="52">
        <f>'[4]7'!D21</f>
        <v>325</v>
      </c>
      <c r="E166" s="52"/>
      <c r="F166" s="52"/>
    </row>
    <row r="167" spans="1:6" ht="24" x14ac:dyDescent="0.25">
      <c r="A167" s="50" t="str">
        <f>'[4]7'!A22</f>
        <v>MKN-1909</v>
      </c>
      <c r="B167" s="51" t="str">
        <f>'[4]7'!B22</f>
        <v>Acid mixing &amp; holding tanks, 4,001 to 8000 gal, job charge</v>
      </c>
      <c r="C167" s="52" t="str">
        <f>'[4]7'!C22</f>
        <v>JOB</v>
      </c>
      <c r="D167" s="52">
        <f>'[4]7'!D22</f>
        <v>1700</v>
      </c>
      <c r="E167" s="52"/>
      <c r="F167" s="52"/>
    </row>
    <row r="168" spans="1:6" ht="24" x14ac:dyDescent="0.25">
      <c r="A168" s="50" t="str">
        <f>'[4]7'!A23</f>
        <v>MKN-1910</v>
      </c>
      <c r="B168" s="51" t="str">
        <f>'[4]7'!B23</f>
        <v>Acid mixing &amp; holding tanks, 8,001 to 12,000 gal, rental or standby</v>
      </c>
      <c r="C168" s="52" t="str">
        <f>'[4]7'!C23</f>
        <v>DAY</v>
      </c>
      <c r="D168" s="52">
        <f>'[4]7'!D23</f>
        <v>400</v>
      </c>
      <c r="E168" s="52"/>
      <c r="F168" s="52"/>
    </row>
    <row r="169" spans="1:6" ht="24" x14ac:dyDescent="0.25">
      <c r="A169" s="53" t="str">
        <f>'[4]7'!A24</f>
        <v>MKN-1911</v>
      </c>
      <c r="B169" s="54" t="str">
        <f>'[4]7'!B24</f>
        <v>Acid mixing &amp; holding tanks, 8,001 to 12,000 gal, job charge</v>
      </c>
      <c r="C169" s="55" t="str">
        <f>'[4]7'!C24</f>
        <v>JOB</v>
      </c>
      <c r="D169" s="55">
        <f>'[4]7'!D24</f>
        <v>200</v>
      </c>
      <c r="E169" s="55"/>
      <c r="F169" s="55"/>
    </row>
    <row r="170" spans="1:6" ht="6" customHeight="1" x14ac:dyDescent="0.25">
      <c r="A170" s="39"/>
      <c r="B170" s="40"/>
      <c r="C170" s="41"/>
      <c r="D170" s="41"/>
      <c r="E170" s="41"/>
      <c r="F170" s="41"/>
    </row>
    <row r="171" spans="1:6" ht="16.149999999999999" customHeight="1" x14ac:dyDescent="0.25">
      <c r="A171" s="42" t="s">
        <v>97</v>
      </c>
      <c r="B171" s="43"/>
      <c r="C171" s="44"/>
      <c r="D171" s="44"/>
      <c r="E171" s="44"/>
      <c r="F171" s="44"/>
    </row>
    <row r="172" spans="1:6" x14ac:dyDescent="0.25">
      <c r="A172" s="45" t="s">
        <v>7</v>
      </c>
      <c r="B172" s="45" t="s">
        <v>8</v>
      </c>
      <c r="C172" s="46" t="s">
        <v>9</v>
      </c>
      <c r="D172" s="46" t="s">
        <v>75</v>
      </c>
      <c r="E172" s="46"/>
      <c r="F172" s="46"/>
    </row>
    <row r="173" spans="1:6" ht="24" x14ac:dyDescent="0.25">
      <c r="A173" s="47" t="str">
        <f>'[4]7'!A28</f>
        <v>MKN-1912</v>
      </c>
      <c r="B173" s="48" t="str">
        <f>'[4]7'!B28</f>
        <v>Acid transport container 1,300 gal capacity, rental or standby</v>
      </c>
      <c r="C173" s="49" t="str">
        <f>'[4]7'!C28</f>
        <v>DAY</v>
      </c>
      <c r="D173" s="49">
        <f>'[4]7'!D28</f>
        <v>150</v>
      </c>
      <c r="E173" s="49"/>
      <c r="F173" s="49"/>
    </row>
    <row r="174" spans="1:6" ht="24" x14ac:dyDescent="0.25">
      <c r="A174" s="50" t="str">
        <f>'[4]7'!A29</f>
        <v>MKN-1913</v>
      </c>
      <c r="B174" s="51" t="str">
        <f>'[4]7'!B29</f>
        <v>Acid transport container 1,300 gal capacity, job charge</v>
      </c>
      <c r="C174" s="52" t="str">
        <f>'[4]7'!C29</f>
        <v>JOB</v>
      </c>
      <c r="D174" s="52">
        <f>'[4]7'!D29</f>
        <v>300</v>
      </c>
      <c r="E174" s="52"/>
      <c r="F174" s="52"/>
    </row>
    <row r="175" spans="1:6" ht="24" x14ac:dyDescent="0.25">
      <c r="A175" s="50" t="str">
        <f>'[4]7'!A30</f>
        <v>MKN-1914</v>
      </c>
      <c r="B175" s="51" t="str">
        <f>'[4]7'!B30</f>
        <v>Acid transport container 2,000 gal capacity, rental or standby</v>
      </c>
      <c r="C175" s="52" t="str">
        <f>'[4]7'!C30</f>
        <v>DAY</v>
      </c>
      <c r="D175" s="52">
        <f>'[4]7'!D30</f>
        <v>300</v>
      </c>
      <c r="E175" s="52"/>
      <c r="F175" s="52"/>
    </row>
    <row r="176" spans="1:6" ht="24" x14ac:dyDescent="0.25">
      <c r="A176" s="50" t="str">
        <f>'[4]7'!A31</f>
        <v>MKN-1915</v>
      </c>
      <c r="B176" s="51" t="str">
        <f>'[4]7'!B31</f>
        <v>Acid transport container 2,000 gal capacity, job charge</v>
      </c>
      <c r="C176" s="52" t="str">
        <f>'[4]7'!C31</f>
        <v>JOB</v>
      </c>
      <c r="D176" s="52">
        <f>'[4]7'!D31</f>
        <v>600</v>
      </c>
      <c r="E176" s="52"/>
      <c r="F176" s="52"/>
    </row>
    <row r="177" spans="1:6" ht="24" x14ac:dyDescent="0.25">
      <c r="A177" s="50" t="str">
        <f>'[4]7'!A32</f>
        <v>MKN-1916</v>
      </c>
      <c r="B177" s="51" t="str">
        <f>'[4]7'!B32</f>
        <v>Acid transport container 5,000 gal capacity, rental or standby</v>
      </c>
      <c r="C177" s="52" t="str">
        <f>'[4]7'!C32</f>
        <v>DAY</v>
      </c>
      <c r="D177" s="52">
        <f>'[4]7'!D32</f>
        <v>450</v>
      </c>
      <c r="E177" s="52"/>
      <c r="F177" s="52"/>
    </row>
    <row r="178" spans="1:6" ht="24" x14ac:dyDescent="0.25">
      <c r="A178" s="53" t="str">
        <f>'[4]7'!A33</f>
        <v>MKN-1917</v>
      </c>
      <c r="B178" s="54" t="str">
        <f>'[4]7'!B33</f>
        <v>Acid transport container 5,000 gal capacity, job charge</v>
      </c>
      <c r="C178" s="55" t="str">
        <f>'[4]7'!C33</f>
        <v>JOB</v>
      </c>
      <c r="D178" s="55">
        <f>'[4]7'!D33</f>
        <v>1000</v>
      </c>
      <c r="E178" s="55"/>
      <c r="F178" s="55"/>
    </row>
    <row r="179" spans="1:6" ht="6" customHeight="1" x14ac:dyDescent="0.25">
      <c r="A179" s="39"/>
      <c r="B179" s="40"/>
      <c r="C179" s="41"/>
      <c r="D179" s="41"/>
      <c r="E179" s="41"/>
      <c r="F179" s="41"/>
    </row>
    <row r="180" spans="1:6" ht="16.149999999999999" customHeight="1" x14ac:dyDescent="0.25">
      <c r="A180" s="42" t="s">
        <v>98</v>
      </c>
      <c r="B180" s="43"/>
      <c r="C180" s="44"/>
      <c r="D180" s="44"/>
      <c r="E180" s="44"/>
      <c r="F180" s="44"/>
    </row>
    <row r="181" spans="1:6" x14ac:dyDescent="0.25">
      <c r="A181" s="45" t="s">
        <v>7</v>
      </c>
      <c r="B181" s="45" t="s">
        <v>8</v>
      </c>
      <c r="C181" s="46" t="s">
        <v>9</v>
      </c>
      <c r="D181" s="46" t="s">
        <v>75</v>
      </c>
      <c r="E181" s="46"/>
      <c r="F181" s="46"/>
    </row>
    <row r="182" spans="1:6" ht="24" x14ac:dyDescent="0.25">
      <c r="A182" s="47" t="str">
        <f>'[4]7'!A37</f>
        <v>MKN-1918</v>
      </c>
      <c r="B182" s="48" t="str">
        <f>'[4]7'!B37</f>
        <v>Acid road tanker 7,500 gal capacity, rental or standby</v>
      </c>
      <c r="C182" s="49" t="str">
        <f>'[4]7'!C37</f>
        <v>DAY</v>
      </c>
      <c r="D182" s="49">
        <f>'[4]7'!D37</f>
        <v>1500</v>
      </c>
      <c r="E182" s="49"/>
      <c r="F182" s="49"/>
    </row>
    <row r="183" spans="1:6" ht="24" x14ac:dyDescent="0.25">
      <c r="A183" s="53" t="str">
        <f>'[4]7'!A38</f>
        <v>MKN-1919</v>
      </c>
      <c r="B183" s="54" t="str">
        <f>'[4]7'!B38</f>
        <v>Acid road tanker 7,500 gal capacity, operation charge</v>
      </c>
      <c r="C183" s="55" t="str">
        <f>'[4]7'!C38</f>
        <v>DAY</v>
      </c>
      <c r="D183" s="55">
        <f>'[4]7'!D38</f>
        <v>3000</v>
      </c>
      <c r="E183" s="55"/>
      <c r="F183" s="55"/>
    </row>
    <row r="184" spans="1:6" ht="6" customHeight="1" x14ac:dyDescent="0.25">
      <c r="A184" s="39"/>
      <c r="B184" s="40"/>
      <c r="C184" s="41"/>
      <c r="D184" s="41"/>
      <c r="E184" s="41"/>
      <c r="F184" s="41"/>
    </row>
    <row r="185" spans="1:6" ht="16.149999999999999" customHeight="1" x14ac:dyDescent="0.25">
      <c r="A185" s="42" t="s">
        <v>99</v>
      </c>
      <c r="B185" s="43"/>
      <c r="C185" s="44"/>
      <c r="D185" s="44"/>
      <c r="E185" s="44"/>
      <c r="F185" s="44"/>
    </row>
    <row r="186" spans="1:6" x14ac:dyDescent="0.25">
      <c r="A186" s="45" t="s">
        <v>7</v>
      </c>
      <c r="B186" s="45" t="s">
        <v>8</v>
      </c>
      <c r="C186" s="46" t="s">
        <v>9</v>
      </c>
      <c r="D186" s="46" t="s">
        <v>75</v>
      </c>
      <c r="E186" s="46"/>
      <c r="F186" s="46"/>
    </row>
    <row r="187" spans="1:6" ht="24" x14ac:dyDescent="0.25">
      <c r="A187" s="47" t="str">
        <f>'[4]7'!A42</f>
        <v>MKN-1920</v>
      </c>
      <c r="B187" s="48" t="str">
        <f>'[4]7'!B42</f>
        <v>Fluid mixing &amp; holding tanks, below 5,000 gal, rental or standby</v>
      </c>
      <c r="C187" s="49" t="str">
        <f>'[4]7'!C42</f>
        <v>DAY</v>
      </c>
      <c r="D187" s="49">
        <f>'[4]7'!D42</f>
        <v>250</v>
      </c>
      <c r="E187" s="49"/>
      <c r="F187" s="49"/>
    </row>
    <row r="188" spans="1:6" ht="24" x14ac:dyDescent="0.25">
      <c r="A188" s="50" t="str">
        <f>'[4]7'!A43</f>
        <v>MKN-1921</v>
      </c>
      <c r="B188" s="51" t="str">
        <f>'[4]7'!B43</f>
        <v>Fluid mixing &amp; holding tanks, below 5,000 gal, job charge</v>
      </c>
      <c r="C188" s="52" t="str">
        <f>'[4]7'!C43</f>
        <v>JOB</v>
      </c>
      <c r="D188" s="52">
        <f>'[4]7'!D43</f>
        <v>450</v>
      </c>
      <c r="E188" s="52"/>
      <c r="F188" s="52"/>
    </row>
    <row r="189" spans="1:6" ht="24" x14ac:dyDescent="0.25">
      <c r="A189" s="50" t="str">
        <f>'[4]7'!A44</f>
        <v>MKN-1922</v>
      </c>
      <c r="B189" s="51" t="str">
        <f>'[4]7'!B44</f>
        <v>Fluid mixing &amp; holding tanks, below 5,000 to 10,000 gal, rental or standby</v>
      </c>
      <c r="C189" s="52" t="str">
        <f>'[4]7'!C44</f>
        <v>DAY</v>
      </c>
      <c r="D189" s="52">
        <f>'[4]7'!D44</f>
        <v>400</v>
      </c>
      <c r="E189" s="52"/>
      <c r="F189" s="52"/>
    </row>
    <row r="190" spans="1:6" ht="24" x14ac:dyDescent="0.25">
      <c r="A190" s="50" t="str">
        <f>'[4]7'!A45</f>
        <v>MKN-1923</v>
      </c>
      <c r="B190" s="51" t="str">
        <f>'[4]7'!B45</f>
        <v>Fluid mixing &amp; holding tanks, below 5,000 to 10,000 gal, job charge</v>
      </c>
      <c r="C190" s="52" t="str">
        <f>'[4]7'!C45</f>
        <v>JOB</v>
      </c>
      <c r="D190" s="52">
        <f>'[4]7'!D45</f>
        <v>1150</v>
      </c>
      <c r="E190" s="52"/>
      <c r="F190" s="52"/>
    </row>
    <row r="191" spans="1:6" x14ac:dyDescent="0.25">
      <c r="A191" s="50" t="str">
        <f>'[4]7'!A46</f>
        <v>MKN-1924</v>
      </c>
      <c r="B191" s="51" t="str">
        <f>'[4]7'!B46</f>
        <v>fluid holding tank, 300 bbl, rental or standby</v>
      </c>
      <c r="C191" s="52" t="str">
        <f>'[4]7'!C46</f>
        <v>DAY</v>
      </c>
      <c r="D191" s="52">
        <f>'[4]7'!D46</f>
        <v>500</v>
      </c>
      <c r="E191" s="52"/>
      <c r="F191" s="52"/>
    </row>
    <row r="192" spans="1:6" x14ac:dyDescent="0.25">
      <c r="A192" s="50" t="str">
        <f>'[4]7'!A47</f>
        <v>MKN-1925</v>
      </c>
      <c r="B192" s="51" t="str">
        <f>'[4]7'!B47</f>
        <v>fluid holding tank, 300 bbl, rental or job charge</v>
      </c>
      <c r="C192" s="52" t="str">
        <f>'[4]7'!C47</f>
        <v>JOB</v>
      </c>
      <c r="D192" s="52">
        <f>'[4]7'!D47</f>
        <v>2500</v>
      </c>
      <c r="E192" s="52"/>
      <c r="F192" s="52"/>
    </row>
    <row r="193" spans="1:6" x14ac:dyDescent="0.25">
      <c r="A193" s="50" t="str">
        <f>'[4]7'!A48</f>
        <v>MKN-1926</v>
      </c>
      <c r="B193" s="51" t="str">
        <f>'[4]7'!B48</f>
        <v>fluid holding tank, 500 bbl, rental or standby</v>
      </c>
      <c r="C193" s="52" t="str">
        <f>'[4]7'!C48</f>
        <v>DAY</v>
      </c>
      <c r="D193" s="52">
        <f>'[4]7'!D48</f>
        <v>750</v>
      </c>
      <c r="E193" s="52"/>
      <c r="F193" s="52"/>
    </row>
    <row r="194" spans="1:6" x14ac:dyDescent="0.25">
      <c r="A194" s="53" t="str">
        <f>'[4]7'!A49</f>
        <v>MKN-1927</v>
      </c>
      <c r="B194" s="54" t="str">
        <f>'[4]7'!B49</f>
        <v>fluid holding tank, 500 bbl, job charge</v>
      </c>
      <c r="C194" s="55" t="str">
        <f>'[4]7'!C49</f>
        <v>JOB</v>
      </c>
      <c r="D194" s="55">
        <f>'[4]7'!D49</f>
        <v>3750</v>
      </c>
      <c r="E194" s="55"/>
      <c r="F194" s="55"/>
    </row>
    <row r="195" spans="1:6" ht="6" customHeight="1" x14ac:dyDescent="0.25">
      <c r="A195" s="39"/>
      <c r="B195" s="40"/>
      <c r="C195" s="41"/>
      <c r="D195" s="41"/>
      <c r="E195" s="41"/>
      <c r="F195" s="41"/>
    </row>
    <row r="196" spans="1:6" ht="16.149999999999999" customHeight="1" x14ac:dyDescent="0.25">
      <c r="A196" s="42" t="s">
        <v>100</v>
      </c>
      <c r="B196" s="43"/>
      <c r="C196" s="44"/>
      <c r="D196" s="44"/>
      <c r="E196" s="44"/>
      <c r="F196" s="44"/>
    </row>
    <row r="197" spans="1:6" x14ac:dyDescent="0.25">
      <c r="A197" s="45" t="s">
        <v>7</v>
      </c>
      <c r="B197" s="45" t="s">
        <v>8</v>
      </c>
      <c r="C197" s="46" t="s">
        <v>9</v>
      </c>
      <c r="D197" s="46" t="s">
        <v>75</v>
      </c>
      <c r="E197" s="46"/>
      <c r="F197" s="46"/>
    </row>
    <row r="198" spans="1:6" ht="24" x14ac:dyDescent="0.25">
      <c r="A198" s="47" t="str">
        <f>'[4]8'!A6</f>
        <v>MKN-1928</v>
      </c>
      <c r="B198" s="48" t="str">
        <f>'[4]8'!B6</f>
        <v>Fluid mixing &amp; holding tanks, 500 bbl, rental or standby</v>
      </c>
      <c r="C198" s="49" t="str">
        <f>'[4]8'!C6</f>
        <v>DAY</v>
      </c>
      <c r="D198" s="49">
        <f>'[4]8'!D6</f>
        <v>1000</v>
      </c>
      <c r="E198" s="49"/>
      <c r="F198" s="49"/>
    </row>
    <row r="199" spans="1:6" ht="24" x14ac:dyDescent="0.25">
      <c r="A199" s="53" t="str">
        <f>'[4]8'!A7</f>
        <v>MKN-1929</v>
      </c>
      <c r="B199" s="54" t="str">
        <f>'[4]8'!B7</f>
        <v>Fluid mixing &amp; holding tanks, 500 bbl, job charge</v>
      </c>
      <c r="C199" s="55" t="str">
        <f>'[4]8'!C7</f>
        <v>JOB</v>
      </c>
      <c r="D199" s="55">
        <f>'[4]8'!D7</f>
        <v>4500</v>
      </c>
      <c r="E199" s="55"/>
      <c r="F199" s="55"/>
    </row>
    <row r="200" spans="1:6" ht="6" customHeight="1" x14ac:dyDescent="0.25">
      <c r="A200" s="39"/>
      <c r="B200" s="40"/>
      <c r="C200" s="41"/>
      <c r="D200" s="41"/>
      <c r="E200" s="41"/>
      <c r="F200" s="41"/>
    </row>
    <row r="201" spans="1:6" ht="16.149999999999999" customHeight="1" x14ac:dyDescent="0.25">
      <c r="A201" s="42" t="s">
        <v>101</v>
      </c>
      <c r="B201" s="43"/>
      <c r="C201" s="44"/>
      <c r="D201" s="44"/>
      <c r="E201" s="44"/>
      <c r="F201" s="44"/>
    </row>
    <row r="202" spans="1:6" x14ac:dyDescent="0.25">
      <c r="A202" s="45" t="s">
        <v>7</v>
      </c>
      <c r="B202" s="45" t="s">
        <v>8</v>
      </c>
      <c r="C202" s="46" t="s">
        <v>9</v>
      </c>
      <c r="D202" s="46" t="s">
        <v>75</v>
      </c>
      <c r="E202" s="46"/>
      <c r="F202" s="46"/>
    </row>
    <row r="203" spans="1:6" ht="24" x14ac:dyDescent="0.25">
      <c r="A203" s="47" t="str">
        <f>'[4]8'!A11</f>
        <v>MKN-1930</v>
      </c>
      <c r="B203" s="48" t="str">
        <f>'[4]8'!B11</f>
        <v>Batch mixer w/ engine, below 50 bbl, rental or standby</v>
      </c>
      <c r="C203" s="49" t="str">
        <f>'[4]8'!C11</f>
        <v>DAY</v>
      </c>
      <c r="D203" s="49">
        <f>'[4]8'!D11</f>
        <v>500</v>
      </c>
      <c r="E203" s="49"/>
      <c r="F203" s="49"/>
    </row>
    <row r="204" spans="1:6" ht="24" x14ac:dyDescent="0.25">
      <c r="A204" s="50" t="str">
        <f>'[4]8'!A12</f>
        <v>MKN-1931</v>
      </c>
      <c r="B204" s="51" t="str">
        <f>'[4]8'!B12</f>
        <v>Batch mixer w/ engine, below 50 bbl, operating, first 4 hours</v>
      </c>
      <c r="C204" s="52" t="str">
        <f>'[4]8'!C12</f>
        <v>4HRS</v>
      </c>
      <c r="D204" s="52">
        <f>'[4]8'!D12</f>
        <v>2300</v>
      </c>
      <c r="E204" s="52"/>
      <c r="F204" s="52"/>
    </row>
    <row r="205" spans="1:6" ht="24" x14ac:dyDescent="0.25">
      <c r="A205" s="50" t="str">
        <f>'[4]8'!A13</f>
        <v>MKN-1932</v>
      </c>
      <c r="B205" s="51" t="str">
        <f>'[4]8'!B13</f>
        <v>Batch mixer w/ engine, below 50 bbl, operating, additional hours</v>
      </c>
      <c r="C205" s="52" t="str">
        <f>'[4]8'!C13</f>
        <v>HOUR</v>
      </c>
      <c r="D205" s="52">
        <f>'[4]8'!D13</f>
        <v>400</v>
      </c>
      <c r="E205" s="52"/>
      <c r="F205" s="52"/>
    </row>
    <row r="206" spans="1:6" ht="24" x14ac:dyDescent="0.25">
      <c r="A206" s="50" t="str">
        <f>'[4]8'!A14</f>
        <v>MKN-1933</v>
      </c>
      <c r="B206" s="51" t="str">
        <f>'[4]8'!B14</f>
        <v>Batch mixer w/ engine, 50 to 100 bbl, rental or standby</v>
      </c>
      <c r="C206" s="52" t="str">
        <f>'[4]8'!C14</f>
        <v>DAY</v>
      </c>
      <c r="D206" s="52">
        <f>'[4]8'!D14</f>
        <v>700</v>
      </c>
      <c r="E206" s="52"/>
      <c r="F206" s="52"/>
    </row>
    <row r="207" spans="1:6" ht="24" x14ac:dyDescent="0.25">
      <c r="A207" s="50" t="str">
        <f>'[4]8'!A15</f>
        <v>MKN-1934</v>
      </c>
      <c r="B207" s="51" t="str">
        <f>'[4]8'!B15</f>
        <v>Batch mixer w/ engine, 50 to 100 bbl, operating, first 4 hours</v>
      </c>
      <c r="C207" s="52" t="str">
        <f>'[4]8'!C15</f>
        <v>4HRS</v>
      </c>
      <c r="D207" s="52">
        <f>'[4]8'!D15</f>
        <v>3000</v>
      </c>
      <c r="E207" s="52"/>
      <c r="F207" s="52"/>
    </row>
    <row r="208" spans="1:6" ht="24" x14ac:dyDescent="0.25">
      <c r="A208" s="53" t="str">
        <f>'[4]8'!A16</f>
        <v>MKN-1935</v>
      </c>
      <c r="B208" s="54" t="str">
        <f>'[4]8'!B16</f>
        <v>Batch mixer w/ engine, 50 to 100 bbl, operating, additional hours</v>
      </c>
      <c r="C208" s="55" t="str">
        <f>'[4]8'!C16</f>
        <v>HOUR</v>
      </c>
      <c r="D208" s="55">
        <f>'[4]8'!D16</f>
        <v>500</v>
      </c>
      <c r="E208" s="55"/>
      <c r="F208" s="55"/>
    </row>
    <row r="209" spans="1:6" ht="6" customHeight="1" x14ac:dyDescent="0.25">
      <c r="A209" s="39"/>
      <c r="B209" s="40"/>
      <c r="C209" s="41"/>
      <c r="D209" s="41"/>
      <c r="E209" s="41"/>
      <c r="F209" s="41"/>
    </row>
    <row r="210" spans="1:6" ht="16.149999999999999" customHeight="1" x14ac:dyDescent="0.25">
      <c r="A210" s="42" t="s">
        <v>102</v>
      </c>
      <c r="B210" s="43"/>
      <c r="C210" s="44"/>
      <c r="D210" s="44"/>
      <c r="E210" s="44"/>
      <c r="F210" s="44"/>
    </row>
    <row r="211" spans="1:6" x14ac:dyDescent="0.25">
      <c r="A211" s="45" t="s">
        <v>7</v>
      </c>
      <c r="B211" s="45" t="s">
        <v>8</v>
      </c>
      <c r="C211" s="46" t="s">
        <v>9</v>
      </c>
      <c r="D211" s="46" t="s">
        <v>75</v>
      </c>
      <c r="E211" s="46"/>
      <c r="F211" s="46"/>
    </row>
    <row r="212" spans="1:6" x14ac:dyDescent="0.25">
      <c r="A212" s="47" t="str">
        <f>'[4]8'!A21</f>
        <v>MKN-1936</v>
      </c>
      <c r="B212" s="48" t="str">
        <f>'[4]8'!B21</f>
        <v>Centrifugal pump skid, rental or standby</v>
      </c>
      <c r="C212" s="49" t="str">
        <f>'[4]8'!C21</f>
        <v>DAY</v>
      </c>
      <c r="D212" s="49">
        <f>'[4]8'!D21</f>
        <v>600</v>
      </c>
      <c r="E212" s="49"/>
      <c r="F212" s="49"/>
    </row>
    <row r="213" spans="1:6" x14ac:dyDescent="0.25">
      <c r="A213" s="50" t="str">
        <f>'[4]8'!A22</f>
        <v>MKN-1937</v>
      </c>
      <c r="B213" s="51" t="str">
        <f>'[4]8'!B22</f>
        <v>Centrifugal pump skid, job charge</v>
      </c>
      <c r="C213" s="52" t="str">
        <f>'[4]8'!C22</f>
        <v>JOB</v>
      </c>
      <c r="D213" s="52">
        <f>'[4]8'!D22</f>
        <v>1000</v>
      </c>
      <c r="E213" s="52"/>
      <c r="F213" s="52"/>
    </row>
    <row r="214" spans="1:6" x14ac:dyDescent="0.25">
      <c r="A214" s="50" t="str">
        <f>'[4]8'!A23</f>
        <v>MKN-1938</v>
      </c>
      <c r="B214" s="51" t="str">
        <f>'[4]8'!B23</f>
        <v>Acid Transfer Pump, rental or standby</v>
      </c>
      <c r="C214" s="52" t="str">
        <f>'[4]8'!C23</f>
        <v>DAY</v>
      </c>
      <c r="D214" s="52">
        <f>'[4]8'!D23</f>
        <v>400</v>
      </c>
      <c r="E214" s="52"/>
      <c r="F214" s="52"/>
    </row>
    <row r="215" spans="1:6" x14ac:dyDescent="0.25">
      <c r="A215" s="53" t="str">
        <f>'[4]8'!A24</f>
        <v>MKN-1939</v>
      </c>
      <c r="B215" s="54" t="str">
        <f>'[4]8'!B24</f>
        <v>Acid Transfer Pump, job charge</v>
      </c>
      <c r="C215" s="55" t="str">
        <f>'[4]8'!C24</f>
        <v>JOB</v>
      </c>
      <c r="D215" s="55">
        <f>'[4]8'!D24</f>
        <v>800</v>
      </c>
      <c r="E215" s="55"/>
      <c r="F215" s="55"/>
    </row>
    <row r="216" spans="1:6" ht="6" customHeight="1" x14ac:dyDescent="0.25">
      <c r="A216" s="39"/>
      <c r="B216" s="40"/>
      <c r="C216" s="41"/>
      <c r="D216" s="41"/>
      <c r="E216" s="41"/>
      <c r="F216" s="41"/>
    </row>
    <row r="217" spans="1:6" ht="16.149999999999999" customHeight="1" x14ac:dyDescent="0.25">
      <c r="A217" s="42" t="s">
        <v>103</v>
      </c>
      <c r="B217" s="43"/>
      <c r="C217" s="44"/>
      <c r="D217" s="44"/>
      <c r="E217" s="44"/>
      <c r="F217" s="44"/>
    </row>
    <row r="218" spans="1:6" x14ac:dyDescent="0.25">
      <c r="A218" s="45" t="s">
        <v>7</v>
      </c>
      <c r="B218" s="45" t="s">
        <v>8</v>
      </c>
      <c r="C218" s="46" t="s">
        <v>9</v>
      </c>
      <c r="D218" s="46" t="s">
        <v>75</v>
      </c>
      <c r="E218" s="46"/>
      <c r="F218" s="46"/>
    </row>
    <row r="219" spans="1:6" ht="24" x14ac:dyDescent="0.25">
      <c r="A219" s="47" t="str">
        <f>'[4]8'!A28</f>
        <v>MKN-1940</v>
      </c>
      <c r="B219" s="48" t="str">
        <f>'[4]8'!B28</f>
        <v>2" L.P Suction/Discharge Hose, per 15ft section, each</v>
      </c>
      <c r="C219" s="49" t="str">
        <f>'[4]8'!C28</f>
        <v>DAY</v>
      </c>
      <c r="D219" s="49">
        <f>'[4]8'!D28</f>
        <v>90</v>
      </c>
      <c r="E219" s="49"/>
      <c r="F219" s="49"/>
    </row>
    <row r="220" spans="1:6" ht="24" x14ac:dyDescent="0.25">
      <c r="A220" s="50" t="str">
        <f>'[4]8'!A29</f>
        <v>MKN-1941</v>
      </c>
      <c r="B220" s="51" t="str">
        <f>'[4]8'!B29</f>
        <v>3" L.P Suction/Discharge Hose, per 15ft section, each</v>
      </c>
      <c r="C220" s="52" t="str">
        <f>'[4]8'!C29</f>
        <v>DAY</v>
      </c>
      <c r="D220" s="52">
        <f>'[4]8'!D29</f>
        <v>120</v>
      </c>
      <c r="E220" s="52"/>
      <c r="F220" s="52"/>
    </row>
    <row r="221" spans="1:6" ht="24" x14ac:dyDescent="0.25">
      <c r="A221" s="53" t="str">
        <f>'[4]8'!A30</f>
        <v>MKN-1942</v>
      </c>
      <c r="B221" s="54" t="str">
        <f>'[4]8'!B30</f>
        <v>4" L.P Suction/Discharge Hose, per 15ft section, each</v>
      </c>
      <c r="C221" s="55" t="str">
        <f>'[4]8'!C30</f>
        <v>DAY</v>
      </c>
      <c r="D221" s="55">
        <f>'[4]8'!D30</f>
        <v>200</v>
      </c>
      <c r="E221" s="55"/>
      <c r="F221" s="55"/>
    </row>
    <row r="222" spans="1:6" ht="6" customHeight="1" x14ac:dyDescent="0.25">
      <c r="A222" s="39"/>
      <c r="B222" s="40"/>
      <c r="C222" s="41"/>
      <c r="D222" s="41"/>
      <c r="E222" s="41"/>
      <c r="F222" s="41"/>
    </row>
    <row r="223" spans="1:6" ht="16.149999999999999" customHeight="1" x14ac:dyDescent="0.25">
      <c r="A223" s="42" t="s">
        <v>104</v>
      </c>
      <c r="B223" s="43"/>
      <c r="C223" s="44"/>
      <c r="D223" s="44"/>
      <c r="E223" s="44"/>
      <c r="F223" s="44"/>
    </row>
    <row r="224" spans="1:6" x14ac:dyDescent="0.25">
      <c r="A224" s="45" t="s">
        <v>7</v>
      </c>
      <c r="B224" s="45" t="s">
        <v>8</v>
      </c>
      <c r="C224" s="46" t="s">
        <v>9</v>
      </c>
      <c r="D224" s="46" t="s">
        <v>75</v>
      </c>
      <c r="E224" s="46"/>
      <c r="F224" s="46"/>
    </row>
    <row r="225" spans="1:6" ht="48" x14ac:dyDescent="0.25">
      <c r="A225" s="47" t="str">
        <f>'[4]8'!A34</f>
        <v>MKN-1943</v>
      </c>
      <c r="B225" s="48" t="str">
        <f>'[4]8'!B34</f>
        <v>Mixing charge for different acid systems (gelling acid, retarded cross linked acid
 &amp; SDA ...) prior to job, based on total volume of fluid</v>
      </c>
      <c r="C225" s="49" t="str">
        <f>'[4]8'!C34</f>
        <v>GAL</v>
      </c>
      <c r="D225" s="49">
        <f>'[4]8'!D34</f>
        <v>2.5</v>
      </c>
      <c r="E225" s="49"/>
      <c r="F225" s="49"/>
    </row>
    <row r="226" spans="1:6" ht="24" x14ac:dyDescent="0.25">
      <c r="A226" s="53" t="str">
        <f>'[4]8'!A35</f>
        <v>MKN-1944</v>
      </c>
      <c r="B226" s="54" t="str">
        <f>'[4]8'!B35</f>
        <v>Pre-mixing chemicals prior to any treatment, per hour</v>
      </c>
      <c r="C226" s="55" t="str">
        <f>'[4]8'!C35</f>
        <v>GAL</v>
      </c>
      <c r="D226" s="55">
        <f>'[4]8'!D35</f>
        <v>2</v>
      </c>
      <c r="E226" s="55"/>
      <c r="F226" s="55"/>
    </row>
    <row r="227" spans="1:6" ht="6" customHeight="1" x14ac:dyDescent="0.25">
      <c r="A227" s="39"/>
      <c r="B227" s="40"/>
      <c r="C227" s="41"/>
      <c r="D227" s="41"/>
      <c r="E227" s="41"/>
      <c r="F227" s="41"/>
    </row>
    <row r="228" spans="1:6" ht="22.15" customHeight="1" thickBot="1" x14ac:dyDescent="0.3">
      <c r="A228" s="35" t="s">
        <v>105</v>
      </c>
      <c r="B228" s="36"/>
      <c r="C228" s="37"/>
      <c r="D228" s="37"/>
      <c r="E228" s="37"/>
      <c r="F228" s="38" t="s">
        <v>5</v>
      </c>
    </row>
    <row r="229" spans="1:6" ht="6" customHeight="1" thickTop="1" x14ac:dyDescent="0.25">
      <c r="A229" s="39"/>
      <c r="B229" s="40"/>
      <c r="C229" s="41"/>
      <c r="D229" s="41"/>
      <c r="E229" s="41"/>
      <c r="F229" s="41"/>
    </row>
    <row r="230" spans="1:6" ht="16.149999999999999" customHeight="1" x14ac:dyDescent="0.25">
      <c r="A230" s="42" t="s">
        <v>106</v>
      </c>
      <c r="B230" s="43"/>
      <c r="C230" s="44"/>
      <c r="D230" s="44"/>
      <c r="E230" s="44"/>
      <c r="F230" s="44"/>
    </row>
    <row r="231" spans="1:6" x14ac:dyDescent="0.25">
      <c r="A231" s="45" t="s">
        <v>7</v>
      </c>
      <c r="B231" s="45" t="s">
        <v>107</v>
      </c>
      <c r="C231" s="46" t="s">
        <v>75</v>
      </c>
      <c r="D231" s="46"/>
      <c r="E231" s="46"/>
      <c r="F231" s="46"/>
    </row>
    <row r="232" spans="1:6" x14ac:dyDescent="0.25">
      <c r="A232" s="47" t="str">
        <f>'[4]9'!A28</f>
        <v>MKN-1945</v>
      </c>
      <c r="B232" s="48" t="str">
        <f>'[4]9'!B28</f>
        <v>0 TO 5,000 FT</v>
      </c>
      <c r="C232" s="49">
        <f>'[4]9'!C28</f>
        <v>17621</v>
      </c>
      <c r="D232" s="49"/>
      <c r="E232" s="49"/>
      <c r="F232" s="49"/>
    </row>
    <row r="233" spans="1:6" x14ac:dyDescent="0.25">
      <c r="A233" s="50" t="str">
        <f>'[4]9'!A29</f>
        <v>MKN-1946</v>
      </c>
      <c r="B233" s="51" t="str">
        <f>'[4]9'!B29</f>
        <v>5,001 TO 6,000 FT</v>
      </c>
      <c r="C233" s="52">
        <f>'[4]9'!C29</f>
        <v>17795</v>
      </c>
      <c r="D233" s="52"/>
      <c r="E233" s="52"/>
      <c r="F233" s="52"/>
    </row>
    <row r="234" spans="1:6" x14ac:dyDescent="0.25">
      <c r="A234" s="50" t="str">
        <f>'[4]9'!A30</f>
        <v>MKN-1947</v>
      </c>
      <c r="B234" s="51" t="str">
        <f>'[4]9'!B30</f>
        <v>6,001 TO 7,000 FT</v>
      </c>
      <c r="C234" s="52">
        <f>'[4]9'!C30</f>
        <v>17966</v>
      </c>
      <c r="D234" s="52"/>
      <c r="E234" s="52"/>
      <c r="F234" s="52"/>
    </row>
    <row r="235" spans="1:6" x14ac:dyDescent="0.25">
      <c r="A235" s="50" t="str">
        <f>'[4]9'!A31</f>
        <v>MKN-1948</v>
      </c>
      <c r="B235" s="51" t="str">
        <f>'[4]9'!B31</f>
        <v>7,001 TO 8,000 FT</v>
      </c>
      <c r="C235" s="52">
        <f>'[4]9'!C31</f>
        <v>18137</v>
      </c>
      <c r="D235" s="52"/>
      <c r="E235" s="52"/>
      <c r="F235" s="52"/>
    </row>
    <row r="236" spans="1:6" x14ac:dyDescent="0.25">
      <c r="A236" s="50" t="str">
        <f>'[4]9'!A32</f>
        <v>MKN-1949</v>
      </c>
      <c r="B236" s="51" t="str">
        <f>'[4]9'!B32</f>
        <v>8,001 TO 9,000 FT</v>
      </c>
      <c r="C236" s="52">
        <f>'[4]9'!C32</f>
        <v>18313</v>
      </c>
      <c r="D236" s="52"/>
      <c r="E236" s="52"/>
      <c r="F236" s="52"/>
    </row>
    <row r="237" spans="1:6" x14ac:dyDescent="0.25">
      <c r="A237" s="50" t="str">
        <f>'[4]9'!A33</f>
        <v>MKN-1950</v>
      </c>
      <c r="B237" s="51" t="str">
        <f>'[4]9'!B33</f>
        <v>9,001 TO 10,000 FT</v>
      </c>
      <c r="C237" s="52">
        <f>'[4]9'!C33</f>
        <v>18487</v>
      </c>
      <c r="D237" s="52"/>
      <c r="E237" s="52"/>
      <c r="F237" s="52"/>
    </row>
    <row r="238" spans="1:6" x14ac:dyDescent="0.25">
      <c r="A238" s="50" t="str">
        <f>'[4]9'!A34</f>
        <v>MKN-1951</v>
      </c>
      <c r="B238" s="51" t="str">
        <f>'[4]9'!B34</f>
        <v>10,001 TO 11,000 FT</v>
      </c>
      <c r="C238" s="52">
        <f>'[4]9'!C34</f>
        <v>18659</v>
      </c>
      <c r="D238" s="52"/>
      <c r="E238" s="52"/>
      <c r="F238" s="52"/>
    </row>
    <row r="239" spans="1:6" x14ac:dyDescent="0.25">
      <c r="A239" s="50" t="str">
        <f>'[4]9'!A35</f>
        <v>MKN-1952</v>
      </c>
      <c r="B239" s="51" t="str">
        <f>'[4]9'!B35</f>
        <v>11,001 TO 12,000 FT</v>
      </c>
      <c r="C239" s="52">
        <f>'[4]9'!C35</f>
        <v>18833</v>
      </c>
      <c r="D239" s="52"/>
      <c r="E239" s="52"/>
      <c r="F239" s="52"/>
    </row>
    <row r="240" spans="1:6" x14ac:dyDescent="0.25">
      <c r="A240" s="50" t="str">
        <f>'[4]9'!A36</f>
        <v>MKN-1953</v>
      </c>
      <c r="B240" s="51" t="str">
        <f>'[4]9'!B36</f>
        <v>12,001 TO 13,000 FT</v>
      </c>
      <c r="C240" s="52">
        <f>'[4]9'!C36</f>
        <v>19008</v>
      </c>
      <c r="D240" s="52"/>
      <c r="E240" s="52"/>
      <c r="F240" s="52"/>
    </row>
    <row r="241" spans="1:6" x14ac:dyDescent="0.25">
      <c r="A241" s="50" t="str">
        <f>'[4]9'!A37</f>
        <v>MKN-1954</v>
      </c>
      <c r="B241" s="51" t="str">
        <f>'[4]9'!B37</f>
        <v>13,001 TO 14,000 FT</v>
      </c>
      <c r="C241" s="52">
        <f>'[4]9'!C37</f>
        <v>19183</v>
      </c>
      <c r="D241" s="52"/>
      <c r="E241" s="52"/>
      <c r="F241" s="52"/>
    </row>
    <row r="242" spans="1:6" ht="24" x14ac:dyDescent="0.25">
      <c r="A242" s="53" t="str">
        <f>'[4]9'!A38</f>
        <v>MKN-1955</v>
      </c>
      <c r="B242" s="54" t="str">
        <f>'[4]9'!B38</f>
        <v>14,001 FT. OR DEEPER ADD PER 100 FT., OR FRACTION</v>
      </c>
      <c r="C242" s="55">
        <f>'[4]9'!C38</f>
        <v>243</v>
      </c>
      <c r="D242" s="55"/>
      <c r="E242" s="55"/>
      <c r="F242" s="55"/>
    </row>
    <row r="243" spans="1:6" ht="48" customHeight="1" x14ac:dyDescent="0.25">
      <c r="A243" s="465" t="s">
        <v>108</v>
      </c>
      <c r="B243" s="465"/>
      <c r="C243" s="465"/>
      <c r="D243" s="465"/>
      <c r="E243" s="465"/>
      <c r="F243" s="465"/>
    </row>
    <row r="244" spans="1:6" ht="6" customHeight="1" x14ac:dyDescent="0.25">
      <c r="A244" s="39"/>
      <c r="B244" s="40"/>
      <c r="C244" s="41"/>
      <c r="D244" s="41"/>
      <c r="E244" s="41"/>
      <c r="F244" s="41"/>
    </row>
    <row r="245" spans="1:6" ht="16.149999999999999" customHeight="1" x14ac:dyDescent="0.25">
      <c r="A245" s="42" t="s">
        <v>109</v>
      </c>
      <c r="B245" s="43"/>
      <c r="C245" s="44"/>
      <c r="D245" s="44"/>
      <c r="E245" s="44"/>
      <c r="F245" s="44"/>
    </row>
    <row r="246" spans="1:6" x14ac:dyDescent="0.25">
      <c r="A246" s="45" t="s">
        <v>7</v>
      </c>
      <c r="B246" s="45" t="s">
        <v>8</v>
      </c>
      <c r="C246" s="46" t="s">
        <v>75</v>
      </c>
      <c r="D246" s="46"/>
      <c r="E246" s="46"/>
      <c r="F246" s="46"/>
    </row>
    <row r="247" spans="1:6" x14ac:dyDescent="0.25">
      <c r="A247" s="47" t="str">
        <f>'[4]10'!A23</f>
        <v>MKN-1956</v>
      </c>
      <c r="B247" s="48" t="str">
        <f>'[4]10'!B23</f>
        <v>ADDITIONAL HOURS OR FRACTION OF, PER HOUR</v>
      </c>
      <c r="C247" s="49">
        <f>'[4]10'!C23</f>
        <v>107</v>
      </c>
      <c r="D247" s="49"/>
      <c r="E247" s="49"/>
      <c r="F247" s="49"/>
    </row>
    <row r="248" spans="1:6" ht="24" x14ac:dyDescent="0.25">
      <c r="A248" s="50" t="str">
        <f>'[4]10'!A24</f>
        <v>MKN-1957-00</v>
      </c>
      <c r="B248" s="51" t="str">
        <f>'[4]10'!B24</f>
        <v>TRANSPORTATION CHARGE: PICK-UP ROUND TRIP, PER KM</v>
      </c>
      <c r="C248" s="52">
        <f>'[4]10'!C24</f>
        <v>3.9</v>
      </c>
      <c r="D248" s="52"/>
      <c r="E248" s="52"/>
      <c r="F248" s="52"/>
    </row>
    <row r="249" spans="1:6" ht="24" x14ac:dyDescent="0.25">
      <c r="A249" s="50" t="str">
        <f>'[4]10'!A25</f>
        <v>MKN-1957-01</v>
      </c>
      <c r="B249" s="51" t="str">
        <f>'[4]10'!B25</f>
        <v>TRANSPORTATION CHARGE: SERVICE TRUCK ROUND TRIP, PER KM</v>
      </c>
      <c r="C249" s="52">
        <f>'[4]10'!C25</f>
        <v>4.5</v>
      </c>
      <c r="D249" s="52"/>
      <c r="E249" s="52"/>
      <c r="F249" s="52"/>
    </row>
    <row r="250" spans="1:6" ht="24" x14ac:dyDescent="0.25">
      <c r="A250" s="50" t="str">
        <f>'[4]10'!A26</f>
        <v>MKN-1957-02</v>
      </c>
      <c r="B250" s="51" t="str">
        <f>'[4]10'!B26</f>
        <v>TRANSPORTATION CHARGE: SERVICE TRUCK STAND BY, PER DAY</v>
      </c>
      <c r="C250" s="52">
        <f>'[4]10'!C26</f>
        <v>447</v>
      </c>
      <c r="D250" s="52"/>
      <c r="E250" s="52"/>
      <c r="F250" s="52"/>
    </row>
    <row r="251" spans="1:6" ht="24" x14ac:dyDescent="0.25">
      <c r="A251" s="50" t="str">
        <f>'[4]10'!A27</f>
        <v>MKN-1958</v>
      </c>
      <c r="B251" s="51" t="str">
        <f>'[4]10'!B27</f>
        <v>UNSUCCESSFUL RUN SERVICE CHARGE: INCLUDE STANDARD TESTING EQUIPMENT</v>
      </c>
      <c r="C251" s="52">
        <f>'[4]10'!C27</f>
        <v>1850</v>
      </c>
      <c r="D251" s="52"/>
      <c r="E251" s="52"/>
      <c r="F251" s="52"/>
    </row>
    <row r="252" spans="1:6" x14ac:dyDescent="0.25">
      <c r="A252" s="50" t="str">
        <f>'[4]10'!A28</f>
        <v>MKN-1959</v>
      </c>
      <c r="B252" s="51" t="str">
        <f>'[4]10'!B28</f>
        <v>CANCELLATION OF SERVICE: BY CLIENT.</v>
      </c>
      <c r="C252" s="52">
        <f>'[4]10'!C28</f>
        <v>2260</v>
      </c>
      <c r="D252" s="52"/>
      <c r="E252" s="52"/>
      <c r="F252" s="52"/>
    </row>
    <row r="253" spans="1:6" ht="24" x14ac:dyDescent="0.25">
      <c r="A253" s="50" t="str">
        <f>'[4]10'!A29</f>
        <v>MKN-1960</v>
      </c>
      <c r="B253" s="51" t="str">
        <f>'[4]10'!B29</f>
        <v>WAITING TIME: EQUIPMENT, AFTER THE FIRST 6 HOURS, PER HOUR.</v>
      </c>
      <c r="C253" s="52">
        <f>'[4]10'!C29</f>
        <v>64</v>
      </c>
      <c r="D253" s="52"/>
      <c r="E253" s="52"/>
      <c r="F253" s="52"/>
    </row>
    <row r="254" spans="1:6" ht="24" x14ac:dyDescent="0.25">
      <c r="A254" s="50" t="str">
        <f>'[4]10'!A30</f>
        <v>MKN-1961-00</v>
      </c>
      <c r="B254" s="51" t="str">
        <f>'[4]10'!B30</f>
        <v>PERSONNEL CHARGES: PER DAY, PER MAN. D.S.T. TECHNICIAN, PER DAY OR FRACTION ...</v>
      </c>
      <c r="C254" s="52">
        <f>'[4]10'!C30</f>
        <v>1300</v>
      </c>
      <c r="D254" s="52"/>
      <c r="E254" s="52"/>
      <c r="F254" s="52"/>
    </row>
    <row r="255" spans="1:6" x14ac:dyDescent="0.25">
      <c r="A255" s="50" t="str">
        <f>'[4]10'!A31</f>
        <v>MKN-1961-01</v>
      </c>
      <c r="B255" s="51" t="str">
        <f>'[4]10'!B31</f>
        <v>D.S.T. ASSISTANT, PER DAY OR FRACTION ...</v>
      </c>
      <c r="C255" s="52">
        <f>'[4]10'!C31</f>
        <v>740</v>
      </c>
      <c r="D255" s="52"/>
      <c r="E255" s="52"/>
      <c r="F255" s="52"/>
    </row>
    <row r="256" spans="1:6" x14ac:dyDescent="0.25">
      <c r="A256" s="50"/>
      <c r="B256" s="51" t="str">
        <f>'[4]10'!B32</f>
        <v>CORROSIVE SERVICE CHARGE: ...........................</v>
      </c>
      <c r="C256" s="52" t="str">
        <f>'[4]10'!C33</f>
        <v>PLUS 20 %</v>
      </c>
      <c r="D256" s="52"/>
      <c r="E256" s="52"/>
      <c r="F256" s="52"/>
    </row>
    <row r="257" spans="1:6" x14ac:dyDescent="0.25">
      <c r="A257" s="53" t="str">
        <f>'[4]10'!A35</f>
        <v>MKN-1963</v>
      </c>
      <c r="B257" s="54" t="str">
        <f>'[4]10'!B35</f>
        <v>DESERT SURCHARGE</v>
      </c>
      <c r="C257" s="55" t="str">
        <f>'[4]10'!C35</f>
        <v>PLUS 20 %</v>
      </c>
      <c r="D257" s="55"/>
      <c r="E257" s="55"/>
      <c r="F257" s="55"/>
    </row>
    <row r="258" spans="1:6" ht="15" customHeight="1" x14ac:dyDescent="0.25">
      <c r="A258" s="465" t="s">
        <v>110</v>
      </c>
      <c r="B258" s="465"/>
      <c r="C258" s="465"/>
      <c r="D258" s="465"/>
      <c r="E258" s="465"/>
      <c r="F258" s="465"/>
    </row>
    <row r="259" spans="1:6" ht="6" customHeight="1" x14ac:dyDescent="0.25">
      <c r="A259" s="39"/>
      <c r="B259" s="40"/>
      <c r="C259" s="41"/>
      <c r="D259" s="41"/>
      <c r="E259" s="41"/>
      <c r="F259" s="41"/>
    </row>
    <row r="260" spans="1:6" ht="16.149999999999999" customHeight="1" x14ac:dyDescent="0.25">
      <c r="A260" s="42" t="s">
        <v>111</v>
      </c>
      <c r="B260" s="43"/>
      <c r="C260" s="44"/>
      <c r="D260" s="44"/>
      <c r="E260" s="44"/>
      <c r="F260" s="44"/>
    </row>
    <row r="261" spans="1:6" x14ac:dyDescent="0.25">
      <c r="A261" s="45" t="s">
        <v>7</v>
      </c>
      <c r="B261" s="45" t="s">
        <v>8</v>
      </c>
      <c r="C261" s="46" t="s">
        <v>75</v>
      </c>
      <c r="D261" s="46"/>
      <c r="E261" s="46"/>
      <c r="F261" s="46"/>
    </row>
    <row r="262" spans="1:6" x14ac:dyDescent="0.25">
      <c r="A262" s="47" t="str">
        <f>'[4]11'!A9</f>
        <v>MKN-1964</v>
      </c>
      <c r="B262" s="48" t="str">
        <f>'[4]11'!B9</f>
        <v>SHUT-IN TOOL, FIRST 24 HOURS</v>
      </c>
      <c r="C262" s="49">
        <f>'[4]11'!C9</f>
        <v>375</v>
      </c>
      <c r="D262" s="49"/>
      <c r="E262" s="49"/>
      <c r="F262" s="49"/>
    </row>
    <row r="263" spans="1:6" ht="24" x14ac:dyDescent="0.25">
      <c r="A263" s="50" t="str">
        <f>'[4]11'!A10</f>
        <v>MKN-1965</v>
      </c>
      <c r="B263" s="51" t="str">
        <f>'[4]11'!B10</f>
        <v>SHUT-IN TOOL: EACH ADDITIONAL 8 HOURS, OR FRACTION</v>
      </c>
      <c r="C263" s="52">
        <f>'[4]11'!C10</f>
        <v>107</v>
      </c>
      <c r="D263" s="52"/>
      <c r="E263" s="52"/>
      <c r="F263" s="52"/>
    </row>
    <row r="264" spans="1:6" x14ac:dyDescent="0.25">
      <c r="A264" s="50" t="str">
        <f>'[4]11'!A11</f>
        <v>MKN-1966</v>
      </c>
      <c r="B264" s="51" t="str">
        <f>'[4]11'!B11</f>
        <v>HYDRAULIC MAIN VALVE, FIRST 24 HOURS</v>
      </c>
      <c r="C264" s="52">
        <f>'[4]11'!C11</f>
        <v>321</v>
      </c>
      <c r="D264" s="52"/>
      <c r="E264" s="52"/>
      <c r="F264" s="52"/>
    </row>
    <row r="265" spans="1:6" ht="24" x14ac:dyDescent="0.25">
      <c r="A265" s="50" t="str">
        <f>'[4]11'!A12</f>
        <v>MKN-1967</v>
      </c>
      <c r="B265" s="51" t="str">
        <f>'[4]11'!B12</f>
        <v>HY. M. VALVE: EACH ADDITIONAL 8 HOURS, OR FRACTION</v>
      </c>
      <c r="C265" s="52">
        <f>'[4]11'!C12</f>
        <v>95</v>
      </c>
      <c r="D265" s="52"/>
      <c r="E265" s="52"/>
      <c r="F265" s="52"/>
    </row>
    <row r="266" spans="1:6" x14ac:dyDescent="0.25">
      <c r="A266" s="50" t="str">
        <f>'[4]11'!A13</f>
        <v>MKN-1968</v>
      </c>
      <c r="B266" s="51" t="str">
        <f>'[4]11'!B13</f>
        <v>OPEN HOLE PACKER ASSEMBLY, PER ASSEMBLY</v>
      </c>
      <c r="C266" s="52">
        <f>'[4]11'!C13</f>
        <v>737</v>
      </c>
      <c r="D266" s="52"/>
      <c r="E266" s="52"/>
      <c r="F266" s="52"/>
    </row>
    <row r="267" spans="1:6" x14ac:dyDescent="0.25">
      <c r="A267" s="50" t="str">
        <f>'[4]11'!A14</f>
        <v>MKN-1969</v>
      </c>
      <c r="B267" s="51" t="str">
        <f>'[4]11'!B14</f>
        <v>STRADDLE BY-PASS ASSEMBLY, PER RUN</v>
      </c>
      <c r="C267" s="52">
        <f>'[4]11'!C14</f>
        <v>416</v>
      </c>
      <c r="D267" s="52"/>
      <c r="E267" s="52"/>
      <c r="F267" s="52"/>
    </row>
    <row r="268" spans="1:6" x14ac:dyDescent="0.25">
      <c r="A268" s="50" t="str">
        <f>'[4]11'!A15</f>
        <v>MKN-1970</v>
      </c>
      <c r="B268" s="51" t="str">
        <f>'[4]11'!B15</f>
        <v>WALTER'S SAFETY JOINT, PER RUN</v>
      </c>
      <c r="C268" s="52">
        <f>'[4]11'!C15</f>
        <v>243</v>
      </c>
      <c r="D268" s="52"/>
      <c r="E268" s="52"/>
      <c r="F268" s="52"/>
    </row>
    <row r="269" spans="1:6" x14ac:dyDescent="0.25">
      <c r="A269" s="50" t="str">
        <f>'[4]11'!A16</f>
        <v>MKN-1971</v>
      </c>
      <c r="B269" s="51" t="str">
        <f>'[4]11'!B16</f>
        <v>LEE MASON HYDRAULIC TESTING JARS, PER RUN</v>
      </c>
      <c r="C269" s="52">
        <f>'[4]11'!C16</f>
        <v>977</v>
      </c>
      <c r="D269" s="52"/>
      <c r="E269" s="52"/>
      <c r="F269" s="52"/>
    </row>
    <row r="270" spans="1:6" x14ac:dyDescent="0.25">
      <c r="A270" s="50" t="str">
        <f>'[4]11'!A17</f>
        <v>MKN-1972</v>
      </c>
      <c r="B270" s="51" t="str">
        <f>'[4]11'!B17</f>
        <v>REVERSE CIRCULATING EQUIPMENT, PER RUN</v>
      </c>
      <c r="C270" s="52">
        <f>'[4]11'!C17</f>
        <v>161</v>
      </c>
      <c r="D270" s="52"/>
      <c r="E270" s="52"/>
      <c r="F270" s="52"/>
    </row>
    <row r="271" spans="1:6" x14ac:dyDescent="0.25">
      <c r="A271" s="50" t="str">
        <f>'[4]11'!A18</f>
        <v>MKN-1973</v>
      </c>
      <c r="B271" s="51" t="str">
        <f>'[4]11'!B18</f>
        <v>CROSS OVER SUBS PER SUB, PER RUN</v>
      </c>
      <c r="C271" s="52">
        <f>'[4]11'!C18</f>
        <v>65</v>
      </c>
      <c r="D271" s="52"/>
      <c r="E271" s="52"/>
      <c r="F271" s="52"/>
    </row>
    <row r="272" spans="1:6" x14ac:dyDescent="0.25">
      <c r="A272" s="50" t="str">
        <f>'[4]11'!A19</f>
        <v>MKN-1974</v>
      </c>
      <c r="B272" s="51" t="str">
        <f>'[4]11'!B19</f>
        <v>ANCHOR IN EXCESS OF 30 FT.: PER FOOT</v>
      </c>
      <c r="C272" s="52">
        <f>'[4]11'!C19</f>
        <v>33</v>
      </c>
      <c r="D272" s="52"/>
      <c r="E272" s="52"/>
      <c r="F272" s="52"/>
    </row>
    <row r="273" spans="1:6" x14ac:dyDescent="0.25">
      <c r="A273" s="50" t="str">
        <f>'[4]11'!A20</f>
        <v>MKN-1975</v>
      </c>
      <c r="B273" s="51" t="str">
        <f>'[4]11'!B20</f>
        <v>BUBBLE HEAD PLUS GAUGES AND HOSES</v>
      </c>
      <c r="C273" s="52">
        <f>'[4]11'!C20</f>
        <v>81</v>
      </c>
      <c r="D273" s="52"/>
      <c r="E273" s="52"/>
      <c r="F273" s="52"/>
    </row>
    <row r="274" spans="1:6" x14ac:dyDescent="0.25">
      <c r="A274" s="50" t="str">
        <f>'[4]11'!A21</f>
        <v>MKN-1976</v>
      </c>
      <c r="B274" s="51" t="str">
        <f>'[4]11'!B21</f>
        <v>1 1/2" STEEL CHICKSAN JOINT, PER JOINT</v>
      </c>
      <c r="C274" s="52">
        <f>'[4]11'!C21</f>
        <v>174</v>
      </c>
      <c r="D274" s="52"/>
      <c r="E274" s="52"/>
      <c r="F274" s="52"/>
    </row>
    <row r="275" spans="1:6" x14ac:dyDescent="0.25">
      <c r="A275" s="50" t="str">
        <f>'[4]11'!A22</f>
        <v>MKN-1977</v>
      </c>
      <c r="B275" s="51" t="str">
        <f>'[4]11'!B22</f>
        <v>SURFACE SAMPLING EQUIPMENT, PER TEST</v>
      </c>
      <c r="C275" s="52">
        <f>'[4]11'!C22</f>
        <v>696</v>
      </c>
      <c r="D275" s="52"/>
      <c r="E275" s="52"/>
      <c r="F275" s="52"/>
    </row>
    <row r="276" spans="1:6" ht="48" x14ac:dyDescent="0.25">
      <c r="A276" s="50" t="str">
        <f>'[4]11'!A23</f>
        <v>MKN-1978</v>
      </c>
      <c r="B276" s="51" t="str">
        <f>'[4]11'!B23</f>
        <v>FAIL SAFE, REMOTE CONTROL HEAD INCLUDES: LIFTING NIPPLE, MASTER VALVE, 
FLOW-TEE, DROP BAR ASSEMBLY, SWIVEL, AND ACCESS VALVE</v>
      </c>
      <c r="C276" s="52">
        <f>'[4]11'!C23</f>
        <v>1260</v>
      </c>
      <c r="D276" s="52"/>
      <c r="E276" s="52"/>
      <c r="F276" s="52"/>
    </row>
    <row r="277" spans="1:6" x14ac:dyDescent="0.25">
      <c r="A277" s="53" t="str">
        <f>'[4]11'!A24</f>
        <v>MKN-1979</v>
      </c>
      <c r="B277" s="54" t="str">
        <f>'[4]11'!B24</f>
        <v>RESERVOIR FLUID SAMPLER, PER RUN</v>
      </c>
      <c r="C277" s="55">
        <f>'[4]11'!C24</f>
        <v>1526</v>
      </c>
      <c r="D277" s="55"/>
      <c r="E277" s="55"/>
      <c r="F277" s="55"/>
    </row>
    <row r="278" spans="1:6" ht="6" customHeight="1" x14ac:dyDescent="0.25">
      <c r="A278" s="39"/>
      <c r="B278" s="40"/>
      <c r="C278" s="41"/>
      <c r="D278" s="41"/>
      <c r="E278" s="41"/>
      <c r="F278" s="41"/>
    </row>
    <row r="279" spans="1:6" ht="16.149999999999999" customHeight="1" x14ac:dyDescent="0.25">
      <c r="A279" s="42" t="s">
        <v>112</v>
      </c>
      <c r="B279" s="43"/>
      <c r="C279" s="44"/>
      <c r="D279" s="44"/>
      <c r="E279" s="44"/>
      <c r="F279" s="44"/>
    </row>
    <row r="280" spans="1:6" x14ac:dyDescent="0.25">
      <c r="A280" s="45" t="s">
        <v>7</v>
      </c>
      <c r="B280" s="45" t="s">
        <v>8</v>
      </c>
      <c r="C280" s="46" t="s">
        <v>75</v>
      </c>
      <c r="D280" s="46"/>
      <c r="E280" s="46"/>
      <c r="F280" s="46"/>
    </row>
    <row r="281" spans="1:6" x14ac:dyDescent="0.25">
      <c r="A281" s="47" t="str">
        <f>'[4]11'!A27</f>
        <v>MKN-1980</v>
      </c>
      <c r="B281" s="48" t="str">
        <f>'[4]11'!B27</f>
        <v>MECHANICAL TEMPERATURE RECORDERS: PER RUN</v>
      </c>
      <c r="C281" s="49">
        <f>'[4]11'!C27</f>
        <v>500</v>
      </c>
      <c r="D281" s="49"/>
      <c r="E281" s="49"/>
      <c r="F281" s="49"/>
    </row>
    <row r="282" spans="1:6" x14ac:dyDescent="0.25">
      <c r="A282" s="50" t="str">
        <f>'[4]11'!A28</f>
        <v>MKN-1981</v>
      </c>
      <c r="B282" s="51" t="str">
        <f>'[4]11'!B28</f>
        <v>MECHANICAL PRESSURE RECORDERS: PER RUN</v>
      </c>
      <c r="C282" s="52">
        <f>'[4]11'!C28</f>
        <v>500</v>
      </c>
      <c r="D282" s="52"/>
      <c r="E282" s="52"/>
      <c r="F282" s="52"/>
    </row>
    <row r="283" spans="1:6" x14ac:dyDescent="0.25">
      <c r="A283" s="50" t="str">
        <f>'[4]11'!A29</f>
        <v>MKN-1982-00</v>
      </c>
      <c r="B283" s="51" t="str">
        <f>'[4]11'!B29</f>
        <v>ASE MEMORY GAUGE, PER RUN</v>
      </c>
      <c r="C283" s="52">
        <f>'[4]11'!C29</f>
        <v>1100</v>
      </c>
      <c r="D283" s="52"/>
      <c r="E283" s="52"/>
      <c r="F283" s="52"/>
    </row>
    <row r="284" spans="1:6" x14ac:dyDescent="0.25">
      <c r="A284" s="50" t="str">
        <f>'[4]11'!A30</f>
        <v>MKN-1982-01</v>
      </c>
      <c r="B284" s="51" t="str">
        <f>'[4]11'!B30</f>
        <v>LITHIUM BATTERY, PER RUN</v>
      </c>
      <c r="C284" s="52">
        <f>'[4]11'!C30</f>
        <v>150</v>
      </c>
      <c r="D284" s="52"/>
      <c r="E284" s="52"/>
      <c r="F284" s="52"/>
    </row>
    <row r="285" spans="1:6" ht="36" x14ac:dyDescent="0.25">
      <c r="A285" s="53" t="str">
        <f>'[4]11'!A31</f>
        <v>MKN-1983</v>
      </c>
      <c r="B285" s="54" t="str">
        <f>'[4]11'!B31</f>
        <v>FIELD READING OR MEMORY GAUGE USING ANALYTICAL PROGRAM, 
PER GAUGE, PER RUN</v>
      </c>
      <c r="C285" s="55">
        <f>'[4]11'!C31</f>
        <v>850</v>
      </c>
      <c r="D285" s="55"/>
      <c r="E285" s="55"/>
      <c r="F285" s="55"/>
    </row>
    <row r="286" spans="1:6" ht="6" customHeight="1" x14ac:dyDescent="0.25">
      <c r="A286" s="39"/>
      <c r="B286" s="40"/>
      <c r="C286" s="41"/>
      <c r="D286" s="41"/>
      <c r="E286" s="41"/>
      <c r="F286" s="41"/>
    </row>
    <row r="287" spans="1:6" ht="16.149999999999999" customHeight="1" x14ac:dyDescent="0.25">
      <c r="A287" s="42" t="s">
        <v>113</v>
      </c>
      <c r="B287" s="43"/>
      <c r="C287" s="44"/>
      <c r="D287" s="44"/>
      <c r="E287" s="44"/>
      <c r="F287" s="44"/>
    </row>
    <row r="288" spans="1:6" x14ac:dyDescent="0.25">
      <c r="A288" s="45" t="s">
        <v>7</v>
      </c>
      <c r="B288" s="45" t="s">
        <v>8</v>
      </c>
      <c r="C288" s="46" t="s">
        <v>75</v>
      </c>
      <c r="D288" s="46"/>
      <c r="E288" s="46"/>
      <c r="F288" s="46"/>
    </row>
    <row r="289" spans="1:6" x14ac:dyDescent="0.25">
      <c r="A289" s="47" t="str">
        <f>'[4]12'!A10</f>
        <v>MKN-1984</v>
      </c>
      <c r="B289" s="48" t="str">
        <f>'[4]12'!B10</f>
        <v> LAP TOP COMPUTER AND PRINTER</v>
      </c>
      <c r="C289" s="49">
        <f>'[4]12'!C10</f>
        <v>345</v>
      </c>
      <c r="D289" s="49"/>
      <c r="E289" s="49"/>
      <c r="F289" s="49"/>
    </row>
    <row r="290" spans="1:6" ht="24" x14ac:dyDescent="0.25">
      <c r="A290" s="50" t="str">
        <f>'[4]12'!A11</f>
        <v>MKN-1985</v>
      </c>
      <c r="B290" s="51" t="str">
        <f>'[4]12'!B11</f>
        <v>D.S.T. REPORT, FIRST THREE COPIES, FREE, EXTRA COPIES</v>
      </c>
      <c r="C290" s="52">
        <f>'[4]12'!C11</f>
        <v>44</v>
      </c>
      <c r="D290" s="52"/>
      <c r="E290" s="52"/>
      <c r="F290" s="52"/>
    </row>
    <row r="291" spans="1:6" x14ac:dyDescent="0.25">
      <c r="A291" s="50" t="str">
        <f>'[4]12'!A12</f>
        <v>MKN-1986</v>
      </c>
      <c r="B291" s="51" t="str">
        <f>'[4]12'!B12</f>
        <v>RE-ORDER TEST REPORT: EACH REPORT FOLDER</v>
      </c>
      <c r="C291" s="52">
        <f>'[4]12'!C12</f>
        <v>51</v>
      </c>
      <c r="D291" s="52"/>
      <c r="E291" s="52"/>
      <c r="F291" s="52"/>
    </row>
    <row r="292" spans="1:6" ht="48" x14ac:dyDescent="0.25">
      <c r="A292" s="50" t="str">
        <f>'[4]12'!A13</f>
        <v>MKN-1987</v>
      </c>
      <c r="B292" s="51" t="str">
        <f>'[4]12'!B13</f>
        <v>TEST DATA ANALYSIS: COMPUTERIZED DATA ANALYSIS,
 FIRST THREE COPIES (IF ELECTRONIC PRESSURE &amp; TEMPERATURE NOT RUN)</v>
      </c>
      <c r="C292" s="52">
        <f>'[4]12'!C13</f>
        <v>948</v>
      </c>
      <c r="D292" s="52"/>
      <c r="E292" s="52"/>
      <c r="F292" s="52"/>
    </row>
    <row r="293" spans="1:6" x14ac:dyDescent="0.25">
      <c r="A293" s="50" t="str">
        <f>'[4]12'!A14</f>
        <v>MKN-1988</v>
      </c>
      <c r="B293" s="51" t="str">
        <f>'[4]12'!B14</f>
        <v>LOCAL READING, OTHER THAN BASIC</v>
      </c>
      <c r="C293" s="52">
        <f>'[4]12'!C14</f>
        <v>350</v>
      </c>
      <c r="D293" s="52"/>
      <c r="E293" s="52"/>
      <c r="F293" s="52"/>
    </row>
    <row r="294" spans="1:6" ht="48" x14ac:dyDescent="0.25">
      <c r="A294" s="53" t="str">
        <f>'[4]12'!A15</f>
        <v>MKN-1989</v>
      </c>
      <c r="B294" s="54" t="str">
        <f>'[4]12'!B15</f>
        <v>READING, 
PER INSTRUMENT OF MAJOR PRESSURE POINT LOCATION WITH FIELD CHART READER, 
PER CHART</v>
      </c>
      <c r="C294" s="55">
        <f>'[4]12'!C15</f>
        <v>215</v>
      </c>
      <c r="D294" s="55"/>
      <c r="E294" s="55"/>
      <c r="F294" s="55"/>
    </row>
    <row r="295" spans="1:6" ht="6" customHeight="1" x14ac:dyDescent="0.25">
      <c r="A295" s="39"/>
      <c r="B295" s="40"/>
      <c r="C295" s="41"/>
      <c r="D295" s="41"/>
      <c r="E295" s="41"/>
      <c r="F295" s="41"/>
    </row>
    <row r="296" spans="1:6" ht="16.149999999999999" customHeight="1" x14ac:dyDescent="0.25">
      <c r="A296" s="42" t="s">
        <v>114</v>
      </c>
      <c r="B296" s="43"/>
      <c r="C296" s="44"/>
      <c r="D296" s="44"/>
      <c r="E296" s="44"/>
      <c r="F296" s="44"/>
    </row>
    <row r="297" spans="1:6" x14ac:dyDescent="0.25">
      <c r="A297" s="45" t="s">
        <v>7</v>
      </c>
      <c r="B297" s="45" t="s">
        <v>8</v>
      </c>
      <c r="C297" s="46" t="s">
        <v>75</v>
      </c>
      <c r="D297" s="46"/>
      <c r="E297" s="46"/>
      <c r="F297" s="46"/>
    </row>
    <row r="298" spans="1:6" x14ac:dyDescent="0.25">
      <c r="A298" s="47" t="str">
        <f>'[4]12'!A17</f>
        <v>MKN-1990</v>
      </c>
      <c r="B298" s="48" t="str">
        <f>'[4]12'!B17</f>
        <v>4 3/4" SLIM HOLE ...... ULTRA HI TEMP. (450º F.)</v>
      </c>
      <c r="C298" s="49">
        <f>'[4]12'!C17</f>
        <v>4467</v>
      </c>
      <c r="D298" s="49"/>
      <c r="E298" s="49"/>
      <c r="F298" s="49"/>
    </row>
    <row r="299" spans="1:6" x14ac:dyDescent="0.25">
      <c r="A299" s="50" t="str">
        <f>'[4]12'!A18</f>
        <v>MKN-1991</v>
      </c>
      <c r="B299" s="51" t="str">
        <f>'[4]12'!B18</f>
        <v>5 1/2" SLIM HOLE ...... ULTRA HI TEMP. (450º F.)</v>
      </c>
      <c r="C299" s="52">
        <f>'[4]12'!C18</f>
        <v>5790</v>
      </c>
      <c r="D299" s="52"/>
      <c r="E299" s="52"/>
      <c r="F299" s="52"/>
    </row>
    <row r="300" spans="1:6" x14ac:dyDescent="0.25">
      <c r="A300" s="50" t="str">
        <f>'[4]12'!A19</f>
        <v>MKN-1992</v>
      </c>
      <c r="B300" s="51" t="str">
        <f>'[4]12'!B19</f>
        <v>7 1/2" O.D.</v>
      </c>
      <c r="C300" s="52">
        <f>'[4]12'!C19</f>
        <v>1865</v>
      </c>
      <c r="D300" s="52"/>
      <c r="E300" s="52"/>
      <c r="F300" s="52"/>
    </row>
    <row r="301" spans="1:6" x14ac:dyDescent="0.25">
      <c r="A301" s="50" t="str">
        <f>'[4]12'!A20</f>
        <v>MKN-1993</v>
      </c>
      <c r="B301" s="51" t="str">
        <f>'[4]12'!B20</f>
        <v>7 3/4" O.D.</v>
      </c>
      <c r="C301" s="52">
        <f>'[4]12'!C20</f>
        <v>1985</v>
      </c>
      <c r="D301" s="52"/>
      <c r="E301" s="52"/>
      <c r="F301" s="52"/>
    </row>
    <row r="302" spans="1:6" x14ac:dyDescent="0.25">
      <c r="A302" s="50" t="str">
        <f>'[4]12'!A21</f>
        <v>MKN-1994</v>
      </c>
      <c r="B302" s="51" t="str">
        <f>'[4]12'!B21</f>
        <v>7 3/4" O.D. ...... ULTRA HI TEMP. (450º F.)</v>
      </c>
      <c r="C302" s="52">
        <f>'[4]12'!C21</f>
        <v>7405</v>
      </c>
      <c r="D302" s="52"/>
      <c r="E302" s="52"/>
      <c r="F302" s="52"/>
    </row>
    <row r="303" spans="1:6" x14ac:dyDescent="0.25">
      <c r="A303" s="50" t="str">
        <f>'[4]12'!A22</f>
        <v>MKN-1995</v>
      </c>
      <c r="B303" s="51" t="str">
        <f>'[4]12'!B22</f>
        <v>8" O.D.</v>
      </c>
      <c r="C303" s="52">
        <f>'[4]12'!C22</f>
        <v>2036</v>
      </c>
      <c r="D303" s="52"/>
      <c r="E303" s="52"/>
      <c r="F303" s="52"/>
    </row>
    <row r="304" spans="1:6" x14ac:dyDescent="0.25">
      <c r="A304" s="50" t="str">
        <f>'[4]12'!A23</f>
        <v>MKN-1996</v>
      </c>
      <c r="B304" s="51" t="str">
        <f>'[4]12'!B23</f>
        <v>8 1/2" O.D.</v>
      </c>
      <c r="C304" s="52">
        <f>'[4]12'!C23</f>
        <v>2366</v>
      </c>
      <c r="D304" s="52"/>
      <c r="E304" s="52"/>
      <c r="F304" s="52"/>
    </row>
    <row r="305" spans="1:6" x14ac:dyDescent="0.25">
      <c r="A305" s="50" t="str">
        <f>'[4]12'!A24</f>
        <v>MKN-1997</v>
      </c>
      <c r="B305" s="51" t="str">
        <f>'[4]12'!B24</f>
        <v>9" O.D.</v>
      </c>
      <c r="C305" s="52">
        <f>'[4]12'!C24</f>
        <v>2697</v>
      </c>
      <c r="D305" s="52"/>
      <c r="E305" s="52"/>
      <c r="F305" s="52"/>
    </row>
    <row r="306" spans="1:6" x14ac:dyDescent="0.25">
      <c r="A306" s="50" t="str">
        <f>'[4]12'!A25</f>
        <v>MKN-1998</v>
      </c>
      <c r="B306" s="51" t="str">
        <f>'[4]12'!B25</f>
        <v>10" O.D.</v>
      </c>
      <c r="C306" s="52">
        <f>'[4]12'!C25</f>
        <v>3027</v>
      </c>
      <c r="D306" s="52"/>
      <c r="E306" s="52"/>
      <c r="F306" s="52"/>
    </row>
    <row r="307" spans="1:6" x14ac:dyDescent="0.25">
      <c r="A307" s="53" t="str">
        <f>'[4]12'!A26</f>
        <v>MKN-1999</v>
      </c>
      <c r="B307" s="54" t="str">
        <f>'[4]12'!B26</f>
        <v>11 1/4" O.D.</v>
      </c>
      <c r="C307" s="55">
        <f>'[4]12'!C26</f>
        <v>3969</v>
      </c>
      <c r="D307" s="55"/>
      <c r="E307" s="55"/>
      <c r="F307" s="55"/>
    </row>
    <row r="308" spans="1:6" ht="6" customHeight="1" x14ac:dyDescent="0.25">
      <c r="A308" s="39"/>
      <c r="B308" s="40"/>
      <c r="C308" s="41"/>
      <c r="D308" s="41"/>
      <c r="E308" s="41"/>
      <c r="F308" s="41"/>
    </row>
    <row r="309" spans="1:6" ht="16.149999999999999" customHeight="1" x14ac:dyDescent="0.25">
      <c r="A309" s="42" t="s">
        <v>115</v>
      </c>
      <c r="B309" s="43"/>
      <c r="C309" s="44"/>
      <c r="D309" s="44"/>
      <c r="E309" s="44"/>
      <c r="F309" s="44"/>
    </row>
    <row r="310" spans="1:6" x14ac:dyDescent="0.25">
      <c r="A310" s="45" t="s">
        <v>7</v>
      </c>
      <c r="B310" s="45" t="s">
        <v>8</v>
      </c>
      <c r="C310" s="46" t="s">
        <v>75</v>
      </c>
      <c r="D310" s="46"/>
      <c r="E310" s="46"/>
      <c r="F310" s="46"/>
    </row>
    <row r="311" spans="1:6" x14ac:dyDescent="0.25">
      <c r="A311" s="47" t="str">
        <f>'[4]12'!A28</f>
        <v>MKN-2000</v>
      </c>
      <c r="B311" s="48" t="str">
        <f>'[4]12'!B28</f>
        <v>5"</v>
      </c>
      <c r="C311" s="49">
        <f>'[4]12'!C28</f>
        <v>3720</v>
      </c>
      <c r="D311" s="49"/>
      <c r="E311" s="49"/>
      <c r="F311" s="49"/>
    </row>
    <row r="312" spans="1:6" x14ac:dyDescent="0.25">
      <c r="A312" s="50" t="str">
        <f>'[4]12'!A29</f>
        <v>MKN-2001</v>
      </c>
      <c r="B312" s="51" t="str">
        <f>'[4]12'!B29</f>
        <v>5" SLIM HOLE ...... STANDARD TEMP.</v>
      </c>
      <c r="C312" s="52">
        <f>'[4]12'!C29</f>
        <v>3969</v>
      </c>
      <c r="D312" s="52"/>
      <c r="E312" s="52"/>
      <c r="F312" s="52"/>
    </row>
    <row r="313" spans="1:6" x14ac:dyDescent="0.25">
      <c r="A313" s="50" t="str">
        <f>'[4]12'!A30</f>
        <v>MKN-2002</v>
      </c>
      <c r="B313" s="51" t="str">
        <f>'[4]12'!B30</f>
        <v>5" SLIM HOLE ...... ULTRA HI TEMP. (450º F.)</v>
      </c>
      <c r="C313" s="52">
        <f>'[4]12'!C30</f>
        <v>6947</v>
      </c>
      <c r="D313" s="52"/>
      <c r="E313" s="52"/>
      <c r="F313" s="52"/>
    </row>
    <row r="314" spans="1:6" x14ac:dyDescent="0.25">
      <c r="A314" s="50" t="str">
        <f>'[4]12'!A31</f>
        <v>MKN-2003</v>
      </c>
      <c r="B314" s="51" t="str">
        <f>'[4]12'!B31</f>
        <v>7"</v>
      </c>
      <c r="C314" s="52">
        <f>'[4]12'!C31</f>
        <v>4136</v>
      </c>
      <c r="D314" s="52"/>
      <c r="E314" s="52"/>
      <c r="F314" s="52"/>
    </row>
    <row r="315" spans="1:6" x14ac:dyDescent="0.25">
      <c r="A315" s="50" t="str">
        <f>'[4]12'!A32</f>
        <v>MKN-2004</v>
      </c>
      <c r="B315" s="51" t="str">
        <f>'[4]12'!B32</f>
        <v>7" ...... ULTRA HI TEMP. (450º F.)</v>
      </c>
      <c r="C315" s="52">
        <f>'[4]12'!C32</f>
        <v>5954</v>
      </c>
      <c r="D315" s="52"/>
      <c r="E315" s="52"/>
      <c r="F315" s="52"/>
    </row>
    <row r="316" spans="1:6" x14ac:dyDescent="0.25">
      <c r="A316" s="53" t="str">
        <f>'[4]12'!A33</f>
        <v>MKN-2005</v>
      </c>
      <c r="B316" s="54" t="str">
        <f>'[4]12'!B33</f>
        <v>9 5/8"</v>
      </c>
      <c r="C316" s="55">
        <f>'[4]12'!C33</f>
        <v>4548</v>
      </c>
      <c r="D316" s="55"/>
      <c r="E316" s="55"/>
      <c r="F316" s="55"/>
    </row>
    <row r="317" spans="1:6" ht="6" customHeight="1" x14ac:dyDescent="0.25">
      <c r="A317" s="39"/>
      <c r="B317" s="40"/>
      <c r="C317" s="41"/>
      <c r="D317" s="41"/>
      <c r="E317" s="41"/>
      <c r="F317" s="41"/>
    </row>
    <row r="318" spans="1:6" ht="16.149999999999999" customHeight="1" x14ac:dyDescent="0.25">
      <c r="A318" s="42" t="s">
        <v>116</v>
      </c>
      <c r="B318" s="43"/>
      <c r="C318" s="44"/>
      <c r="D318" s="44"/>
      <c r="E318" s="44"/>
      <c r="F318" s="44"/>
    </row>
    <row r="319" spans="1:6" x14ac:dyDescent="0.25">
      <c r="A319" s="45" t="s">
        <v>7</v>
      </c>
      <c r="B319" s="45" t="s">
        <v>8</v>
      </c>
      <c r="C319" s="46" t="s">
        <v>75</v>
      </c>
      <c r="D319" s="46"/>
      <c r="E319" s="46"/>
      <c r="F319" s="46"/>
    </row>
    <row r="320" spans="1:6" x14ac:dyDescent="0.25">
      <c r="A320" s="47" t="str">
        <f>'[4]13'!A10</f>
        <v>MKN-2006</v>
      </c>
      <c r="B320" s="48" t="str">
        <f>'[4]13'!B10</f>
        <v>4 3/4" SLIM HOLE ...... ULTRA HI TEMP. (450º F.)</v>
      </c>
      <c r="C320" s="49">
        <f>'[4]13'!C10</f>
        <v>447</v>
      </c>
      <c r="D320" s="49"/>
      <c r="E320" s="49"/>
      <c r="F320" s="49"/>
    </row>
    <row r="321" spans="1:6" x14ac:dyDescent="0.25">
      <c r="A321" s="50" t="str">
        <f>'[4]13'!A11</f>
        <v>MKN-2007</v>
      </c>
      <c r="B321" s="51" t="str">
        <f>'[4]13'!B11</f>
        <v>5 1/2" SLIM HOLE ...... ULTRA HI TEMP. (450º F.)</v>
      </c>
      <c r="C321" s="52">
        <f>'[4]13'!C11</f>
        <v>579</v>
      </c>
      <c r="D321" s="52"/>
      <c r="E321" s="52"/>
      <c r="F321" s="52"/>
    </row>
    <row r="322" spans="1:6" x14ac:dyDescent="0.25">
      <c r="A322" s="50" t="str">
        <f>'[4]13'!A12</f>
        <v>MKN-2008</v>
      </c>
      <c r="B322" s="51" t="str">
        <f>'[4]13'!B12</f>
        <v>7 1/2"</v>
      </c>
      <c r="C322" s="52">
        <f>'[4]13'!C12</f>
        <v>186</v>
      </c>
      <c r="D322" s="52"/>
      <c r="E322" s="52"/>
      <c r="F322" s="52"/>
    </row>
    <row r="323" spans="1:6" x14ac:dyDescent="0.25">
      <c r="A323" s="50" t="str">
        <f>'[4]13'!A13</f>
        <v>MKN-2009</v>
      </c>
      <c r="B323" s="51" t="str">
        <f>'[4]13'!B13</f>
        <v>7 3/4" O.D</v>
      </c>
      <c r="C323" s="52">
        <f>'[4]13'!C13</f>
        <v>198</v>
      </c>
      <c r="D323" s="52"/>
      <c r="E323" s="52"/>
      <c r="F323" s="52"/>
    </row>
    <row r="324" spans="1:6" x14ac:dyDescent="0.25">
      <c r="A324" s="50" t="str">
        <f>'[4]13'!A14</f>
        <v>MKN-2010</v>
      </c>
      <c r="B324" s="51" t="str">
        <f>'[4]13'!B14</f>
        <v>7 3/4" O.D ...... ULTRA HI TEMP. (450º F.)</v>
      </c>
      <c r="C324" s="52">
        <f>'[4]13'!C14</f>
        <v>1241</v>
      </c>
      <c r="D324" s="52"/>
      <c r="E324" s="52"/>
      <c r="F324" s="52"/>
    </row>
    <row r="325" spans="1:6" x14ac:dyDescent="0.25">
      <c r="A325" s="50" t="str">
        <f>'[4]13'!A15</f>
        <v>MKN-2011</v>
      </c>
      <c r="B325" s="51" t="str">
        <f>'[4]13'!B15</f>
        <v>8" O.D</v>
      </c>
      <c r="C325" s="52">
        <f>'[4]13'!C15</f>
        <v>233</v>
      </c>
      <c r="D325" s="52"/>
      <c r="E325" s="52"/>
      <c r="F325" s="52"/>
    </row>
    <row r="326" spans="1:6" x14ac:dyDescent="0.25">
      <c r="A326" s="50" t="str">
        <f>'[4]13'!A16</f>
        <v>MKN-2012</v>
      </c>
      <c r="B326" s="51" t="str">
        <f>'[4]13'!B16</f>
        <v>8 1/2" O.D</v>
      </c>
      <c r="C326" s="52">
        <f>'[4]13'!C16</f>
        <v>347</v>
      </c>
      <c r="D326" s="52"/>
      <c r="E326" s="52"/>
      <c r="F326" s="52"/>
    </row>
    <row r="327" spans="1:6" x14ac:dyDescent="0.25">
      <c r="A327" s="50" t="str">
        <f>'[4]13'!A17</f>
        <v>MKN-2013</v>
      </c>
      <c r="B327" s="51" t="str">
        <f>'[4]13'!B17</f>
        <v>9" O.D</v>
      </c>
      <c r="C327" s="52">
        <f>'[4]13'!C17</f>
        <v>347</v>
      </c>
      <c r="D327" s="52"/>
      <c r="E327" s="52"/>
      <c r="F327" s="52"/>
    </row>
    <row r="328" spans="1:6" x14ac:dyDescent="0.25">
      <c r="A328" s="50" t="str">
        <f>'[4]13'!A18</f>
        <v>MKN-2014</v>
      </c>
      <c r="B328" s="51" t="str">
        <f>'[4]13'!B18</f>
        <v>10" O.D</v>
      </c>
      <c r="C328" s="52">
        <f>'[4]13'!C18</f>
        <v>413</v>
      </c>
      <c r="D328" s="52"/>
      <c r="E328" s="52"/>
      <c r="F328" s="52"/>
    </row>
    <row r="329" spans="1:6" x14ac:dyDescent="0.25">
      <c r="A329" s="53" t="str">
        <f>'[4]13'!A19</f>
        <v>MKN-2015</v>
      </c>
      <c r="B329" s="54" t="str">
        <f>'[4]13'!B19</f>
        <v>11 1/4" O.D</v>
      </c>
      <c r="C329" s="55">
        <f>'[4]13'!C19</f>
        <v>794</v>
      </c>
      <c r="D329" s="55"/>
      <c r="E329" s="55"/>
      <c r="F329" s="55"/>
    </row>
    <row r="330" spans="1:6" ht="6" customHeight="1" x14ac:dyDescent="0.25">
      <c r="A330" s="39"/>
      <c r="B330" s="40"/>
      <c r="C330" s="41"/>
      <c r="D330" s="41"/>
      <c r="E330" s="41"/>
      <c r="F330" s="41"/>
    </row>
    <row r="331" spans="1:6" ht="22.15" customHeight="1" thickBot="1" x14ac:dyDescent="0.3">
      <c r="A331" s="35" t="s">
        <v>117</v>
      </c>
      <c r="B331" s="36"/>
      <c r="C331" s="37"/>
      <c r="D331" s="37"/>
      <c r="E331" s="37"/>
      <c r="F331" s="38" t="s">
        <v>5</v>
      </c>
    </row>
    <row r="332" spans="1:6" ht="6" customHeight="1" thickTop="1" x14ac:dyDescent="0.25">
      <c r="A332" s="39"/>
      <c r="B332" s="40"/>
      <c r="C332" s="41"/>
      <c r="D332" s="41"/>
      <c r="E332" s="41"/>
      <c r="F332" s="41"/>
    </row>
    <row r="333" spans="1:6" ht="16.149999999999999" customHeight="1" x14ac:dyDescent="0.25">
      <c r="A333" s="42" t="s">
        <v>118</v>
      </c>
      <c r="B333" s="43"/>
      <c r="C333" s="44"/>
      <c r="D333" s="44"/>
      <c r="E333" s="44"/>
      <c r="F333" s="44"/>
    </row>
    <row r="334" spans="1:6" x14ac:dyDescent="0.25">
      <c r="A334" s="45" t="s">
        <v>7</v>
      </c>
      <c r="B334" s="45" t="s">
        <v>8</v>
      </c>
      <c r="C334" s="46" t="s">
        <v>9</v>
      </c>
      <c r="D334" s="46" t="s">
        <v>75</v>
      </c>
      <c r="E334" s="46"/>
      <c r="F334" s="46"/>
    </row>
    <row r="335" spans="1:6" x14ac:dyDescent="0.25">
      <c r="A335" s="47" t="str">
        <f>'[4]14'!A10</f>
        <v>MKN 100-0205</v>
      </c>
      <c r="B335" s="48" t="str">
        <f>'[4]14'!B10</f>
        <v>Fishing Tool Supervisor</v>
      </c>
      <c r="C335" s="49" t="str">
        <f>'[4]14'!C10</f>
        <v>$/day</v>
      </c>
      <c r="D335" s="49">
        <f>'[4]14'!D10</f>
        <v>1050</v>
      </c>
      <c r="E335" s="49"/>
      <c r="F335" s="49"/>
    </row>
    <row r="336" spans="1:6" x14ac:dyDescent="0.25">
      <c r="A336" s="50" t="str">
        <f>'[4]14'!A11</f>
        <v>MKN 100-0210</v>
      </c>
      <c r="B336" s="51" t="str">
        <f>'[4]14'!B11</f>
        <v>Tools pick up</v>
      </c>
      <c r="C336" s="52" t="str">
        <f>'[4]14'!C11</f>
        <v>$/day</v>
      </c>
      <c r="D336" s="52">
        <f>'[4]14'!D11</f>
        <v>3.9</v>
      </c>
      <c r="E336" s="52"/>
      <c r="F336" s="52"/>
    </row>
    <row r="337" spans="1:6" x14ac:dyDescent="0.25">
      <c r="A337" s="53" t="str">
        <f>'[4]14'!A12</f>
        <v>MKN 100-0215</v>
      </c>
      <c r="B337" s="54" t="str">
        <f>'[4]14'!B12</f>
        <v>Truck</v>
      </c>
      <c r="C337" s="55" t="str">
        <f>'[4]14'!C12</f>
        <v>S/1 km</v>
      </c>
      <c r="D337" s="55">
        <f>'[4]14'!D12</f>
        <v>4.5</v>
      </c>
      <c r="E337" s="55"/>
      <c r="F337" s="55"/>
    </row>
    <row r="338" spans="1:6" ht="6" customHeight="1" x14ac:dyDescent="0.25">
      <c r="A338" s="39"/>
      <c r="B338" s="40"/>
      <c r="C338" s="41"/>
      <c r="D338" s="41"/>
      <c r="E338" s="41"/>
      <c r="F338" s="41"/>
    </row>
    <row r="339" spans="1:6" ht="16.149999999999999" customHeight="1" x14ac:dyDescent="0.25">
      <c r="A339" s="42" t="s">
        <v>11</v>
      </c>
      <c r="B339" s="43"/>
      <c r="C339" s="44"/>
      <c r="D339" s="44"/>
      <c r="E339" s="44"/>
      <c r="F339" s="44"/>
    </row>
    <row r="340" spans="1:6" x14ac:dyDescent="0.25">
      <c r="A340" s="45" t="s">
        <v>7</v>
      </c>
      <c r="B340" s="45" t="s">
        <v>8</v>
      </c>
      <c r="C340" s="46" t="s">
        <v>12</v>
      </c>
      <c r="D340" s="46" t="s">
        <v>119</v>
      </c>
      <c r="E340" s="46"/>
      <c r="F340" s="46"/>
    </row>
    <row r="341" spans="1:6" x14ac:dyDescent="0.25">
      <c r="A341" s="47" t="str">
        <f>'[4]14'!A17</f>
        <v>MKN 100-001</v>
      </c>
      <c r="B341" s="48" t="str">
        <f>'[4]14'!B17</f>
        <v>Thru 3-3/4"OD</v>
      </c>
      <c r="C341" s="49">
        <f>'[4]14'!D17</f>
        <v>270</v>
      </c>
      <c r="D341" s="49">
        <f>'[4]14'!E17</f>
        <v>25</v>
      </c>
      <c r="E341" s="49"/>
      <c r="F341" s="49"/>
    </row>
    <row r="342" spans="1:6" x14ac:dyDescent="0.25">
      <c r="A342" s="50" t="str">
        <f>'[4]14'!A18</f>
        <v>MKN 100-002</v>
      </c>
      <c r="B342" s="51" t="str">
        <f>'[4]14'!B18</f>
        <v>Thru 4-1/4"OD</v>
      </c>
      <c r="C342" s="52">
        <f>'[4]14'!D18</f>
        <v>280</v>
      </c>
      <c r="D342" s="52">
        <f>'[4]14'!E18</f>
        <v>25</v>
      </c>
      <c r="E342" s="52"/>
      <c r="F342" s="52"/>
    </row>
    <row r="343" spans="1:6" x14ac:dyDescent="0.25">
      <c r="A343" s="50" t="str">
        <f>'[4]14'!A19</f>
        <v>MKN 100-003</v>
      </c>
      <c r="B343" s="51" t="str">
        <f>'[4]14'!B19</f>
        <v>Thru 4-3/4" OD</v>
      </c>
      <c r="C343" s="52">
        <f>'[4]14'!D19</f>
        <v>360</v>
      </c>
      <c r="D343" s="52">
        <f>'[4]14'!E19</f>
        <v>35</v>
      </c>
      <c r="E343" s="52"/>
      <c r="F343" s="52"/>
    </row>
    <row r="344" spans="1:6" x14ac:dyDescent="0.25">
      <c r="A344" s="50" t="str">
        <f>'[4]14'!A20</f>
        <v>MKN 100-004</v>
      </c>
      <c r="B344" s="51" t="str">
        <f>'[4]14'!B20</f>
        <v>Thru 5-3/4" OD</v>
      </c>
      <c r="C344" s="52">
        <f>'[4]14'!D20</f>
        <v>400</v>
      </c>
      <c r="D344" s="52">
        <f>'[4]14'!E20</f>
        <v>40</v>
      </c>
      <c r="E344" s="52"/>
      <c r="F344" s="52"/>
    </row>
    <row r="345" spans="1:6" x14ac:dyDescent="0.25">
      <c r="A345" s="50" t="str">
        <f>'[4]14'!A21</f>
        <v>MKN 100-005</v>
      </c>
      <c r="B345" s="51" t="str">
        <f>'[4]14'!B21</f>
        <v>Thru 6-1/8"OD</v>
      </c>
      <c r="C345" s="52">
        <f>'[4]14'!D21</f>
        <v>420</v>
      </c>
      <c r="D345" s="52">
        <f>'[4]14'!E21</f>
        <v>40</v>
      </c>
      <c r="E345" s="52"/>
      <c r="F345" s="52"/>
    </row>
    <row r="346" spans="1:6" x14ac:dyDescent="0.25">
      <c r="A346" s="50" t="str">
        <f>'[4]14'!A22</f>
        <v>MKN 100-006</v>
      </c>
      <c r="B346" s="51" t="str">
        <f>'[4]14'!B22</f>
        <v>Thru 6-3/4"OD</v>
      </c>
      <c r="C346" s="52">
        <f>'[4]14'!D22</f>
        <v>470</v>
      </c>
      <c r="D346" s="52">
        <f>'[4]14'!E22</f>
        <v>45</v>
      </c>
      <c r="E346" s="52"/>
      <c r="F346" s="52"/>
    </row>
    <row r="347" spans="1:6" x14ac:dyDescent="0.25">
      <c r="A347" s="50" t="str">
        <f>'[4]14'!A23</f>
        <v>MKN 100-007</v>
      </c>
      <c r="B347" s="51" t="str">
        <f>'[4]14'!B23</f>
        <v>Thru 7-3/4"OD</v>
      </c>
      <c r="C347" s="52">
        <f>'[4]14'!D23</f>
        <v>490</v>
      </c>
      <c r="D347" s="52">
        <f>'[4]14'!E23</f>
        <v>50</v>
      </c>
      <c r="E347" s="52"/>
      <c r="F347" s="52"/>
    </row>
    <row r="348" spans="1:6" x14ac:dyDescent="0.25">
      <c r="A348" s="50" t="str">
        <f>'[4]14'!A24</f>
        <v>MKN 100-008</v>
      </c>
      <c r="B348" s="51" t="str">
        <f>'[4]14'!B24</f>
        <v>Thru 9-3/4"OD</v>
      </c>
      <c r="C348" s="52">
        <f>'[4]14'!D24</f>
        <v>552.5</v>
      </c>
      <c r="D348" s="52">
        <f>'[4]14'!E24</f>
        <v>65</v>
      </c>
      <c r="E348" s="52"/>
      <c r="F348" s="52"/>
    </row>
    <row r="349" spans="1:6" x14ac:dyDescent="0.25">
      <c r="A349" s="50" t="str">
        <f>'[4]14'!A25</f>
        <v>MKN 100-009</v>
      </c>
      <c r="B349" s="51" t="str">
        <f>'[4]14'!B25</f>
        <v>Thru 10-3/4"OD</v>
      </c>
      <c r="C349" s="52">
        <f>'[4]14'!D25</f>
        <v>800</v>
      </c>
      <c r="D349" s="52">
        <f>'[4]14'!E25</f>
        <v>85</v>
      </c>
      <c r="E349" s="52"/>
      <c r="F349" s="52"/>
    </row>
    <row r="350" spans="1:6" x14ac:dyDescent="0.25">
      <c r="A350" s="53" t="str">
        <f>'[4]14'!A26</f>
        <v>MKN 100-011</v>
      </c>
      <c r="B350" s="54" t="str">
        <f>'[4]14'!B26</f>
        <v>Thru 12-1/4"OD</v>
      </c>
      <c r="C350" s="55">
        <f>'[4]14'!D26</f>
        <v>1050</v>
      </c>
      <c r="D350" s="55">
        <f>'[4]14'!E26</f>
        <v>100</v>
      </c>
      <c r="E350" s="55"/>
      <c r="F350" s="55"/>
    </row>
    <row r="351" spans="1:6" ht="6" customHeight="1" x14ac:dyDescent="0.25">
      <c r="A351" s="39"/>
      <c r="B351" s="40"/>
      <c r="C351" s="41"/>
      <c r="D351" s="41"/>
      <c r="E351" s="41"/>
      <c r="F351" s="41"/>
    </row>
    <row r="352" spans="1:6" ht="16.149999999999999" customHeight="1" x14ac:dyDescent="0.25">
      <c r="A352" s="42" t="s">
        <v>120</v>
      </c>
      <c r="B352" s="43"/>
      <c r="C352" s="44"/>
      <c r="D352" s="44"/>
      <c r="E352" s="44"/>
      <c r="F352" s="44"/>
    </row>
    <row r="353" spans="1:6" x14ac:dyDescent="0.25">
      <c r="A353" s="45" t="s">
        <v>7</v>
      </c>
      <c r="B353" s="45" t="s">
        <v>8</v>
      </c>
      <c r="C353" s="46" t="s">
        <v>121</v>
      </c>
      <c r="D353" s="46"/>
      <c r="E353" s="46"/>
      <c r="F353" s="46"/>
    </row>
    <row r="354" spans="1:6" x14ac:dyDescent="0.25">
      <c r="A354" s="47" t="str">
        <f>'[4]14'!A30</f>
        <v>MKN 100-012</v>
      </c>
      <c r="B354" s="48" t="str">
        <f>'[4]14'!B30</f>
        <v>Thru 8-3/4"OD</v>
      </c>
      <c r="C354" s="49">
        <f>'[4]14'!D30</f>
        <v>280</v>
      </c>
      <c r="D354" s="49"/>
      <c r="E354" s="49"/>
      <c r="F354" s="49"/>
    </row>
    <row r="355" spans="1:6" x14ac:dyDescent="0.25">
      <c r="A355" s="50" t="str">
        <f>'[4]14'!A31</f>
        <v>MKN 100-013</v>
      </c>
      <c r="B355" s="51" t="str">
        <f>'[4]14'!B31</f>
        <v>Thru 17-1/2"OD</v>
      </c>
      <c r="C355" s="52">
        <f>'[4]14'!D31</f>
        <v>300</v>
      </c>
      <c r="D355" s="52"/>
      <c r="E355" s="52"/>
      <c r="F355" s="52"/>
    </row>
    <row r="356" spans="1:6" x14ac:dyDescent="0.25">
      <c r="A356" s="50">
        <f>'[4]14'!A32</f>
        <v>0</v>
      </c>
      <c r="B356" s="51" t="str">
        <f>'[4]14'!B32</f>
        <v>BASKETS - JUNK (POOR BAY, DRAG TOOTH, OR</v>
      </c>
      <c r="C356" s="52">
        <f>'[4]14'!D32</f>
        <v>510</v>
      </c>
      <c r="D356" s="52"/>
      <c r="E356" s="52"/>
      <c r="F356" s="52"/>
    </row>
    <row r="357" spans="1:6" x14ac:dyDescent="0.25">
      <c r="A357" s="50" t="str">
        <f>'[4]14'!A33</f>
        <v>MKN 100-014</v>
      </c>
      <c r="B357" s="51" t="str">
        <f>'[4]14'!B33</f>
        <v>Thru 7" OD</v>
      </c>
      <c r="C357" s="52">
        <f>'[4]14'!D33</f>
        <v>520</v>
      </c>
      <c r="D357" s="52"/>
      <c r="E357" s="52"/>
      <c r="F357" s="52"/>
    </row>
    <row r="358" spans="1:6" x14ac:dyDescent="0.25">
      <c r="A358" s="50" t="str">
        <f>'[4]14'!A34</f>
        <v>MKN 100-015</v>
      </c>
      <c r="B358" s="51" t="str">
        <f>'[4]14'!B34</f>
        <v>Thru 10-3/4"OD</v>
      </c>
      <c r="C358" s="52">
        <f>'[4]14'!D34</f>
        <v>530</v>
      </c>
      <c r="D358" s="52"/>
      <c r="E358" s="52"/>
      <c r="F358" s="52"/>
    </row>
    <row r="359" spans="1:6" x14ac:dyDescent="0.25">
      <c r="A359" s="53" t="str">
        <f>'[4]14'!A35</f>
        <v>MKN 100-016</v>
      </c>
      <c r="B359" s="54" t="str">
        <f>'[4]14'!B35</f>
        <v>Thru 13-3/8"OD</v>
      </c>
      <c r="C359" s="55">
        <f>'[4]14'!D35</f>
        <v>1030</v>
      </c>
      <c r="D359" s="55"/>
      <c r="E359" s="55"/>
      <c r="F359" s="55"/>
    </row>
    <row r="360" spans="1:6" ht="6" customHeight="1" x14ac:dyDescent="0.25">
      <c r="A360" s="39"/>
      <c r="B360" s="40"/>
      <c r="C360" s="41"/>
      <c r="D360" s="41"/>
      <c r="E360" s="41"/>
      <c r="F360" s="41"/>
    </row>
    <row r="361" spans="1:6" ht="16.149999999999999" customHeight="1" x14ac:dyDescent="0.25">
      <c r="A361" s="42" t="s">
        <v>122</v>
      </c>
      <c r="B361" s="43"/>
      <c r="C361" s="44"/>
      <c r="D361" s="44"/>
      <c r="E361" s="44"/>
      <c r="F361" s="44"/>
    </row>
    <row r="362" spans="1:6" x14ac:dyDescent="0.25">
      <c r="A362" s="45" t="s">
        <v>7</v>
      </c>
      <c r="B362" s="45" t="s">
        <v>8</v>
      </c>
      <c r="C362" s="46" t="s">
        <v>9</v>
      </c>
      <c r="D362" s="46" t="s">
        <v>75</v>
      </c>
      <c r="E362" s="46"/>
      <c r="F362" s="46"/>
    </row>
    <row r="363" spans="1:6" x14ac:dyDescent="0.25">
      <c r="A363" s="47" t="str">
        <f>'[4]14'!A39</f>
        <v>MKN 100-017</v>
      </c>
      <c r="B363" s="48" t="str">
        <f>'[4]14'!B39</f>
        <v>8" OD &amp; Smaller (minimum 10 hrs)</v>
      </c>
      <c r="C363" s="49" t="str">
        <f>'[4]14'!C39</f>
        <v>per hour</v>
      </c>
      <c r="D363" s="49">
        <f>'[4]14'!D39</f>
        <v>85</v>
      </c>
      <c r="E363" s="49"/>
      <c r="F363" s="49"/>
    </row>
    <row r="364" spans="1:6" x14ac:dyDescent="0.25">
      <c r="A364" s="50" t="str">
        <f>'[4]14'!A40</f>
        <v>MKN 100-018</v>
      </c>
      <c r="B364" s="51" t="str">
        <f>'[4]14'!B40</f>
        <v>Over 8" (minimum 10 hrs)</v>
      </c>
      <c r="C364" s="52" t="str">
        <f>'[4]14'!C40</f>
        <v>per hour</v>
      </c>
      <c r="D364" s="52">
        <f>'[4]14'!D40</f>
        <v>100</v>
      </c>
      <c r="E364" s="52"/>
      <c r="F364" s="52"/>
    </row>
    <row r="365" spans="1:6" x14ac:dyDescent="0.25">
      <c r="A365" s="53" t="str">
        <f>'[4]14'!A42</f>
        <v>MKN 100-019</v>
      </c>
      <c r="B365" s="54" t="str">
        <f>'[4]14'!B42</f>
        <v>ALL Sizes</v>
      </c>
      <c r="C365" s="55" t="str">
        <f>'[4]14'!C42</f>
        <v>Per Job</v>
      </c>
      <c r="D365" s="55">
        <f>'[4]14'!D42</f>
        <v>95</v>
      </c>
      <c r="E365" s="55"/>
      <c r="F365" s="55"/>
    </row>
    <row r="366" spans="1:6" ht="6" customHeight="1" x14ac:dyDescent="0.25">
      <c r="A366" s="39"/>
      <c r="B366" s="40"/>
      <c r="C366" s="41"/>
      <c r="D366" s="41"/>
      <c r="E366" s="41"/>
      <c r="F366" s="41"/>
    </row>
    <row r="367" spans="1:6" ht="16.149999999999999" customHeight="1" x14ac:dyDescent="0.25">
      <c r="A367" s="42" t="s">
        <v>123</v>
      </c>
      <c r="B367" s="43"/>
      <c r="C367" s="44"/>
      <c r="D367" s="44"/>
      <c r="E367" s="44"/>
      <c r="F367" s="44"/>
    </row>
    <row r="368" spans="1:6" x14ac:dyDescent="0.25">
      <c r="A368" s="45" t="s">
        <v>7</v>
      </c>
      <c r="B368" s="45" t="s">
        <v>8</v>
      </c>
      <c r="C368" s="46" t="s">
        <v>12</v>
      </c>
      <c r="D368" s="46" t="s">
        <v>86</v>
      </c>
      <c r="E368" s="46"/>
      <c r="F368" s="46"/>
    </row>
    <row r="369" spans="1:6" x14ac:dyDescent="0.25">
      <c r="A369" s="47" t="str">
        <f>'[4]14'!A47</f>
        <v>MKN100-020</v>
      </c>
      <c r="B369" s="48" t="str">
        <f>'[4]14'!B47</f>
        <v>Thru 4 1/2" Wasphole Pin</v>
      </c>
      <c r="C369" s="49">
        <f>'[4]14'!D47</f>
        <v>300</v>
      </c>
      <c r="D369" s="49">
        <f>'[4]14'!E47</f>
        <v>165</v>
      </c>
      <c r="E369" s="49"/>
      <c r="F369" s="49"/>
    </row>
    <row r="370" spans="1:6" x14ac:dyDescent="0.25">
      <c r="A370" s="50" t="str">
        <f>'[4]14'!A48</f>
        <v>MKN100-021</v>
      </c>
      <c r="B370" s="51" t="str">
        <f>'[4]14'!B48</f>
        <v>Thru 5 3/4" Wasphole Pin</v>
      </c>
      <c r="C370" s="52">
        <f>'[4]14'!D48</f>
        <v>360</v>
      </c>
      <c r="D370" s="52">
        <f>'[4]14'!E48</f>
        <v>185</v>
      </c>
      <c r="E370" s="52"/>
      <c r="F370" s="52"/>
    </row>
    <row r="371" spans="1:6" x14ac:dyDescent="0.25">
      <c r="A371" s="50" t="str">
        <f>'[4]14'!A49</f>
        <v>MKN100-022</v>
      </c>
      <c r="B371" s="51" t="str">
        <f>'[4]14'!B49</f>
        <v>Thru 8 3/8" Wasphole Pin</v>
      </c>
      <c r="C371" s="52">
        <f>'[4]14'!D49</f>
        <v>391</v>
      </c>
      <c r="D371" s="52">
        <f>'[4]14'!E49</f>
        <v>250</v>
      </c>
      <c r="E371" s="52"/>
      <c r="F371" s="52"/>
    </row>
    <row r="372" spans="1:6" x14ac:dyDescent="0.25">
      <c r="A372" s="50" t="str">
        <f>'[4]14'!A50</f>
        <v>MKN100-023</v>
      </c>
      <c r="B372" s="51" t="str">
        <f>'[4]14'!B50</f>
        <v>Thru 10 3/4" Wasphole Pin</v>
      </c>
      <c r="C372" s="52">
        <f>'[4]14'!D50</f>
        <v>490</v>
      </c>
      <c r="D372" s="52">
        <f>'[4]14'!E50</f>
        <v>265</v>
      </c>
      <c r="E372" s="52"/>
      <c r="F372" s="52"/>
    </row>
    <row r="373" spans="1:6" x14ac:dyDescent="0.25">
      <c r="A373" s="50" t="str">
        <f>'[4]14'!A51</f>
        <v>MKN100-024</v>
      </c>
      <c r="B373" s="51" t="str">
        <f>'[4]14'!B51</f>
        <v>Thru 13 3/8" Wasphole Pin</v>
      </c>
      <c r="C373" s="52">
        <f>'[4]14'!D51</f>
        <v>680</v>
      </c>
      <c r="D373" s="52">
        <f>'[4]14'!E51</f>
        <v>370</v>
      </c>
      <c r="E373" s="52"/>
      <c r="F373" s="52"/>
    </row>
    <row r="374" spans="1:6" x14ac:dyDescent="0.25">
      <c r="A374" s="50" t="str">
        <f>'[4]14'!A52</f>
        <v>MKN100-025</v>
      </c>
      <c r="B374" s="51" t="str">
        <f>'[4]14'!B52</f>
        <v>Thru 16 1/2" Wasphole Pin</v>
      </c>
      <c r="C374" s="52">
        <f>'[4]14'!D52</f>
        <v>760</v>
      </c>
      <c r="D374" s="52">
        <f>'[4]14'!E52</f>
        <v>440</v>
      </c>
      <c r="E374" s="52"/>
      <c r="F374" s="52"/>
    </row>
    <row r="375" spans="1:6" x14ac:dyDescent="0.25">
      <c r="A375" s="53" t="str">
        <f>'[4]14'!A53</f>
        <v>MKN100-026</v>
      </c>
      <c r="B375" s="54" t="str">
        <f>'[4]14'!B53</f>
        <v>Thru 20" Wasphole Pin</v>
      </c>
      <c r="C375" s="55">
        <f>'[4]14'!D53</f>
        <v>850</v>
      </c>
      <c r="D375" s="55">
        <f>'[4]14'!E53</f>
        <v>475</v>
      </c>
      <c r="E375" s="55"/>
      <c r="F375" s="55"/>
    </row>
    <row r="376" spans="1:6" ht="6" customHeight="1" x14ac:dyDescent="0.25">
      <c r="A376" s="39"/>
      <c r="B376" s="40"/>
      <c r="C376" s="41"/>
      <c r="D376" s="41"/>
      <c r="E376" s="41"/>
      <c r="F376" s="41"/>
    </row>
    <row r="377" spans="1:6" ht="16.149999999999999" customHeight="1" x14ac:dyDescent="0.25">
      <c r="A377" s="42" t="s">
        <v>124</v>
      </c>
      <c r="B377" s="43"/>
      <c r="C377" s="44"/>
      <c r="D377" s="44"/>
      <c r="E377" s="44"/>
      <c r="F377" s="44"/>
    </row>
    <row r="378" spans="1:6" x14ac:dyDescent="0.25">
      <c r="A378" s="45" t="s">
        <v>7</v>
      </c>
      <c r="B378" s="45" t="s">
        <v>8</v>
      </c>
      <c r="C378" s="46" t="s">
        <v>85</v>
      </c>
      <c r="D378" s="46"/>
      <c r="E378" s="46"/>
      <c r="F378" s="46"/>
    </row>
    <row r="379" spans="1:6" x14ac:dyDescent="0.25">
      <c r="A379" s="47" t="str">
        <f>'[4]14'!A58</f>
        <v>MKN100-027</v>
      </c>
      <c r="B379" s="48" t="str">
        <f>'[4]14'!B58</f>
        <v>7 5/8" OD &amp; Smaller</v>
      </c>
      <c r="C379" s="49">
        <f>'[4]14'!D58</f>
        <v>165</v>
      </c>
      <c r="D379" s="49"/>
      <c r="E379" s="49"/>
      <c r="F379" s="49"/>
    </row>
    <row r="380" spans="1:6" x14ac:dyDescent="0.25">
      <c r="A380" s="50" t="str">
        <f>'[4]14'!A59</f>
        <v>MKN100-028</v>
      </c>
      <c r="B380" s="51" t="str">
        <f>'[4]14'!B59</f>
        <v>9 5/8" OD &amp; Smaller</v>
      </c>
      <c r="C380" s="52">
        <f>'[4]14'!D59</f>
        <v>260</v>
      </c>
      <c r="D380" s="52"/>
      <c r="E380" s="52"/>
      <c r="F380" s="52"/>
    </row>
    <row r="381" spans="1:6" x14ac:dyDescent="0.25">
      <c r="A381" s="53" t="str">
        <f>'[4]14'!A60</f>
        <v>MKN100-029</v>
      </c>
      <c r="B381" s="54" t="str">
        <f>'[4]14'!B60</f>
        <v>11 3/4" OD &amp; Smaller</v>
      </c>
      <c r="C381" s="55">
        <f>'[4]14'!D60</f>
        <v>300</v>
      </c>
      <c r="D381" s="55"/>
      <c r="E381" s="55"/>
      <c r="F381" s="55"/>
    </row>
    <row r="382" spans="1:6" ht="6" customHeight="1" x14ac:dyDescent="0.25">
      <c r="A382" s="39"/>
      <c r="B382" s="40"/>
      <c r="C382" s="41"/>
      <c r="D382" s="41"/>
      <c r="E382" s="41"/>
      <c r="F382" s="41"/>
    </row>
    <row r="383" spans="1:6" ht="16.149999999999999" customHeight="1" x14ac:dyDescent="0.25">
      <c r="A383" s="42" t="s">
        <v>125</v>
      </c>
      <c r="B383" s="43"/>
      <c r="C383" s="44"/>
      <c r="D383" s="44"/>
      <c r="E383" s="44"/>
      <c r="F383" s="44"/>
    </row>
    <row r="384" spans="1:6" x14ac:dyDescent="0.25">
      <c r="A384" s="45" t="s">
        <v>7</v>
      </c>
      <c r="B384" s="45" t="s">
        <v>8</v>
      </c>
      <c r="C384" s="46" t="s">
        <v>12</v>
      </c>
      <c r="D384" s="46" t="s">
        <v>86</v>
      </c>
      <c r="E384" s="46"/>
      <c r="F384" s="46"/>
    </row>
    <row r="385" spans="1:6" x14ac:dyDescent="0.25">
      <c r="A385" s="47" t="str">
        <f>'[4]14'!A66</f>
        <v>MKN 100-030</v>
      </c>
      <c r="B385" s="48" t="str">
        <f>'[4]14'!B66</f>
        <v>Thru 10 segments</v>
      </c>
      <c r="C385" s="49">
        <f>'[4]14'!D66</f>
        <v>150</v>
      </c>
      <c r="D385" s="49">
        <f>'[4]14'!E66</f>
        <v>15</v>
      </c>
      <c r="E385" s="49"/>
      <c r="F385" s="49"/>
    </row>
    <row r="386" spans="1:6" x14ac:dyDescent="0.25">
      <c r="A386" s="53" t="str">
        <f>'[4]14'!A67</f>
        <v>MKN 100-031</v>
      </c>
      <c r="B386" s="54" t="str">
        <f>'[4]14'!B67</f>
        <v>Larger than 10 segments</v>
      </c>
      <c r="C386" s="55">
        <f>'[4]14'!D67</f>
        <v>190</v>
      </c>
      <c r="D386" s="55">
        <f>'[4]14'!E67</f>
        <v>25</v>
      </c>
      <c r="E386" s="55"/>
      <c r="F386" s="55"/>
    </row>
    <row r="387" spans="1:6" ht="6" customHeight="1" x14ac:dyDescent="0.25">
      <c r="A387" s="39"/>
      <c r="B387" s="40"/>
      <c r="C387" s="41"/>
      <c r="D387" s="41"/>
      <c r="E387" s="41"/>
      <c r="F387" s="41"/>
    </row>
    <row r="388" spans="1:6" ht="16.149999999999999" customHeight="1" x14ac:dyDescent="0.25">
      <c r="A388" s="42" t="s">
        <v>126</v>
      </c>
      <c r="B388" s="43"/>
      <c r="C388" s="44"/>
      <c r="D388" s="44"/>
      <c r="E388" s="44"/>
      <c r="F388" s="44"/>
    </row>
    <row r="389" spans="1:6" x14ac:dyDescent="0.25">
      <c r="A389" s="45" t="s">
        <v>7</v>
      </c>
      <c r="B389" s="45" t="s">
        <v>8</v>
      </c>
      <c r="C389" s="46" t="s">
        <v>127</v>
      </c>
      <c r="D389" s="46"/>
      <c r="E389" s="46"/>
      <c r="F389" s="46"/>
    </row>
    <row r="390" spans="1:6" x14ac:dyDescent="0.25">
      <c r="A390" s="47" t="str">
        <f>'[4]15'!A11</f>
        <v>MKN 100-032</v>
      </c>
      <c r="B390" s="48" t="str">
        <f>'[4]15'!B11</f>
        <v>Casing Thru 6-5/8" OD</v>
      </c>
      <c r="C390" s="49">
        <f>'[4]15'!D11</f>
        <v>1050</v>
      </c>
      <c r="D390" s="49"/>
      <c r="E390" s="49"/>
      <c r="F390" s="49"/>
    </row>
    <row r="391" spans="1:6" x14ac:dyDescent="0.25">
      <c r="A391" s="50" t="str">
        <f>'[4]15'!A12</f>
        <v>MKN 100-033</v>
      </c>
      <c r="B391" s="51" t="str">
        <f>'[4]15'!B12</f>
        <v>Casing Thru 8-5/8" OD</v>
      </c>
      <c r="C391" s="52">
        <f>'[4]15'!D12</f>
        <v>1400</v>
      </c>
      <c r="D391" s="52"/>
      <c r="E391" s="52"/>
      <c r="F391" s="52"/>
    </row>
    <row r="392" spans="1:6" x14ac:dyDescent="0.25">
      <c r="A392" s="50">
        <f>'[4]15'!A13</f>
        <v>0</v>
      </c>
      <c r="B392" s="51" t="str">
        <f>'[4]15'!B13</f>
        <v>CUTTER-OUTSIDE-CASING DRILL OR TUBING</v>
      </c>
      <c r="C392" s="52">
        <f>'[4]15'!D13</f>
        <v>0</v>
      </c>
      <c r="D392" s="52"/>
      <c r="E392" s="52"/>
      <c r="F392" s="52"/>
    </row>
    <row r="393" spans="1:6" x14ac:dyDescent="0.25">
      <c r="A393" s="50" t="str">
        <f>'[4]15'!A14</f>
        <v>MKN 100-034</v>
      </c>
      <c r="B393" s="51" t="str">
        <f>'[4]15'!B14</f>
        <v>Hydraulic or washover cutter (Any size)</v>
      </c>
      <c r="C393" s="52">
        <f>'[4]15'!D14</f>
        <v>1850</v>
      </c>
      <c r="D393" s="52"/>
      <c r="E393" s="52"/>
      <c r="F393" s="52"/>
    </row>
    <row r="394" spans="1:6" x14ac:dyDescent="0.25">
      <c r="A394" s="53" t="str">
        <f>'[4]15'!A15</f>
        <v>MKN 100-035</v>
      </c>
      <c r="B394" s="54" t="str">
        <f>'[4]15'!B15</f>
        <v>Mechanical cutter (Any size)</v>
      </c>
      <c r="C394" s="55">
        <f>'[4]15'!D15</f>
        <v>2250</v>
      </c>
      <c r="D394" s="55"/>
      <c r="E394" s="55"/>
      <c r="F394" s="55"/>
    </row>
    <row r="395" spans="1:6" ht="6" customHeight="1" x14ac:dyDescent="0.25">
      <c r="A395" s="39"/>
      <c r="B395" s="40"/>
      <c r="C395" s="41"/>
      <c r="D395" s="41"/>
      <c r="E395" s="41"/>
      <c r="F395" s="41"/>
    </row>
    <row r="396" spans="1:6" ht="16.149999999999999" customHeight="1" x14ac:dyDescent="0.25">
      <c r="A396" s="42" t="s">
        <v>128</v>
      </c>
      <c r="B396" s="43"/>
      <c r="C396" s="44"/>
      <c r="D396" s="44"/>
      <c r="E396" s="44"/>
      <c r="F396" s="44"/>
    </row>
    <row r="397" spans="1:6" x14ac:dyDescent="0.25">
      <c r="A397" s="45" t="s">
        <v>7</v>
      </c>
      <c r="B397" s="45" t="s">
        <v>8</v>
      </c>
      <c r="C397" s="46" t="s">
        <v>127</v>
      </c>
      <c r="D397" s="46"/>
      <c r="E397" s="46"/>
      <c r="F397" s="46"/>
    </row>
    <row r="398" spans="1:6" x14ac:dyDescent="0.25">
      <c r="A398" s="47" t="str">
        <f>'[4]15'!A18</f>
        <v>MKN-100-36</v>
      </c>
      <c r="B398" s="48" t="str">
        <f>'[4]15'!B18</f>
        <v>Butter-inside Casing-Hydraulic Pressure cutter</v>
      </c>
      <c r="C398" s="49">
        <f>'[4]15'!D18</f>
        <v>1800</v>
      </c>
      <c r="D398" s="49"/>
      <c r="E398" s="49"/>
      <c r="F398" s="49"/>
    </row>
    <row r="399" spans="1:6" x14ac:dyDescent="0.25">
      <c r="A399" s="50" t="str">
        <f>'[4]15'!A19</f>
        <v>MKN-100-37</v>
      </c>
      <c r="B399" s="51" t="str">
        <f>'[4]15'!B19</f>
        <v>Thru 9-5/8"OD OR Smaller</v>
      </c>
      <c r="C399" s="52">
        <f>'[4]15'!D19</f>
        <v>2000</v>
      </c>
      <c r="D399" s="52"/>
      <c r="E399" s="52"/>
      <c r="F399" s="52"/>
    </row>
    <row r="400" spans="1:6" x14ac:dyDescent="0.25">
      <c r="A400" s="50" t="str">
        <f>'[4]15'!A20</f>
        <v>MKN-100-38</v>
      </c>
      <c r="B400" s="51" t="str">
        <f>'[4]15'!B20</f>
        <v>Thru 10-3/4"OD</v>
      </c>
      <c r="C400" s="52">
        <f>'[4]15'!D20</f>
        <v>2500</v>
      </c>
      <c r="D400" s="52"/>
      <c r="E400" s="52"/>
      <c r="F400" s="52"/>
    </row>
    <row r="401" spans="1:6" x14ac:dyDescent="0.25">
      <c r="A401" s="50" t="str">
        <f>'[4]15'!A21</f>
        <v>MKN-100-39</v>
      </c>
      <c r="B401" s="51" t="str">
        <f>'[4]15'!B21</f>
        <v>Thru 13-3/8"OD</v>
      </c>
      <c r="C401" s="52">
        <f>'[4]15'!D21</f>
        <v>2750</v>
      </c>
      <c r="D401" s="52"/>
      <c r="E401" s="52"/>
      <c r="F401" s="52"/>
    </row>
    <row r="402" spans="1:6" x14ac:dyDescent="0.25">
      <c r="A402" s="50" t="str">
        <f>'[4]15'!A22</f>
        <v>MKN-100-40</v>
      </c>
      <c r="B402" s="51" t="str">
        <f>'[4]15'!B22</f>
        <v>Thru 18"OD</v>
      </c>
      <c r="C402" s="52">
        <f>'[4]15'!D22</f>
        <v>2600</v>
      </c>
      <c r="D402" s="52"/>
      <c r="E402" s="52"/>
      <c r="F402" s="52"/>
    </row>
    <row r="403" spans="1:6" x14ac:dyDescent="0.25">
      <c r="A403" s="50" t="str">
        <f>'[4]15'!A23</f>
        <v>MKN-100-41</v>
      </c>
      <c r="B403" s="51" t="str">
        <f>'[4]15'!B23</f>
        <v>Thru 26"OD</v>
      </c>
      <c r="C403" s="52">
        <f>'[4]15'!D23</f>
        <v>3700</v>
      </c>
      <c r="D403" s="52"/>
      <c r="E403" s="52"/>
      <c r="F403" s="52"/>
    </row>
    <row r="404" spans="1:6" x14ac:dyDescent="0.25">
      <c r="A404" s="50" t="str">
        <f>'[4]15'!A24</f>
        <v>MKN-100-42</v>
      </c>
      <c r="B404" s="51" t="str">
        <f>'[4]15'!B24</f>
        <v>Thru 30"OD</v>
      </c>
      <c r="C404" s="52">
        <f>'[4]15'!D24</f>
        <v>3700</v>
      </c>
      <c r="D404" s="52"/>
      <c r="E404" s="52"/>
      <c r="F404" s="52"/>
    </row>
    <row r="405" spans="1:6" x14ac:dyDescent="0.25">
      <c r="A405" s="53" t="str">
        <f>'[4]15'!A25</f>
        <v>MKN 100-43</v>
      </c>
      <c r="B405" s="54" t="str">
        <f>'[4]15'!B25</f>
        <v>Thru 42"OD</v>
      </c>
      <c r="C405" s="55">
        <f>'[4]15'!D25</f>
        <v>5500</v>
      </c>
      <c r="D405" s="55"/>
      <c r="E405" s="55"/>
      <c r="F405" s="55"/>
    </row>
    <row r="406" spans="1:6" ht="6" customHeight="1" x14ac:dyDescent="0.25">
      <c r="A406" s="39"/>
      <c r="B406" s="40"/>
      <c r="C406" s="41"/>
      <c r="D406" s="41"/>
      <c r="E406" s="41"/>
      <c r="F406" s="41"/>
    </row>
    <row r="407" spans="1:6" ht="16.149999999999999" customHeight="1" x14ac:dyDescent="0.25">
      <c r="A407" s="42" t="s">
        <v>129</v>
      </c>
      <c r="B407" s="43"/>
      <c r="C407" s="44"/>
      <c r="D407" s="44"/>
      <c r="E407" s="44"/>
      <c r="F407" s="44"/>
    </row>
    <row r="408" spans="1:6" x14ac:dyDescent="0.25">
      <c r="A408" s="45" t="s">
        <v>7</v>
      </c>
      <c r="B408" s="45" t="s">
        <v>8</v>
      </c>
      <c r="C408" s="46" t="s">
        <v>130</v>
      </c>
      <c r="D408" s="46" t="s">
        <v>131</v>
      </c>
      <c r="E408" s="46" t="s">
        <v>87</v>
      </c>
      <c r="F408" s="46"/>
    </row>
    <row r="409" spans="1:6" x14ac:dyDescent="0.25">
      <c r="A409" s="47" t="str">
        <f>'[4]15'!A32</f>
        <v>MKN 100-045</v>
      </c>
      <c r="B409" s="48" t="str">
        <f>'[4]15'!B32</f>
        <v>Thru 6-1/2" OD</v>
      </c>
      <c r="C409" s="49">
        <f>'[4]15'!D32</f>
        <v>1150</v>
      </c>
      <c r="D409" s="49">
        <f>'[4]15'!E32</f>
        <v>600</v>
      </c>
      <c r="E409" s="49">
        <f>'[4]15'!F32</f>
        <v>120</v>
      </c>
      <c r="F409" s="49"/>
    </row>
    <row r="410" spans="1:6" x14ac:dyDescent="0.25">
      <c r="A410" s="50" t="str">
        <f>'[4]15'!A33</f>
        <v>MKN 100-046</v>
      </c>
      <c r="B410" s="51" t="str">
        <f>'[4]15'!B33</f>
        <v>Thru 8" OD</v>
      </c>
      <c r="C410" s="52">
        <f>'[4]15'!D33</f>
        <v>1350</v>
      </c>
      <c r="D410" s="52">
        <f>'[4]15'!E33</f>
        <v>600</v>
      </c>
      <c r="E410" s="52">
        <f>'[4]15'!F33</f>
        <v>120</v>
      </c>
      <c r="F410" s="52"/>
    </row>
    <row r="411" spans="1:6" x14ac:dyDescent="0.25">
      <c r="A411" s="50" t="str">
        <f>'[4]15'!A35</f>
        <v>MKN 100-047</v>
      </c>
      <c r="B411" s="51" t="str">
        <f>'[4]15'!B35</f>
        <v>Thru 4-1/4"OD (Jars - Bumper sub)</v>
      </c>
      <c r="C411" s="52">
        <f>'[4]15'!D35</f>
        <v>400</v>
      </c>
      <c r="D411" s="52">
        <f>'[4]15'!E35</f>
        <v>240</v>
      </c>
      <c r="E411" s="52">
        <f>'[4]15'!F35</f>
        <v>95</v>
      </c>
      <c r="F411" s="52"/>
    </row>
    <row r="412" spans="1:6" x14ac:dyDescent="0.25">
      <c r="A412" s="53" t="str">
        <f>'[4]15'!A36</f>
        <v>MKN 100-048</v>
      </c>
      <c r="B412" s="54" t="str">
        <f>'[4]15'!B36</f>
        <v>Thru 6-1/4"OD (Jars - Bumper sub)</v>
      </c>
      <c r="C412" s="55">
        <f>'[4]15'!D36</f>
        <v>680</v>
      </c>
      <c r="D412" s="55">
        <f>'[4]15'!E36</f>
        <v>330</v>
      </c>
      <c r="E412" s="55">
        <f>'[4]15'!F36</f>
        <v>100</v>
      </c>
      <c r="F412" s="55"/>
    </row>
    <row r="413" spans="1:6" ht="6" customHeight="1" x14ac:dyDescent="0.25">
      <c r="A413" s="39"/>
      <c r="B413" s="40"/>
      <c r="C413" s="41"/>
      <c r="D413" s="41"/>
      <c r="E413" s="41"/>
      <c r="F413" s="41"/>
    </row>
    <row r="414" spans="1:6" ht="16.149999999999999" customHeight="1" x14ac:dyDescent="0.25">
      <c r="A414" s="42" t="s">
        <v>132</v>
      </c>
      <c r="B414" s="43"/>
      <c r="C414" s="44"/>
      <c r="D414" s="44"/>
      <c r="E414" s="44"/>
      <c r="F414" s="44"/>
    </row>
    <row r="415" spans="1:6" x14ac:dyDescent="0.25">
      <c r="A415" s="45" t="s">
        <v>7</v>
      </c>
      <c r="B415" s="45" t="s">
        <v>8</v>
      </c>
      <c r="C415" s="46" t="s">
        <v>130</v>
      </c>
      <c r="D415" s="46" t="s">
        <v>131</v>
      </c>
      <c r="E415" s="46"/>
      <c r="F415" s="46"/>
    </row>
    <row r="416" spans="1:6" x14ac:dyDescent="0.25">
      <c r="A416" s="47" t="str">
        <f>'[4]15'!A50</f>
        <v>MKN 100-049</v>
      </c>
      <c r="B416" s="48" t="str">
        <f>'[4]15'!B50</f>
        <v>3-1/2" conn.</v>
      </c>
      <c r="C416" s="49">
        <f>'[4]15'!D50</f>
        <v>200</v>
      </c>
      <c r="D416" s="49">
        <f>'[4]15'!E50</f>
        <v>90</v>
      </c>
      <c r="E416" s="49"/>
      <c r="F416" s="49"/>
    </row>
    <row r="417" spans="1:6" x14ac:dyDescent="0.25">
      <c r="A417" s="50" t="str">
        <f>'[4]15'!A51</f>
        <v>MKN 100-050</v>
      </c>
      <c r="B417" s="51" t="str">
        <f>'[4]15'!B51</f>
        <v xml:space="preserve">6-5/8" conn. And smaller </v>
      </c>
      <c r="C417" s="52">
        <f>'[4]15'!D51</f>
        <v>280</v>
      </c>
      <c r="D417" s="52">
        <f>'[4]15'!E51</f>
        <v>130</v>
      </c>
      <c r="E417" s="52"/>
      <c r="F417" s="52"/>
    </row>
    <row r="418" spans="1:6" x14ac:dyDescent="0.25">
      <c r="A418" s="50" t="str">
        <f>'[4]15'!A53</f>
        <v>MKN 100-051</v>
      </c>
      <c r="B418" s="51" t="str">
        <f>'[4]15'!B53</f>
        <v xml:space="preserve">6-5/8" conn. And smaller </v>
      </c>
      <c r="C418" s="52">
        <f>'[4]15'!D53</f>
        <v>690</v>
      </c>
      <c r="D418" s="52">
        <f>'[4]15'!E53</f>
        <v>300</v>
      </c>
      <c r="E418" s="52"/>
      <c r="F418" s="52"/>
    </row>
    <row r="419" spans="1:6" x14ac:dyDescent="0.25">
      <c r="A419" s="50" t="str">
        <f>'[4]15'!A55</f>
        <v>MFT 100-052</v>
      </c>
      <c r="B419" s="51" t="str">
        <f>'[4]15'!B55</f>
        <v>All sizes</v>
      </c>
      <c r="C419" s="52">
        <f>'[4]15'!D55</f>
        <v>500</v>
      </c>
      <c r="D419" s="52">
        <f>'[4]15'!E55</f>
        <v>50</v>
      </c>
      <c r="E419" s="52"/>
      <c r="F419" s="52"/>
    </row>
    <row r="420" spans="1:6" x14ac:dyDescent="0.25">
      <c r="A420" s="50" t="str">
        <f>'[4]15'!A57</f>
        <v>MKN 100-053</v>
      </c>
      <c r="B420" s="51" t="str">
        <f>'[4]15'!B57</f>
        <v xml:space="preserve"> Thru 2-1/2" OD</v>
      </c>
      <c r="C420" s="52">
        <f>'[4]15'!D57</f>
        <v>330</v>
      </c>
      <c r="D420" s="52">
        <f>'[4]15'!E57</f>
        <v>220</v>
      </c>
      <c r="E420" s="52"/>
      <c r="F420" s="52"/>
    </row>
    <row r="421" spans="1:6" x14ac:dyDescent="0.25">
      <c r="A421" s="50" t="str">
        <f>'[4]15'!A58</f>
        <v>MKN 100-054</v>
      </c>
      <c r="B421" s="51" t="str">
        <f>'[4]15'!B58</f>
        <v xml:space="preserve"> Thru 4-1/2" OD</v>
      </c>
      <c r="C421" s="52">
        <f>'[4]15'!D58</f>
        <v>520</v>
      </c>
      <c r="D421" s="52">
        <f>'[4]15'!E58</f>
        <v>370</v>
      </c>
      <c r="E421" s="52"/>
      <c r="F421" s="52"/>
    </row>
    <row r="422" spans="1:6" x14ac:dyDescent="0.25">
      <c r="A422" s="50" t="str">
        <f>'[4]15'!A59</f>
        <v>MKN 100-055</v>
      </c>
      <c r="B422" s="51" t="str">
        <f>'[4]15'!B59</f>
        <v xml:space="preserve"> Thru 6-1/2" OD</v>
      </c>
      <c r="C422" s="52">
        <f>'[4]15'!D59</f>
        <v>840</v>
      </c>
      <c r="D422" s="52">
        <f>'[4]15'!E59</f>
        <v>520</v>
      </c>
      <c r="E422" s="52"/>
      <c r="F422" s="52"/>
    </row>
    <row r="423" spans="1:6" x14ac:dyDescent="0.25">
      <c r="A423" s="50" t="str">
        <f>'[4]15'!A60</f>
        <v>MKN 100-056</v>
      </c>
      <c r="B423" s="51" t="str">
        <f>'[4]15'!B60</f>
        <v xml:space="preserve"> Thru 8-1/2" OD</v>
      </c>
      <c r="C423" s="52">
        <f>'[4]15'!D60</f>
        <v>990</v>
      </c>
      <c r="D423" s="52">
        <f>'[4]15'!E60</f>
        <v>670</v>
      </c>
      <c r="E423" s="52"/>
      <c r="F423" s="52"/>
    </row>
    <row r="424" spans="1:6" x14ac:dyDescent="0.25">
      <c r="A424" s="53" t="str">
        <f>'[4]15'!A61</f>
        <v>MKN 100-057</v>
      </c>
      <c r="B424" s="54" t="str">
        <f>'[4]15'!B61</f>
        <v>Thru 11-1/2" OD</v>
      </c>
      <c r="C424" s="55">
        <f>'[4]15'!D61</f>
        <v>1380</v>
      </c>
      <c r="D424" s="55">
        <f>'[4]15'!E61</f>
        <v>900</v>
      </c>
      <c r="E424" s="55"/>
      <c r="F424" s="55"/>
    </row>
    <row r="425" spans="1:6" ht="6" customHeight="1" x14ac:dyDescent="0.25">
      <c r="A425" s="39"/>
      <c r="B425" s="40"/>
      <c r="C425" s="41"/>
      <c r="D425" s="41"/>
      <c r="E425" s="41"/>
      <c r="F425" s="41"/>
    </row>
    <row r="426" spans="1:6" ht="16.149999999999999" customHeight="1" x14ac:dyDescent="0.25">
      <c r="A426" s="42" t="s">
        <v>133</v>
      </c>
      <c r="B426" s="43"/>
      <c r="C426" s="44"/>
      <c r="D426" s="44"/>
      <c r="E426" s="44"/>
      <c r="F426" s="44"/>
    </row>
    <row r="427" spans="1:6" x14ac:dyDescent="0.25">
      <c r="A427" s="45" t="s">
        <v>7</v>
      </c>
      <c r="B427" s="45" t="s">
        <v>8</v>
      </c>
      <c r="C427" s="46" t="s">
        <v>130</v>
      </c>
      <c r="D427" s="46" t="s">
        <v>131</v>
      </c>
      <c r="E427" s="46"/>
      <c r="F427" s="46"/>
    </row>
    <row r="428" spans="1:6" x14ac:dyDescent="0.25">
      <c r="A428" s="47" t="str">
        <f>'[4]15'!A66</f>
        <v>MKN 100-058</v>
      </c>
      <c r="B428" s="48" t="str">
        <f>'[4]15'!B66</f>
        <v>Thru 4 1/4"OD</v>
      </c>
      <c r="C428" s="49">
        <f>'[4]15'!D66</f>
        <v>2500</v>
      </c>
      <c r="D428" s="49">
        <f>'[4]15'!E66</f>
        <v>150</v>
      </c>
      <c r="E428" s="49"/>
      <c r="F428" s="49"/>
    </row>
    <row r="429" spans="1:6" x14ac:dyDescent="0.25">
      <c r="A429" s="50" t="str">
        <f>'[4]15'!A67</f>
        <v>MKN 100-059</v>
      </c>
      <c r="B429" s="51" t="str">
        <f>'[4]15'!B67</f>
        <v>Thru 6 1/8"OD</v>
      </c>
      <c r="C429" s="52">
        <f>'[4]15'!D67</f>
        <v>3500</v>
      </c>
      <c r="D429" s="52">
        <f>'[4]15'!E67</f>
        <v>180</v>
      </c>
      <c r="E429" s="52"/>
      <c r="F429" s="52"/>
    </row>
    <row r="430" spans="1:6" x14ac:dyDescent="0.25">
      <c r="A430" s="50" t="str">
        <f>'[4]15'!A68</f>
        <v>MKN 100-060</v>
      </c>
      <c r="B430" s="51" t="str">
        <f>'[4]15'!B68</f>
        <v>Thru 7 3/8"OD</v>
      </c>
      <c r="C430" s="52">
        <f>'[4]15'!D68</f>
        <v>4200</v>
      </c>
      <c r="D430" s="52">
        <f>'[4]15'!E68</f>
        <v>200</v>
      </c>
      <c r="E430" s="52"/>
      <c r="F430" s="52"/>
    </row>
    <row r="431" spans="1:6" x14ac:dyDescent="0.25">
      <c r="A431" s="50" t="str">
        <f>'[4]15'!A69</f>
        <v>MKN 100-061</v>
      </c>
      <c r="B431" s="51" t="str">
        <f>'[4]15'!B69</f>
        <v>Thru 8 3/8"OD</v>
      </c>
      <c r="C431" s="52">
        <f>'[4]15'!D69</f>
        <v>6400</v>
      </c>
      <c r="D431" s="52">
        <f>'[4]15'!E69</f>
        <v>240</v>
      </c>
      <c r="E431" s="52"/>
      <c r="F431" s="52"/>
    </row>
    <row r="432" spans="1:6" x14ac:dyDescent="0.25">
      <c r="A432" s="50" t="str">
        <f>'[4]15'!A70</f>
        <v>MKN 100-062</v>
      </c>
      <c r="B432" s="51" t="str">
        <f>'[4]15'!B70</f>
        <v>Thru 10 5/8"OD</v>
      </c>
      <c r="C432" s="52">
        <f>'[4]15'!D70</f>
        <v>8300</v>
      </c>
      <c r="D432" s="52">
        <f>'[4]15'!E70</f>
        <v>300</v>
      </c>
      <c r="E432" s="52"/>
      <c r="F432" s="52"/>
    </row>
    <row r="433" spans="1:6" x14ac:dyDescent="0.25">
      <c r="A433" s="53" t="str">
        <f>'[4]15'!A71</f>
        <v>MKN 100-063</v>
      </c>
      <c r="B433" s="54" t="str">
        <f>'[4]15'!B71</f>
        <v>Thru 17 1/2"OD</v>
      </c>
      <c r="C433" s="55">
        <f>'[4]15'!D71</f>
        <v>9500</v>
      </c>
      <c r="D433" s="55">
        <f>'[4]15'!E71</f>
        <v>350</v>
      </c>
      <c r="E433" s="55"/>
      <c r="F433" s="55"/>
    </row>
    <row r="434" spans="1:6" ht="6" customHeight="1" x14ac:dyDescent="0.25">
      <c r="A434" s="39"/>
      <c r="B434" s="40"/>
      <c r="C434" s="41"/>
      <c r="D434" s="41"/>
      <c r="E434" s="41"/>
      <c r="F434" s="41"/>
    </row>
    <row r="435" spans="1:6" ht="16.149999999999999" customHeight="1" x14ac:dyDescent="0.25">
      <c r="A435" s="42" t="s">
        <v>134</v>
      </c>
      <c r="B435" s="43"/>
      <c r="C435" s="44"/>
      <c r="D435" s="44"/>
      <c r="E435" s="44"/>
      <c r="F435" s="44"/>
    </row>
    <row r="436" spans="1:6" x14ac:dyDescent="0.25">
      <c r="A436" s="45" t="s">
        <v>7</v>
      </c>
      <c r="B436" s="45" t="s">
        <v>8</v>
      </c>
      <c r="C436" s="46" t="s">
        <v>121</v>
      </c>
      <c r="D436" s="46"/>
      <c r="E436" s="46"/>
      <c r="F436" s="46"/>
    </row>
    <row r="437" spans="1:6" x14ac:dyDescent="0.25">
      <c r="A437" s="47" t="str">
        <f>'[4]16'!A9</f>
        <v>MKN 100-064</v>
      </c>
      <c r="B437" s="48" t="str">
        <f>'[4]16'!B9</f>
        <v>ALL Sizes</v>
      </c>
      <c r="C437" s="49">
        <f>'[4]16'!D9</f>
        <v>0</v>
      </c>
      <c r="D437" s="49"/>
      <c r="E437" s="49"/>
      <c r="F437" s="49"/>
    </row>
    <row r="438" spans="1:6" x14ac:dyDescent="0.25">
      <c r="A438" s="50">
        <f>'[4]16'!A10</f>
        <v>0</v>
      </c>
      <c r="B438" s="51" t="str">
        <f>'[4]16'!B10</f>
        <v>MILLS-DRESSED W/CRUSHED TUNGSTEN</v>
      </c>
      <c r="C438" s="52">
        <f>'[4]16'!D10</f>
        <v>510</v>
      </c>
      <c r="D438" s="52"/>
      <c r="E438" s="52"/>
      <c r="F438" s="52"/>
    </row>
    <row r="439" spans="1:6" ht="24" x14ac:dyDescent="0.25">
      <c r="A439" s="50">
        <f>'[4]16'!A11</f>
        <v>0</v>
      </c>
      <c r="B439" s="51" t="str">
        <f>'[4]16'!B11</f>
        <v>CEMENT, CONCAVE, FLAT BOTTOM, HOLLOW, ROUND NOSE, DIAMOND POINT OR FISH TAIL</v>
      </c>
      <c r="C439" s="52">
        <f>'[4]16'!D11</f>
        <v>0</v>
      </c>
      <c r="D439" s="52"/>
      <c r="E439" s="52"/>
      <c r="F439" s="52"/>
    </row>
    <row r="440" spans="1:6" x14ac:dyDescent="0.25">
      <c r="A440" s="50" t="str">
        <f>'[4]16'!A12</f>
        <v>MKN 100-065</v>
      </c>
      <c r="B440" s="51" t="str">
        <f>'[4]16'!B12</f>
        <v>Thru 12"OD</v>
      </c>
      <c r="C440" s="52">
        <f>'[4]16'!D12</f>
        <v>310</v>
      </c>
      <c r="D440" s="52"/>
      <c r="E440" s="52"/>
      <c r="F440" s="52"/>
    </row>
    <row r="441" spans="1:6" x14ac:dyDescent="0.25">
      <c r="A441" s="50" t="str">
        <f>'[4]16'!A13</f>
        <v>MKN 100-066</v>
      </c>
      <c r="B441" s="51" t="str">
        <f>'[4]16'!B13</f>
        <v>Thru 15"OD</v>
      </c>
      <c r="C441" s="52">
        <f>'[4]16'!D13</f>
        <v>350</v>
      </c>
      <c r="D441" s="52"/>
      <c r="E441" s="52"/>
      <c r="F441" s="52"/>
    </row>
    <row r="442" spans="1:6" x14ac:dyDescent="0.25">
      <c r="A442" s="50" t="str">
        <f>'[4]16'!A14</f>
        <v>MKN 100-067</v>
      </c>
      <c r="B442" s="51" t="str">
        <f>'[4]16'!B14</f>
        <v>Thru 20"OD</v>
      </c>
      <c r="C442" s="52">
        <f>'[4]16'!D14</f>
        <v>350</v>
      </c>
      <c r="D442" s="52"/>
      <c r="E442" s="52"/>
      <c r="F442" s="52"/>
    </row>
    <row r="443" spans="1:6" x14ac:dyDescent="0.25">
      <c r="A443" s="50" t="str">
        <f>'[4]16'!A15</f>
        <v>MKN 100-068</v>
      </c>
      <c r="B443" s="51" t="str">
        <f>'[4]16'!B15</f>
        <v>Thru 24"OD</v>
      </c>
      <c r="C443" s="52">
        <f>'[4]16'!D15</f>
        <v>510</v>
      </c>
      <c r="D443" s="52"/>
      <c r="E443" s="52"/>
      <c r="F443" s="52"/>
    </row>
    <row r="444" spans="1:6" x14ac:dyDescent="0.25">
      <c r="A444" s="50" t="str">
        <f>'[4]16'!A16</f>
        <v>MKN 100-069</v>
      </c>
      <c r="B444" s="51" t="str">
        <f>'[4]16'!B16</f>
        <v>Thru 26"OD</v>
      </c>
      <c r="C444" s="52">
        <f>'[4]16'!D16</f>
        <v>510</v>
      </c>
      <c r="D444" s="52"/>
      <c r="E444" s="52"/>
      <c r="F444" s="52"/>
    </row>
    <row r="445" spans="1:6" x14ac:dyDescent="0.25">
      <c r="A445" s="50">
        <f>'[4]16'!A17</f>
        <v>0</v>
      </c>
      <c r="B445" s="51" t="str">
        <f>'[4]16'!B17</f>
        <v>PACKER, PILOT, TAPERED, OR WATERMELON</v>
      </c>
      <c r="C445" s="52">
        <f>'[4]16'!D17</f>
        <v>0</v>
      </c>
      <c r="D445" s="52"/>
      <c r="E445" s="52"/>
      <c r="F445" s="52"/>
    </row>
    <row r="446" spans="1:6" x14ac:dyDescent="0.25">
      <c r="A446" s="50" t="str">
        <f>'[4]16'!A18</f>
        <v>MKN 100-070</v>
      </c>
      <c r="B446" s="51" t="str">
        <f>'[4]16'!B18</f>
        <v>Thru 15"OD</v>
      </c>
      <c r="C446" s="52">
        <f>'[4]16'!D18</f>
        <v>420</v>
      </c>
      <c r="D446" s="52"/>
      <c r="E446" s="52"/>
      <c r="F446" s="52"/>
    </row>
    <row r="447" spans="1:6" x14ac:dyDescent="0.25">
      <c r="A447" s="50" t="str">
        <f>'[4]16'!A19</f>
        <v>MKN 100-071</v>
      </c>
      <c r="B447" s="51" t="str">
        <f>'[4]16'!B19</f>
        <v>Thru 20"OD</v>
      </c>
      <c r="C447" s="52">
        <f>'[4]16'!D19</f>
        <v>460</v>
      </c>
      <c r="D447" s="52"/>
      <c r="E447" s="52"/>
      <c r="F447" s="52"/>
    </row>
    <row r="448" spans="1:6" x14ac:dyDescent="0.25">
      <c r="A448" s="50" t="str">
        <f>'[4]16'!A20</f>
        <v>MKN 100-072</v>
      </c>
      <c r="B448" s="51" t="str">
        <f>'[4]16'!B20</f>
        <v>Thru 24"OD</v>
      </c>
      <c r="C448" s="52">
        <f>'[4]16'!D20</f>
        <v>650</v>
      </c>
      <c r="D448" s="52"/>
      <c r="E448" s="52"/>
      <c r="F448" s="52"/>
    </row>
    <row r="449" spans="1:6" x14ac:dyDescent="0.25">
      <c r="A449" s="50" t="str">
        <f>'[4]16'!A21</f>
        <v>MKN 100-073</v>
      </c>
      <c r="B449" s="51" t="str">
        <f>'[4]16'!B21</f>
        <v>Thru 26"OD</v>
      </c>
      <c r="C449" s="52">
        <f>'[4]16'!D21</f>
        <v>670</v>
      </c>
      <c r="D449" s="52"/>
      <c r="E449" s="52"/>
      <c r="F449" s="52"/>
    </row>
    <row r="450" spans="1:6" x14ac:dyDescent="0.25">
      <c r="A450" s="53" t="str">
        <f>'[4]16'!A22</f>
        <v>MKN 100-074</v>
      </c>
      <c r="B450" s="54" t="str">
        <f>'[4]16'!B22</f>
        <v>Thru 30"OD</v>
      </c>
      <c r="C450" s="55">
        <f>'[4]16'!D22</f>
        <v>810</v>
      </c>
      <c r="D450" s="55"/>
      <c r="E450" s="55"/>
      <c r="F450" s="55"/>
    </row>
    <row r="451" spans="1:6" ht="6" customHeight="1" x14ac:dyDescent="0.25">
      <c r="A451" s="39"/>
      <c r="B451" s="40"/>
      <c r="C451" s="41"/>
      <c r="D451" s="41"/>
      <c r="E451" s="41"/>
      <c r="F451" s="41"/>
    </row>
    <row r="452" spans="1:6" ht="16.149999999999999" customHeight="1" x14ac:dyDescent="0.25">
      <c r="A452" s="42" t="s">
        <v>135</v>
      </c>
      <c r="B452" s="43"/>
      <c r="C452" s="44"/>
      <c r="D452" s="44"/>
      <c r="E452" s="44"/>
      <c r="F452" s="44"/>
    </row>
    <row r="453" spans="1:6" x14ac:dyDescent="0.25">
      <c r="A453" s="45" t="s">
        <v>7</v>
      </c>
      <c r="B453" s="45" t="s">
        <v>8</v>
      </c>
      <c r="C453" s="46" t="s">
        <v>12</v>
      </c>
      <c r="D453" s="46" t="s">
        <v>86</v>
      </c>
      <c r="E453" s="46" t="s">
        <v>87</v>
      </c>
      <c r="F453" s="46"/>
    </row>
    <row r="454" spans="1:6" x14ac:dyDescent="0.25">
      <c r="A454" s="47" t="str">
        <f>'[4]16'!A29</f>
        <v>MKN 100-075</v>
      </c>
      <c r="B454" s="48" t="str">
        <f>'[4]16'!B29</f>
        <v>Thru 4-1/8"OD</v>
      </c>
      <c r="C454" s="49">
        <f>'[4]16'!D29</f>
        <v>425</v>
      </c>
      <c r="D454" s="49">
        <f>'[4]16'!E29</f>
        <v>200</v>
      </c>
      <c r="E454" s="49">
        <f>'[4]16'!F29</f>
        <v>60</v>
      </c>
      <c r="F454" s="49"/>
    </row>
    <row r="455" spans="1:6" x14ac:dyDescent="0.25">
      <c r="A455" s="50" t="str">
        <f>'[4]16'!A30</f>
        <v>MKN 100-076</v>
      </c>
      <c r="B455" s="51" t="str">
        <f>'[4]16'!B30</f>
        <v>Thru 5-3/8"OD</v>
      </c>
      <c r="C455" s="52">
        <f>'[4]16'!D30</f>
        <v>570</v>
      </c>
      <c r="D455" s="52">
        <f>'[4]16'!E30</f>
        <v>220</v>
      </c>
      <c r="E455" s="52">
        <f>'[4]16'!F30</f>
        <v>70</v>
      </c>
      <c r="F455" s="52"/>
    </row>
    <row r="456" spans="1:6" x14ac:dyDescent="0.25">
      <c r="A456" s="50" t="str">
        <f>'[4]16'!A31</f>
        <v>MKN 100-077</v>
      </c>
      <c r="B456" s="51" t="str">
        <f>'[4]16'!B31</f>
        <v>Thru 8-7/8"OD</v>
      </c>
      <c r="C456" s="52">
        <f>'[4]16'!D31</f>
        <v>800</v>
      </c>
      <c r="D456" s="52">
        <f>'[4]16'!E31</f>
        <v>330</v>
      </c>
      <c r="E456" s="52">
        <f>'[4]16'!F31</f>
        <v>80</v>
      </c>
      <c r="F456" s="52"/>
    </row>
    <row r="457" spans="1:6" x14ac:dyDescent="0.25">
      <c r="A457" s="53" t="str">
        <f>'[4]16'!A32</f>
        <v>MKN 100-078</v>
      </c>
      <c r="B457" s="54" t="str">
        <f>'[4]16'!B32</f>
        <v>Thru 11-3/4"OD</v>
      </c>
      <c r="C457" s="55">
        <f>'[4]16'!D32</f>
        <v>1150</v>
      </c>
      <c r="D457" s="55">
        <f>'[4]16'!E32</f>
        <v>585</v>
      </c>
      <c r="E457" s="55">
        <f>'[4]16'!F32</f>
        <v>110</v>
      </c>
      <c r="F457" s="55"/>
    </row>
    <row r="458" spans="1:6" ht="6" customHeight="1" x14ac:dyDescent="0.25">
      <c r="A458" s="39"/>
      <c r="B458" s="40"/>
      <c r="C458" s="41"/>
      <c r="D458" s="41"/>
      <c r="E458" s="41"/>
      <c r="F458" s="41"/>
    </row>
    <row r="459" spans="1:6" ht="16.149999999999999" customHeight="1" x14ac:dyDescent="0.25">
      <c r="A459" s="42" t="s">
        <v>136</v>
      </c>
      <c r="B459" s="43"/>
      <c r="C459" s="44"/>
      <c r="D459" s="44"/>
      <c r="E459" s="44"/>
      <c r="F459" s="44"/>
    </row>
    <row r="460" spans="1:6" x14ac:dyDescent="0.25">
      <c r="A460" s="45" t="s">
        <v>7</v>
      </c>
      <c r="B460" s="45" t="s">
        <v>8</v>
      </c>
      <c r="C460" s="46" t="s">
        <v>12</v>
      </c>
      <c r="D460" s="46" t="s">
        <v>86</v>
      </c>
      <c r="E460" s="46" t="s">
        <v>87</v>
      </c>
      <c r="F460" s="46"/>
    </row>
    <row r="461" spans="1:6" x14ac:dyDescent="0.25">
      <c r="A461" s="47" t="str">
        <f>'[4]16'!A39</f>
        <v>MKN 100-079</v>
      </c>
      <c r="B461" s="48" t="str">
        <f>'[4]16'!B39</f>
        <v>Thru 4 3/4"OD</v>
      </c>
      <c r="C461" s="49">
        <f>'[4]16'!D39</f>
        <v>800</v>
      </c>
      <c r="D461" s="49">
        <f>'[4]16'!E39</f>
        <v>467.5</v>
      </c>
      <c r="E461" s="49">
        <f>'[4]16'!F39</f>
        <v>60</v>
      </c>
      <c r="F461" s="49"/>
    </row>
    <row r="462" spans="1:6" x14ac:dyDescent="0.25">
      <c r="A462" s="50" t="str">
        <f>'[4]16'!A40</f>
        <v>MKN 100-080</v>
      </c>
      <c r="B462" s="51" t="str">
        <f>'[4]16'!B40</f>
        <v>Thru 6 1/4"OD</v>
      </c>
      <c r="C462" s="52">
        <f>'[4]16'!D40</f>
        <v>890</v>
      </c>
      <c r="D462" s="52">
        <f>'[4]16'!E40</f>
        <v>476</v>
      </c>
      <c r="E462" s="52">
        <f>'[4]16'!F40</f>
        <v>70</v>
      </c>
      <c r="F462" s="52"/>
    </row>
    <row r="463" spans="1:6" x14ac:dyDescent="0.25">
      <c r="A463" s="50" t="str">
        <f>'[4]16'!A41</f>
        <v>MKN 100-081</v>
      </c>
      <c r="B463" s="51" t="str">
        <f>'[4]16'!B41</f>
        <v>Thru 9 5/8"OD</v>
      </c>
      <c r="C463" s="52">
        <f>'[4]16'!D41</f>
        <v>1100</v>
      </c>
      <c r="D463" s="52">
        <f>'[4]16'!E41</f>
        <v>650</v>
      </c>
      <c r="E463" s="52">
        <f>'[4]16'!F41</f>
        <v>80</v>
      </c>
      <c r="F463" s="52"/>
    </row>
    <row r="464" spans="1:6" x14ac:dyDescent="0.25">
      <c r="A464" s="53" t="str">
        <f>'[4]16'!A42</f>
        <v>MKN 100-082</v>
      </c>
      <c r="B464" s="54" t="str">
        <f>'[4]16'!B42</f>
        <v>Thru 12 3/4"OD</v>
      </c>
      <c r="C464" s="55">
        <f>'[4]16'!D42</f>
        <v>1570</v>
      </c>
      <c r="D464" s="55">
        <f>'[4]16'!E42</f>
        <v>700</v>
      </c>
      <c r="E464" s="55">
        <f>'[4]16'!F42</f>
        <v>110</v>
      </c>
      <c r="F464" s="55"/>
    </row>
    <row r="465" spans="1:6" ht="6" customHeight="1" x14ac:dyDescent="0.25">
      <c r="A465" s="39"/>
      <c r="B465" s="40"/>
      <c r="C465" s="41"/>
      <c r="D465" s="41"/>
      <c r="E465" s="41"/>
      <c r="F465" s="41"/>
    </row>
    <row r="466" spans="1:6" ht="16.149999999999999" customHeight="1" x14ac:dyDescent="0.25">
      <c r="A466" s="42" t="s">
        <v>137</v>
      </c>
      <c r="B466" s="43"/>
      <c r="C466" s="44"/>
      <c r="D466" s="44"/>
      <c r="E466" s="44"/>
      <c r="F466" s="44"/>
    </row>
    <row r="467" spans="1:6" x14ac:dyDescent="0.25">
      <c r="A467" s="45" t="s">
        <v>7</v>
      </c>
      <c r="B467" s="45" t="s">
        <v>8</v>
      </c>
      <c r="C467" s="46" t="s">
        <v>121</v>
      </c>
      <c r="D467" s="46"/>
      <c r="E467" s="46"/>
      <c r="F467" s="46"/>
    </row>
    <row r="468" spans="1:6" x14ac:dyDescent="0.25">
      <c r="A468" s="47" t="str">
        <f>'[4]16'!A49</f>
        <v>MKN 100-083</v>
      </c>
      <c r="B468" s="48" t="str">
        <f>'[4]16'!B49</f>
        <v>Thru 4-3/8"OD</v>
      </c>
      <c r="C468" s="49">
        <f>'[4]16'!D49</f>
        <v>210</v>
      </c>
      <c r="D468" s="49"/>
      <c r="E468" s="49"/>
      <c r="F468" s="49"/>
    </row>
    <row r="469" spans="1:6" x14ac:dyDescent="0.25">
      <c r="A469" s="50" t="str">
        <f>'[4]16'!A50</f>
        <v>MKN 100-084</v>
      </c>
      <c r="B469" s="51" t="str">
        <f>'[4]16'!B50</f>
        <v>Thru 5-3/4"OD</v>
      </c>
      <c r="C469" s="52">
        <f>'[4]16'!D50</f>
        <v>210</v>
      </c>
      <c r="D469" s="52"/>
      <c r="E469" s="52"/>
      <c r="F469" s="52"/>
    </row>
    <row r="470" spans="1:6" x14ac:dyDescent="0.25">
      <c r="A470" s="50" t="str">
        <f>'[4]16'!A51</f>
        <v>MKN 100-085</v>
      </c>
      <c r="B470" s="51" t="str">
        <f>'[4]16'!B51</f>
        <v>Thru 8"OD</v>
      </c>
      <c r="C470" s="52">
        <f>'[4]16'!D51</f>
        <v>280</v>
      </c>
      <c r="D470" s="52"/>
      <c r="E470" s="52"/>
      <c r="F470" s="52"/>
    </row>
    <row r="471" spans="1:6" x14ac:dyDescent="0.25">
      <c r="A471" s="50" t="str">
        <f>'[4]16'!A52</f>
        <v>MKN 100-086</v>
      </c>
      <c r="B471" s="51" t="str">
        <f>'[4]16'!B52</f>
        <v>Thru 12"OD</v>
      </c>
      <c r="C471" s="52">
        <f>'[4]16'!D52</f>
        <v>280</v>
      </c>
      <c r="D471" s="52"/>
      <c r="E471" s="52"/>
      <c r="F471" s="52"/>
    </row>
    <row r="472" spans="1:6" x14ac:dyDescent="0.25">
      <c r="A472" s="50" t="str">
        <f>'[4]16'!A53</f>
        <v>MKN 100-087</v>
      </c>
      <c r="B472" s="51" t="str">
        <f>'[4]16'!B53</f>
        <v>Thru 15"OD</v>
      </c>
      <c r="C472" s="52">
        <f>'[4]16'!D53</f>
        <v>360</v>
      </c>
      <c r="D472" s="52"/>
      <c r="E472" s="52"/>
      <c r="F472" s="52"/>
    </row>
    <row r="473" spans="1:6" x14ac:dyDescent="0.25">
      <c r="A473" s="50" t="str">
        <f>'[4]16'!A54</f>
        <v>MKN 100-088</v>
      </c>
      <c r="B473" s="51" t="str">
        <f>'[4]16'!B54</f>
        <v>Thru 20"OD</v>
      </c>
      <c r="C473" s="52">
        <f>'[4]16'!D54</f>
        <v>360</v>
      </c>
      <c r="D473" s="52"/>
      <c r="E473" s="52"/>
      <c r="F473" s="52"/>
    </row>
    <row r="474" spans="1:6" x14ac:dyDescent="0.25">
      <c r="A474" s="50" t="str">
        <f>'[4]16'!A55</f>
        <v>MKN 100-089</v>
      </c>
      <c r="B474" s="51" t="str">
        <f>'[4]16'!B55</f>
        <v>Thru 24"OD</v>
      </c>
      <c r="C474" s="52">
        <f>'[4]16'!D55</f>
        <v>475</v>
      </c>
      <c r="D474" s="52"/>
      <c r="E474" s="52"/>
      <c r="F474" s="52"/>
    </row>
    <row r="475" spans="1:6" x14ac:dyDescent="0.25">
      <c r="A475" s="53" t="str">
        <f>'[4]16'!A56</f>
        <v>MKN 100-090</v>
      </c>
      <c r="B475" s="54" t="str">
        <f>'[4]16'!B56</f>
        <v>Thru 26"OD</v>
      </c>
      <c r="C475" s="55">
        <f>'[4]16'!D56</f>
        <v>475</v>
      </c>
      <c r="D475" s="55"/>
      <c r="E475" s="55"/>
      <c r="F475" s="55"/>
    </row>
    <row r="476" spans="1:6" ht="6" customHeight="1" x14ac:dyDescent="0.25">
      <c r="A476" s="39"/>
      <c r="B476" s="40"/>
      <c r="C476" s="41"/>
      <c r="D476" s="41"/>
      <c r="E476" s="41"/>
      <c r="F476" s="41"/>
    </row>
    <row r="477" spans="1:6" ht="16.149999999999999" customHeight="1" x14ac:dyDescent="0.25">
      <c r="A477" s="42" t="s">
        <v>35</v>
      </c>
      <c r="B477" s="43"/>
      <c r="C477" s="44"/>
      <c r="D477" s="44"/>
      <c r="E477" s="44"/>
      <c r="F477" s="44"/>
    </row>
    <row r="478" spans="1:6" x14ac:dyDescent="0.25">
      <c r="A478" s="45" t="s">
        <v>7</v>
      </c>
      <c r="B478" s="45" t="s">
        <v>8</v>
      </c>
      <c r="C478" s="46" t="s">
        <v>12</v>
      </c>
      <c r="D478" s="46" t="s">
        <v>86</v>
      </c>
      <c r="E478" s="46"/>
      <c r="F478" s="46"/>
    </row>
    <row r="479" spans="1:6" x14ac:dyDescent="0.25">
      <c r="A479" s="47" t="str">
        <f>'[4]16'!A62</f>
        <v>MKN 100-091</v>
      </c>
      <c r="B479" s="48" t="str">
        <f>'[4]16'!B62</f>
        <v>Thru 4-1/8"OD</v>
      </c>
      <c r="C479" s="49">
        <f>'[4]16'!D62</f>
        <v>190</v>
      </c>
      <c r="D479" s="49">
        <f>'[4]16'!E62</f>
        <v>100</v>
      </c>
      <c r="E479" s="49"/>
      <c r="F479" s="49"/>
    </row>
    <row r="480" spans="1:6" x14ac:dyDescent="0.25">
      <c r="A480" s="50" t="str">
        <f>'[4]16'!A63</f>
        <v>MKN 100-092</v>
      </c>
      <c r="B480" s="51" t="str">
        <f>'[4]16'!B63</f>
        <v>Thru 5-3/4"OD</v>
      </c>
      <c r="C480" s="52">
        <f>'[4]16'!D63</f>
        <v>275</v>
      </c>
      <c r="D480" s="52">
        <f>'[4]16'!E63</f>
        <v>110</v>
      </c>
      <c r="E480" s="52"/>
      <c r="F480" s="52"/>
    </row>
    <row r="481" spans="1:6" x14ac:dyDescent="0.25">
      <c r="A481" s="50" t="str">
        <f>'[4]16'!A64</f>
        <v>MKN 100-093</v>
      </c>
      <c r="B481" s="51" t="str">
        <f>'[4]16'!B64</f>
        <v>Thru 8"OD</v>
      </c>
      <c r="C481" s="52">
        <f>'[4]16'!D64</f>
        <v>275</v>
      </c>
      <c r="D481" s="52">
        <f>'[4]16'!E64</f>
        <v>110</v>
      </c>
      <c r="E481" s="52"/>
      <c r="F481" s="52"/>
    </row>
    <row r="482" spans="1:6" x14ac:dyDescent="0.25">
      <c r="A482" s="50" t="str">
        <f>'[4]16'!A65</f>
        <v>MKN 100-094</v>
      </c>
      <c r="B482" s="51" t="str">
        <f>'[4]16'!B65</f>
        <v>Thru 10-3/4"OD</v>
      </c>
      <c r="C482" s="52">
        <f>'[4]16'!D65</f>
        <v>490</v>
      </c>
      <c r="D482" s="52">
        <f>'[4]16'!E65</f>
        <v>180</v>
      </c>
      <c r="E482" s="52"/>
      <c r="F482" s="52"/>
    </row>
    <row r="483" spans="1:6" x14ac:dyDescent="0.25">
      <c r="A483" s="53" t="str">
        <f>'[4]16'!A66</f>
        <v>MKN 100-095</v>
      </c>
      <c r="B483" s="54" t="str">
        <f>'[4]16'!B66</f>
        <v>Thru 13 3/4"OD</v>
      </c>
      <c r="C483" s="55">
        <f>'[4]16'!D66</f>
        <v>650</v>
      </c>
      <c r="D483" s="55">
        <f>'[4]16'!E66</f>
        <v>230</v>
      </c>
      <c r="E483" s="55"/>
      <c r="F483" s="55"/>
    </row>
    <row r="484" spans="1:6" ht="6" customHeight="1" x14ac:dyDescent="0.25">
      <c r="A484" s="39"/>
      <c r="B484" s="40"/>
      <c r="C484" s="41"/>
      <c r="D484" s="41"/>
      <c r="E484" s="41"/>
      <c r="F484" s="41"/>
    </row>
    <row r="485" spans="1:6" ht="16.149999999999999" customHeight="1" x14ac:dyDescent="0.25">
      <c r="A485" s="42" t="s">
        <v>138</v>
      </c>
      <c r="B485" s="43"/>
      <c r="C485" s="44"/>
      <c r="D485" s="44"/>
      <c r="E485" s="44"/>
      <c r="F485" s="44"/>
    </row>
    <row r="486" spans="1:6" x14ac:dyDescent="0.25">
      <c r="A486" s="45" t="s">
        <v>7</v>
      </c>
      <c r="B486" s="45" t="s">
        <v>8</v>
      </c>
      <c r="C486" s="46" t="s">
        <v>12</v>
      </c>
      <c r="D486" s="46" t="s">
        <v>86</v>
      </c>
      <c r="E486" s="46"/>
      <c r="F486" s="46"/>
    </row>
    <row r="487" spans="1:6" x14ac:dyDescent="0.25">
      <c r="A487" s="47" t="str">
        <f>'[4]17'!A8</f>
        <v>MKN 100-096</v>
      </c>
      <c r="B487" s="48" t="str">
        <f>'[4]17'!B8</f>
        <v>Thru 7"OD</v>
      </c>
      <c r="C487" s="49">
        <f>'[4]17'!D8</f>
        <v>150</v>
      </c>
      <c r="D487" s="49">
        <f>'[4]17'!E8</f>
        <v>70</v>
      </c>
      <c r="E487" s="49"/>
      <c r="F487" s="49"/>
    </row>
    <row r="488" spans="1:6" x14ac:dyDescent="0.25">
      <c r="A488" s="50" t="str">
        <f>'[4]17'!A9</f>
        <v>MKN 100-097</v>
      </c>
      <c r="B488" s="51" t="str">
        <f>'[4]17'!B9</f>
        <v>Thru 11"OD</v>
      </c>
      <c r="C488" s="52">
        <f>'[4]17'!D9</f>
        <v>260</v>
      </c>
      <c r="D488" s="52">
        <f>'[4]17'!E9</f>
        <v>120</v>
      </c>
      <c r="E488" s="52"/>
      <c r="F488" s="52"/>
    </row>
    <row r="489" spans="1:6" x14ac:dyDescent="0.25">
      <c r="A489" s="50" t="str">
        <f>'[4]17'!A10</f>
        <v>MKN 100-098</v>
      </c>
      <c r="B489" s="51" t="str">
        <f>'[4]17'!B10</f>
        <v>Thru 16-18"OD</v>
      </c>
      <c r="C489" s="52">
        <f>'[4]17'!D10</f>
        <v>560</v>
      </c>
      <c r="D489" s="52">
        <f>'[4]17'!E10</f>
        <v>230</v>
      </c>
      <c r="E489" s="52"/>
      <c r="F489" s="52"/>
    </row>
    <row r="490" spans="1:6" x14ac:dyDescent="0.25">
      <c r="A490" s="50" t="str">
        <f>'[4]17'!A11</f>
        <v>MKN 100-099</v>
      </c>
      <c r="B490" s="51" t="str">
        <f>'[4]17'!B11</f>
        <v>Thru 20"OD</v>
      </c>
      <c r="C490" s="52">
        <f>'[4]17'!D11</f>
        <v>920</v>
      </c>
      <c r="D490" s="52">
        <f>'[4]17'!E11</f>
        <v>410</v>
      </c>
      <c r="E490" s="52"/>
      <c r="F490" s="52"/>
    </row>
    <row r="491" spans="1:6" x14ac:dyDescent="0.25">
      <c r="A491" s="50" t="str">
        <f>'[4]17'!A12</f>
        <v>MKN 100-0100</v>
      </c>
      <c r="B491" s="51" t="str">
        <f>'[4]17'!B12</f>
        <v>Thru 24"OD</v>
      </c>
      <c r="C491" s="52">
        <f>'[4]17'!D12</f>
        <v>920</v>
      </c>
      <c r="D491" s="52">
        <f>'[4]17'!E12</f>
        <v>430</v>
      </c>
      <c r="E491" s="52"/>
      <c r="F491" s="52"/>
    </row>
    <row r="492" spans="1:6" x14ac:dyDescent="0.25">
      <c r="A492" s="50">
        <f>'[4]17'!A13</f>
        <v>0</v>
      </c>
      <c r="B492" s="51" t="str">
        <f>'[4]17'!B13</f>
        <v>GUIDES - WALL HOOK</v>
      </c>
      <c r="C492" s="52">
        <f>'[4]17'!D13</f>
        <v>0</v>
      </c>
      <c r="D492" s="52">
        <f>'[4]17'!E13</f>
        <v>0</v>
      </c>
      <c r="E492" s="52"/>
      <c r="F492" s="52"/>
    </row>
    <row r="493" spans="1:6" x14ac:dyDescent="0.25">
      <c r="A493" s="50" t="str">
        <f>'[4]17'!A14</f>
        <v>MKN 100-0101</v>
      </c>
      <c r="B493" s="51" t="str">
        <f>'[4]17'!B14</f>
        <v>Thru 7-7/8"OD</v>
      </c>
      <c r="C493" s="52">
        <f>'[4]17'!D14</f>
        <v>370</v>
      </c>
      <c r="D493" s="52">
        <f>'[4]17'!E14</f>
        <v>160</v>
      </c>
      <c r="E493" s="52"/>
      <c r="F493" s="52"/>
    </row>
    <row r="494" spans="1:6" x14ac:dyDescent="0.25">
      <c r="A494" s="53" t="str">
        <f>'[4]17'!A15</f>
        <v>MKN 100-0102</v>
      </c>
      <c r="B494" s="54" t="str">
        <f>'[4]17'!B15</f>
        <v>Thru 20-3/4"OD</v>
      </c>
      <c r="C494" s="55">
        <f>'[4]17'!D15</f>
        <v>1100</v>
      </c>
      <c r="D494" s="55">
        <f>'[4]17'!E15</f>
        <v>550</v>
      </c>
      <c r="E494" s="55"/>
      <c r="F494" s="55"/>
    </row>
    <row r="495" spans="1:6" ht="6" customHeight="1" x14ac:dyDescent="0.25">
      <c r="A495" s="39"/>
      <c r="B495" s="40"/>
      <c r="C495" s="41"/>
      <c r="D495" s="41"/>
      <c r="E495" s="41"/>
      <c r="F495" s="41"/>
    </row>
    <row r="496" spans="1:6" ht="16.149999999999999" customHeight="1" x14ac:dyDescent="0.25">
      <c r="A496" s="42" t="s">
        <v>139</v>
      </c>
      <c r="B496" s="43"/>
      <c r="C496" s="44"/>
      <c r="D496" s="44"/>
      <c r="E496" s="44"/>
      <c r="F496" s="44"/>
    </row>
    <row r="497" spans="1:6" x14ac:dyDescent="0.25">
      <c r="A497" s="45" t="s">
        <v>7</v>
      </c>
      <c r="B497" s="45" t="s">
        <v>8</v>
      </c>
      <c r="C497" s="46" t="s">
        <v>140</v>
      </c>
      <c r="D497" s="46" t="s">
        <v>141</v>
      </c>
      <c r="E497" s="46"/>
      <c r="F497" s="46"/>
    </row>
    <row r="498" spans="1:6" x14ac:dyDescent="0.25">
      <c r="A498" s="47" t="str">
        <f>'[4]17'!A17</f>
        <v>MKN 100-0103</v>
      </c>
      <c r="B498" s="48" t="str">
        <f>'[4]17'!B17</f>
        <v>4-1/2"OD</v>
      </c>
      <c r="C498" s="49">
        <f>'[4]17'!D17</f>
        <v>7</v>
      </c>
      <c r="D498" s="49">
        <f>'[4]17'!E17</f>
        <v>5</v>
      </c>
      <c r="E498" s="49"/>
      <c r="F498" s="49"/>
    </row>
    <row r="499" spans="1:6" x14ac:dyDescent="0.25">
      <c r="A499" s="50" t="str">
        <f>'[4]17'!A18</f>
        <v>MKN 100-0104</v>
      </c>
      <c r="B499" s="51" t="str">
        <f>'[4]17'!B18</f>
        <v>4-3/4"OD</v>
      </c>
      <c r="C499" s="52">
        <f>'[4]17'!D18</f>
        <v>7</v>
      </c>
      <c r="D499" s="52">
        <f>'[4]17'!E18</f>
        <v>5</v>
      </c>
      <c r="E499" s="52"/>
      <c r="F499" s="52"/>
    </row>
    <row r="500" spans="1:6" x14ac:dyDescent="0.25">
      <c r="A500" s="50" t="str">
        <f>'[4]17'!A19</f>
        <v>MKN 100-0105</v>
      </c>
      <c r="B500" s="51" t="str">
        <f>'[4]17'!B19</f>
        <v>5"OD</v>
      </c>
      <c r="C500" s="52">
        <f>'[4]17'!D19</f>
        <v>7</v>
      </c>
      <c r="D500" s="52">
        <f>'[4]17'!E19</f>
        <v>5</v>
      </c>
      <c r="E500" s="52"/>
      <c r="F500" s="52"/>
    </row>
    <row r="501" spans="1:6" x14ac:dyDescent="0.25">
      <c r="A501" s="50" t="str">
        <f>'[4]17'!A20</f>
        <v>MKN 100-0106</v>
      </c>
      <c r="B501" s="51" t="str">
        <f>'[4]17'!B20</f>
        <v>5-3/8"OD</v>
      </c>
      <c r="C501" s="52">
        <f>'[4]17'!D20</f>
        <v>7</v>
      </c>
      <c r="D501" s="52">
        <f>'[4]17'!E20</f>
        <v>5</v>
      </c>
      <c r="E501" s="52"/>
      <c r="F501" s="52"/>
    </row>
    <row r="502" spans="1:6" x14ac:dyDescent="0.25">
      <c r="A502" s="50" t="str">
        <f>'[4]17'!A21</f>
        <v>MKN 100-0107</v>
      </c>
      <c r="B502" s="51" t="str">
        <f>'[4]17'!B21</f>
        <v>5-3/4"OD</v>
      </c>
      <c r="C502" s="52">
        <f>'[4]17'!D21</f>
        <v>10</v>
      </c>
      <c r="D502" s="52">
        <f>'[4]17'!E21</f>
        <v>7</v>
      </c>
      <c r="E502" s="52"/>
      <c r="F502" s="52"/>
    </row>
    <row r="503" spans="1:6" x14ac:dyDescent="0.25">
      <c r="A503" s="53" t="str">
        <f>'[4]17'!A22</f>
        <v>MKN 100-0108</v>
      </c>
      <c r="B503" s="54" t="str">
        <f>'[4]17'!B22</f>
        <v>7-5/8"OD</v>
      </c>
      <c r="C503" s="55">
        <f>'[4]17'!D22</f>
        <v>11</v>
      </c>
      <c r="D503" s="55">
        <f>'[4]17'!E22</f>
        <v>7</v>
      </c>
      <c r="E503" s="55"/>
      <c r="F503" s="55"/>
    </row>
    <row r="504" spans="1:6" ht="6" customHeight="1" x14ac:dyDescent="0.25">
      <c r="A504" s="39"/>
      <c r="B504" s="40"/>
      <c r="C504" s="41"/>
      <c r="D504" s="41"/>
      <c r="E504" s="41"/>
      <c r="F504" s="41"/>
    </row>
    <row r="505" spans="1:6" ht="16.149999999999999" customHeight="1" x14ac:dyDescent="0.25">
      <c r="A505" s="42" t="s">
        <v>142</v>
      </c>
      <c r="B505" s="43"/>
      <c r="C505" s="44"/>
      <c r="D505" s="44"/>
      <c r="E505" s="44"/>
      <c r="F505" s="44"/>
    </row>
    <row r="506" spans="1:6" x14ac:dyDescent="0.25">
      <c r="A506" s="45" t="s">
        <v>7</v>
      </c>
      <c r="B506" s="45" t="s">
        <v>8</v>
      </c>
      <c r="C506" s="46" t="s">
        <v>12</v>
      </c>
      <c r="D506" s="46" t="s">
        <v>86</v>
      </c>
      <c r="E506" s="46"/>
      <c r="F506" s="46"/>
    </row>
    <row r="507" spans="1:6" x14ac:dyDescent="0.25">
      <c r="A507" s="47" t="str">
        <f>'[4]17'!A26</f>
        <v>MKN 100-0109</v>
      </c>
      <c r="B507" s="48" t="str">
        <f>'[4]17'!B26</f>
        <v>Pipe - Washover - Extension</v>
      </c>
      <c r="C507" s="49">
        <f>'[4]17'!D26</f>
        <v>260</v>
      </c>
      <c r="D507" s="49">
        <f>'[4]17'!E26</f>
        <v>110</v>
      </c>
      <c r="E507" s="49"/>
      <c r="F507" s="49"/>
    </row>
    <row r="508" spans="1:6" x14ac:dyDescent="0.25">
      <c r="A508" s="50" t="str">
        <f>'[4]17'!A27</f>
        <v>MKN 100-0110</v>
      </c>
      <c r="B508" s="51" t="str">
        <f>'[4]17'!B27</f>
        <v>Pipe - Washover - Extension</v>
      </c>
      <c r="C508" s="52">
        <f>'[4]17'!D27</f>
        <v>350</v>
      </c>
      <c r="D508" s="52">
        <f>'[4]17'!E27</f>
        <v>145</v>
      </c>
      <c r="E508" s="52"/>
      <c r="F508" s="52"/>
    </row>
    <row r="509" spans="1:6" x14ac:dyDescent="0.25">
      <c r="A509" s="50" t="str">
        <f>'[4]17'!A28</f>
        <v>MKN 100-0111</v>
      </c>
      <c r="B509" s="51" t="str">
        <f>'[4]17'!B28</f>
        <v>Thru 10 3/4"OD</v>
      </c>
      <c r="C509" s="52">
        <f>'[4]17'!D28</f>
        <v>500</v>
      </c>
      <c r="D509" s="52">
        <f>'[4]17'!E28</f>
        <v>195</v>
      </c>
      <c r="E509" s="52"/>
      <c r="F509" s="52"/>
    </row>
    <row r="510" spans="1:6" x14ac:dyDescent="0.25">
      <c r="A510" s="50" t="str">
        <f>'[4]17'!A29</f>
        <v>MKN 100-0112</v>
      </c>
      <c r="B510" s="51" t="str">
        <f>'[4]17'!B29</f>
        <v>Thru 13 3/8"OD</v>
      </c>
      <c r="C510" s="52">
        <f>'[4]17'!D29</f>
        <v>445</v>
      </c>
      <c r="D510" s="52">
        <f>'[4]17'!E29</f>
        <v>300</v>
      </c>
      <c r="E510" s="52"/>
      <c r="F510" s="52"/>
    </row>
    <row r="511" spans="1:6" x14ac:dyDescent="0.25">
      <c r="A511" s="50" t="str">
        <f>'[4]17'!A30</f>
        <v>MKN 100-0113</v>
      </c>
      <c r="B511" s="51" t="str">
        <f>'[4]17'!B30</f>
        <v>Thru 16"OD</v>
      </c>
      <c r="C511" s="52">
        <f>'[4]17'!D30</f>
        <v>1020</v>
      </c>
      <c r="D511" s="52">
        <f>'[4]17'!E30</f>
        <v>470</v>
      </c>
      <c r="E511" s="52"/>
      <c r="F511" s="52"/>
    </row>
    <row r="512" spans="1:6" x14ac:dyDescent="0.25">
      <c r="A512" s="53" t="str">
        <f>'[4]17'!A31</f>
        <v>MKN 100-0114</v>
      </c>
      <c r="B512" s="54" t="str">
        <f>'[4]17'!B31</f>
        <v>Thru 20"OD</v>
      </c>
      <c r="C512" s="55">
        <f>'[4]17'!D31</f>
        <v>1130</v>
      </c>
      <c r="D512" s="55">
        <f>'[4]17'!E31</f>
        <v>480</v>
      </c>
      <c r="E512" s="55"/>
      <c r="F512" s="55"/>
    </row>
    <row r="513" spans="1:6" ht="6" customHeight="1" x14ac:dyDescent="0.25">
      <c r="A513" s="39"/>
      <c r="B513" s="40"/>
      <c r="C513" s="41"/>
      <c r="D513" s="41"/>
      <c r="E513" s="41"/>
      <c r="F513" s="41"/>
    </row>
    <row r="514" spans="1:6" ht="16.149999999999999" customHeight="1" x14ac:dyDescent="0.25">
      <c r="A514" s="42" t="s">
        <v>143</v>
      </c>
      <c r="B514" s="43"/>
      <c r="C514" s="44"/>
      <c r="D514" s="44"/>
      <c r="E514" s="44"/>
      <c r="F514" s="44"/>
    </row>
    <row r="515" spans="1:6" x14ac:dyDescent="0.25">
      <c r="A515" s="45" t="s">
        <v>7</v>
      </c>
      <c r="B515" s="45" t="s">
        <v>8</v>
      </c>
      <c r="C515" s="46" t="s">
        <v>85</v>
      </c>
      <c r="D515" s="46"/>
      <c r="E515" s="46"/>
      <c r="F515" s="46"/>
    </row>
    <row r="516" spans="1:6" x14ac:dyDescent="0.25">
      <c r="A516" s="47" t="str">
        <f>'[4]17'!A35</f>
        <v>MKN 100-0115</v>
      </c>
      <c r="B516" s="48" t="str">
        <f>'[4]17'!B35</f>
        <v>Bull, Bull Nose</v>
      </c>
      <c r="C516" s="49">
        <f>'[4]17'!D35</f>
        <v>40</v>
      </c>
      <c r="D516" s="49"/>
      <c r="E516" s="49"/>
      <c r="F516" s="49"/>
    </row>
    <row r="517" spans="1:6" x14ac:dyDescent="0.25">
      <c r="A517" s="50" t="str">
        <f>'[4]17'!A36</f>
        <v>MKN 100-0116</v>
      </c>
      <c r="B517" s="51" t="str">
        <f>'[4]17'!B36</f>
        <v>Thru 3-1/2"joint size</v>
      </c>
      <c r="C517" s="52">
        <f>'[4]17'!D36</f>
        <v>45</v>
      </c>
      <c r="D517" s="52"/>
      <c r="E517" s="52"/>
      <c r="F517" s="52"/>
    </row>
    <row r="518" spans="1:6" x14ac:dyDescent="0.25">
      <c r="A518" s="50" t="str">
        <f>'[4]17'!A37</f>
        <v>MKN 100-0117</v>
      </c>
      <c r="B518" s="51" t="str">
        <f>'[4]17'!B37</f>
        <v>Thru 4-1/2" joint size</v>
      </c>
      <c r="C518" s="52">
        <f>'[4]17'!D37</f>
        <v>45</v>
      </c>
      <c r="D518" s="52"/>
      <c r="E518" s="52"/>
      <c r="F518" s="52"/>
    </row>
    <row r="519" spans="1:6" x14ac:dyDescent="0.25">
      <c r="A519" s="50" t="str">
        <f>'[4]17'!A38</f>
        <v>MKN 100-0118</v>
      </c>
      <c r="B519" s="51" t="str">
        <f>'[4]17'!B38</f>
        <v>Thru 5 1/2" joint size</v>
      </c>
      <c r="C519" s="52">
        <f>'[4]17'!D38</f>
        <v>80</v>
      </c>
      <c r="D519" s="52"/>
      <c r="E519" s="52"/>
      <c r="F519" s="52"/>
    </row>
    <row r="520" spans="1:6" x14ac:dyDescent="0.25">
      <c r="A520" s="50" t="str">
        <f>'[4]17'!A40</f>
        <v>MKN 100-0119</v>
      </c>
      <c r="B520" s="51" t="str">
        <f>'[4]17'!B40</f>
        <v>Thru 5-3/4" OD pipe</v>
      </c>
      <c r="C520" s="52">
        <f>'[4]17'!D40</f>
        <v>17</v>
      </c>
      <c r="D520" s="52"/>
      <c r="E520" s="52"/>
      <c r="F520" s="52"/>
    </row>
    <row r="521" spans="1:6" x14ac:dyDescent="0.25">
      <c r="A521" s="50" t="str">
        <f>'[4]17'!A41</f>
        <v>MKN 100-0120</v>
      </c>
      <c r="B521" s="51" t="str">
        <f>'[4]17'!B41</f>
        <v>Thru 10-3/4"OD pipe</v>
      </c>
      <c r="C521" s="52">
        <f>'[4]17'!D41</f>
        <v>30</v>
      </c>
      <c r="D521" s="52"/>
      <c r="E521" s="52"/>
      <c r="F521" s="52"/>
    </row>
    <row r="522" spans="1:6" x14ac:dyDescent="0.25">
      <c r="A522" s="53" t="str">
        <f>'[4]17'!A42</f>
        <v>MKN 100-0121</v>
      </c>
      <c r="B522" s="54" t="str">
        <f>'[4]17'!B42</f>
        <v>Thru 20"OD pipe</v>
      </c>
      <c r="C522" s="55">
        <f>'[4]17'!D42</f>
        <v>45</v>
      </c>
      <c r="D522" s="55"/>
      <c r="E522" s="55"/>
      <c r="F522" s="55"/>
    </row>
    <row r="523" spans="1:6" ht="6" customHeight="1" x14ac:dyDescent="0.25">
      <c r="A523" s="39"/>
      <c r="B523" s="40"/>
      <c r="C523" s="41"/>
      <c r="D523" s="41"/>
      <c r="E523" s="41"/>
      <c r="F523" s="41"/>
    </row>
    <row r="524" spans="1:6" ht="16.149999999999999" customHeight="1" x14ac:dyDescent="0.25">
      <c r="A524" s="42" t="s">
        <v>144</v>
      </c>
      <c r="B524" s="43"/>
      <c r="C524" s="44"/>
      <c r="D524" s="44"/>
      <c r="E524" s="44"/>
      <c r="F524" s="44"/>
    </row>
    <row r="525" spans="1:6" x14ac:dyDescent="0.25">
      <c r="A525" s="45" t="s">
        <v>7</v>
      </c>
      <c r="B525" s="45" t="s">
        <v>8</v>
      </c>
      <c r="C525" s="46" t="s">
        <v>75</v>
      </c>
      <c r="D525" s="46"/>
      <c r="E525" s="46"/>
      <c r="F525" s="46"/>
    </row>
    <row r="526" spans="1:6" x14ac:dyDescent="0.25">
      <c r="A526" s="47" t="str">
        <f>'[4]17'!A50</f>
        <v>MKN 100-0122</v>
      </c>
      <c r="B526" s="48" t="str">
        <f>'[4]17'!B50</f>
        <v>Thru 15"OD</v>
      </c>
      <c r="C526" s="49">
        <f>'[4]17'!D50</f>
        <v>280</v>
      </c>
      <c r="D526" s="49"/>
      <c r="E526" s="49"/>
      <c r="F526" s="49"/>
    </row>
    <row r="527" spans="1:6" x14ac:dyDescent="0.25">
      <c r="A527" s="50" t="str">
        <f>'[4]17'!A51</f>
        <v>MKN 100-0123</v>
      </c>
      <c r="B527" s="51" t="str">
        <f>'[4]17'!B51</f>
        <v>Thru 24"OD</v>
      </c>
      <c r="C527" s="52">
        <f>'[4]17'!D51</f>
        <v>320</v>
      </c>
      <c r="D527" s="52"/>
      <c r="E527" s="52"/>
      <c r="F527" s="52"/>
    </row>
    <row r="528" spans="1:6" x14ac:dyDescent="0.25">
      <c r="A528" s="50" t="str">
        <f>'[4]17'!A52</f>
        <v>MKN 100-0124</v>
      </c>
      <c r="B528" s="51" t="str">
        <f>'[4]17'!B52</f>
        <v>Thru 30"OD</v>
      </c>
      <c r="C528" s="52">
        <f>'[4]17'!D52</f>
        <v>670</v>
      </c>
      <c r="D528" s="52"/>
      <c r="E528" s="52"/>
      <c r="F528" s="52"/>
    </row>
    <row r="529" spans="1:6" x14ac:dyDescent="0.25">
      <c r="A529" s="50" t="str">
        <f>'[4]17'!A54</f>
        <v>MKN 100-0125</v>
      </c>
      <c r="B529" s="51" t="str">
        <f>'[4]17'!B54</f>
        <v>Pneumatic Casing Saw - 4" to 12" OD</v>
      </c>
      <c r="C529" s="52">
        <f>'[4]17'!D54</f>
        <v>650</v>
      </c>
      <c r="D529" s="52"/>
      <c r="E529" s="52"/>
      <c r="F529" s="52"/>
    </row>
    <row r="530" spans="1:6" x14ac:dyDescent="0.25">
      <c r="A530" s="50" t="str">
        <f>'[4]17'!A56</f>
        <v>MKN 100-0126</v>
      </c>
      <c r="B530" s="51" t="str">
        <f>'[4]17'!B56</f>
        <v>Thru 5"OD</v>
      </c>
      <c r="C530" s="52">
        <f>'[4]17'!D56</f>
        <v>495</v>
      </c>
      <c r="D530" s="52"/>
      <c r="E530" s="52"/>
      <c r="F530" s="52"/>
    </row>
    <row r="531" spans="1:6" x14ac:dyDescent="0.25">
      <c r="A531" s="50" t="str">
        <f>'[4]17'!A57</f>
        <v>MKN 100-0127</v>
      </c>
      <c r="B531" s="51" t="str">
        <f>'[4]17'!B57</f>
        <v>Thru 7"OD</v>
      </c>
      <c r="C531" s="52">
        <f>'[4]17'!D57</f>
        <v>580</v>
      </c>
      <c r="D531" s="52"/>
      <c r="E531" s="52"/>
      <c r="F531" s="52"/>
    </row>
    <row r="532" spans="1:6" x14ac:dyDescent="0.25">
      <c r="A532" s="50" t="str">
        <f>'[4]17'!A58</f>
        <v>MKN 100-0128</v>
      </c>
      <c r="B532" s="51" t="str">
        <f>'[4]17'!B58</f>
        <v>Thru 9 5/8"OD</v>
      </c>
      <c r="C532" s="52">
        <f>'[4]17'!D58</f>
        <v>780</v>
      </c>
      <c r="D532" s="52"/>
      <c r="E532" s="52"/>
      <c r="F532" s="52"/>
    </row>
    <row r="533" spans="1:6" x14ac:dyDescent="0.25">
      <c r="A533" s="50" t="str">
        <f>'[4]17'!A59</f>
        <v>MKN 100-0129</v>
      </c>
      <c r="B533" s="51" t="str">
        <f>'[4]17'!B59</f>
        <v>Thru 10 3/4"OD</v>
      </c>
      <c r="C533" s="52">
        <f>'[4]17'!D59</f>
        <v>1150</v>
      </c>
      <c r="D533" s="52"/>
      <c r="E533" s="52"/>
      <c r="F533" s="52"/>
    </row>
    <row r="534" spans="1:6" x14ac:dyDescent="0.25">
      <c r="A534" s="50" t="str">
        <f>'[4]17'!A60</f>
        <v>MKN 100-0130</v>
      </c>
      <c r="B534" s="51" t="str">
        <f>'[4]17'!B60</f>
        <v>Thru 13 3/8"OD</v>
      </c>
      <c r="C534" s="52">
        <f>'[4]17'!D60</f>
        <v>1450</v>
      </c>
      <c r="D534" s="52"/>
      <c r="E534" s="52"/>
      <c r="F534" s="52"/>
    </row>
    <row r="535" spans="1:6" x14ac:dyDescent="0.25">
      <c r="A535" s="50" t="str">
        <f>'[4]17'!A61</f>
        <v>MKN 100-0131</v>
      </c>
      <c r="B535" s="51" t="str">
        <f>'[4]17'!B61</f>
        <v>Thru 16"OD</v>
      </c>
      <c r="C535" s="52">
        <f>'[4]17'!D61</f>
        <v>1720</v>
      </c>
      <c r="D535" s="52"/>
      <c r="E535" s="52"/>
      <c r="F535" s="52"/>
    </row>
    <row r="536" spans="1:6" x14ac:dyDescent="0.25">
      <c r="A536" s="50" t="str">
        <f>'[4]17'!A62</f>
        <v>MKN 100-0132</v>
      </c>
      <c r="B536" s="51" t="str">
        <f>'[4]17'!B62</f>
        <v>Thru 20"OD</v>
      </c>
      <c r="C536" s="52">
        <f>'[4]17'!D62</f>
        <v>1950</v>
      </c>
      <c r="D536" s="52"/>
      <c r="E536" s="52"/>
      <c r="F536" s="52"/>
    </row>
    <row r="537" spans="1:6" x14ac:dyDescent="0.25">
      <c r="A537" s="50" t="str">
        <f>'[4]17'!A65</f>
        <v>MKN 100-0133</v>
      </c>
      <c r="B537" s="51" t="str">
        <f>'[4]17'!B65</f>
        <v>Thru 7 1/2"OD</v>
      </c>
      <c r="C537" s="52">
        <f>'[4]17'!D65</f>
        <v>210</v>
      </c>
      <c r="D537" s="52"/>
      <c r="E537" s="52"/>
      <c r="F537" s="52"/>
    </row>
    <row r="538" spans="1:6" x14ac:dyDescent="0.25">
      <c r="A538" s="53" t="str">
        <f>'[4]17'!A66</f>
        <v>MKN 100-0134</v>
      </c>
      <c r="B538" s="54" t="str">
        <f>'[4]17'!B66</f>
        <v>Thru 12 3/4"OD</v>
      </c>
      <c r="C538" s="55">
        <f>'[4]17'!D66</f>
        <v>280</v>
      </c>
      <c r="D538" s="55"/>
      <c r="E538" s="55"/>
      <c r="F538" s="55"/>
    </row>
    <row r="539" spans="1:6" ht="6" customHeight="1" x14ac:dyDescent="0.25">
      <c r="A539" s="39"/>
      <c r="B539" s="40"/>
      <c r="C539" s="41"/>
      <c r="D539" s="41"/>
      <c r="E539" s="41"/>
      <c r="F539" s="41"/>
    </row>
    <row r="540" spans="1:6" ht="16.149999999999999" customHeight="1" x14ac:dyDescent="0.25">
      <c r="A540" s="42" t="s">
        <v>46</v>
      </c>
      <c r="B540" s="43"/>
      <c r="C540" s="44"/>
      <c r="D540" s="44"/>
      <c r="E540" s="44"/>
      <c r="F540" s="44"/>
    </row>
    <row r="541" spans="1:6" x14ac:dyDescent="0.25">
      <c r="A541" s="45" t="s">
        <v>7</v>
      </c>
      <c r="B541" s="45" t="s">
        <v>8</v>
      </c>
      <c r="C541" s="46" t="s">
        <v>12</v>
      </c>
      <c r="D541" s="46" t="s">
        <v>86</v>
      </c>
      <c r="E541" s="46"/>
      <c r="F541" s="46"/>
    </row>
    <row r="542" spans="1:6" x14ac:dyDescent="0.25">
      <c r="A542" s="47" t="str">
        <f>'[4]18'!A9</f>
        <v>MKN 100-0135</v>
      </c>
      <c r="B542" s="48" t="str">
        <f>'[4]18'!B9</f>
        <v>Thru 4-1/2"OD Casing</v>
      </c>
      <c r="C542" s="49">
        <f>'[4]18'!D9</f>
        <v>950</v>
      </c>
      <c r="D542" s="49">
        <f>'[4]18'!E9</f>
        <v>500</v>
      </c>
      <c r="E542" s="49"/>
      <c r="F542" s="49"/>
    </row>
    <row r="543" spans="1:6" x14ac:dyDescent="0.25">
      <c r="A543" s="50" t="str">
        <f>'[4]18'!A10</f>
        <v>MKN 100-0136</v>
      </c>
      <c r="B543" s="51" t="str">
        <f>'[4]18'!B10</f>
        <v>Thru 5-1/2"OD Casing</v>
      </c>
      <c r="C543" s="52">
        <f>'[4]18'!D10</f>
        <v>1120</v>
      </c>
      <c r="D543" s="52">
        <f>'[4]18'!E10</f>
        <v>530</v>
      </c>
      <c r="E543" s="52"/>
      <c r="F543" s="52"/>
    </row>
    <row r="544" spans="1:6" x14ac:dyDescent="0.25">
      <c r="A544" s="50" t="str">
        <f>'[4]18'!A11</f>
        <v>MKN 100-0137</v>
      </c>
      <c r="B544" s="51" t="str">
        <f>'[4]18'!B11</f>
        <v>Thru 7-5/8"OD Casing</v>
      </c>
      <c r="C544" s="52">
        <f>'[4]18'!D11</f>
        <v>1200</v>
      </c>
      <c r="D544" s="52">
        <f>'[4]18'!E11</f>
        <v>600</v>
      </c>
      <c r="E544" s="52"/>
      <c r="F544" s="52"/>
    </row>
    <row r="545" spans="1:6" x14ac:dyDescent="0.25">
      <c r="A545" s="50" t="str">
        <f>'[4]18'!A12</f>
        <v>MKN 100-0138</v>
      </c>
      <c r="B545" s="51" t="str">
        <f>'[4]18'!B12</f>
        <v>Thru 9-5/8"OD Casing</v>
      </c>
      <c r="C545" s="52">
        <f>'[4]18'!D12</f>
        <v>1590</v>
      </c>
      <c r="D545" s="52">
        <f>'[4]18'!E12</f>
        <v>815</v>
      </c>
      <c r="E545" s="52"/>
      <c r="F545" s="52"/>
    </row>
    <row r="546" spans="1:6" x14ac:dyDescent="0.25">
      <c r="A546" s="50" t="str">
        <f>'[4]18'!A13</f>
        <v>MKN 100-0139</v>
      </c>
      <c r="B546" s="51" t="str">
        <f>'[4]18'!B13</f>
        <v>Thru 10 3/4"OD Casing</v>
      </c>
      <c r="C546" s="52">
        <f>'[4]18'!D13</f>
        <v>1690</v>
      </c>
      <c r="D546" s="52">
        <f>'[4]18'!E13</f>
        <v>850</v>
      </c>
      <c r="E546" s="52"/>
      <c r="F546" s="52"/>
    </row>
    <row r="547" spans="1:6" x14ac:dyDescent="0.25">
      <c r="A547" s="50" t="str">
        <f>'[4]18'!A14</f>
        <v>MKN 100-0140</v>
      </c>
      <c r="B547" s="51" t="str">
        <f>'[4]18'!B14</f>
        <v>Thru 11 3/4"OD Casing</v>
      </c>
      <c r="C547" s="52">
        <f>'[4]18'!D14</f>
        <v>1850</v>
      </c>
      <c r="D547" s="52">
        <f>'[4]18'!E14</f>
        <v>900</v>
      </c>
      <c r="E547" s="52"/>
      <c r="F547" s="52"/>
    </row>
    <row r="548" spans="1:6" x14ac:dyDescent="0.25">
      <c r="A548" s="53" t="str">
        <f>'[4]18'!A15</f>
        <v>MKN 100-0141</v>
      </c>
      <c r="B548" s="54" t="str">
        <f>'[4]18'!B15</f>
        <v>Thru 13-3/8"OD Casing</v>
      </c>
      <c r="C548" s="55">
        <f>'[4]18'!D15</f>
        <v>1850</v>
      </c>
      <c r="D548" s="55">
        <f>'[4]18'!E15</f>
        <v>920</v>
      </c>
      <c r="E548" s="55"/>
      <c r="F548" s="55"/>
    </row>
    <row r="549" spans="1:6" ht="6" customHeight="1" x14ac:dyDescent="0.25">
      <c r="A549" s="39"/>
      <c r="B549" s="40"/>
      <c r="C549" s="41"/>
      <c r="D549" s="41"/>
      <c r="E549" s="41"/>
      <c r="F549" s="41"/>
    </row>
    <row r="550" spans="1:6" ht="16.149999999999999" customHeight="1" x14ac:dyDescent="0.25">
      <c r="A550" s="42" t="s">
        <v>145</v>
      </c>
      <c r="B550" s="43"/>
      <c r="C550" s="44"/>
      <c r="D550" s="44"/>
      <c r="E550" s="44"/>
      <c r="F550" s="44"/>
    </row>
    <row r="551" spans="1:6" x14ac:dyDescent="0.25">
      <c r="A551" s="45" t="s">
        <v>7</v>
      </c>
      <c r="B551" s="45" t="s">
        <v>8</v>
      </c>
      <c r="C551" s="46" t="s">
        <v>12</v>
      </c>
      <c r="D551" s="46" t="s">
        <v>86</v>
      </c>
      <c r="E551" s="46"/>
      <c r="F551" s="46"/>
    </row>
    <row r="552" spans="1:6" x14ac:dyDescent="0.25">
      <c r="A552" s="47" t="str">
        <f>'[4]18'!A21</f>
        <v>MKN 100-0142</v>
      </c>
      <c r="B552" s="48" t="str">
        <f>'[4]18'!B21</f>
        <v>41/2" - 5" Casing</v>
      </c>
      <c r="C552" s="49">
        <f>'[4]18'!D21</f>
        <v>2000</v>
      </c>
      <c r="D552" s="49">
        <f>'[4]18'!E21</f>
        <v>300</v>
      </c>
      <c r="E552" s="49"/>
      <c r="F552" s="49"/>
    </row>
    <row r="553" spans="1:6" x14ac:dyDescent="0.25">
      <c r="A553" s="50" t="str">
        <f>'[4]18'!A22</f>
        <v>MKN 100-0143</v>
      </c>
      <c r="B553" s="51" t="str">
        <f>'[4]18'!B22</f>
        <v>7" Casing</v>
      </c>
      <c r="C553" s="52">
        <f>'[4]18'!D22</f>
        <v>2500</v>
      </c>
      <c r="D553" s="52">
        <f>'[4]18'!E22</f>
        <v>350</v>
      </c>
      <c r="E553" s="52"/>
      <c r="F553" s="52"/>
    </row>
    <row r="554" spans="1:6" x14ac:dyDescent="0.25">
      <c r="A554" s="50" t="str">
        <f>'[4]18'!A23</f>
        <v>MKN 100-0144</v>
      </c>
      <c r="B554" s="51" t="str">
        <f>'[4]18'!B23</f>
        <v>9 5/8" Casing</v>
      </c>
      <c r="C554" s="52">
        <f>'[4]18'!D23</f>
        <v>3500</v>
      </c>
      <c r="D554" s="52">
        <f>'[4]18'!E23</f>
        <v>450</v>
      </c>
      <c r="E554" s="52"/>
      <c r="F554" s="52"/>
    </row>
    <row r="555" spans="1:6" x14ac:dyDescent="0.25">
      <c r="A555" s="53" t="str">
        <f>'[4]18'!A24</f>
        <v>MKN 100-0145</v>
      </c>
      <c r="B555" s="54" t="str">
        <f>'[4]18'!B24</f>
        <v>13 3/8" Casing</v>
      </c>
      <c r="C555" s="55">
        <f>'[4]18'!D24</f>
        <v>5000</v>
      </c>
      <c r="D555" s="55">
        <f>'[4]18'!E24</f>
        <v>500</v>
      </c>
      <c r="E555" s="55"/>
      <c r="F555" s="55"/>
    </row>
    <row r="556" spans="1:6" ht="6" customHeight="1" x14ac:dyDescent="0.25">
      <c r="A556" s="39"/>
      <c r="B556" s="40"/>
      <c r="C556" s="41"/>
      <c r="D556" s="41"/>
      <c r="E556" s="41"/>
      <c r="F556" s="41"/>
    </row>
    <row r="557" spans="1:6" ht="16.149999999999999" customHeight="1" x14ac:dyDescent="0.25">
      <c r="A557" s="42" t="s">
        <v>146</v>
      </c>
      <c r="B557" s="43"/>
      <c r="C557" s="44"/>
      <c r="D557" s="44"/>
      <c r="E557" s="44"/>
      <c r="F557" s="44"/>
    </row>
    <row r="558" spans="1:6" x14ac:dyDescent="0.25">
      <c r="A558" s="45" t="s">
        <v>7</v>
      </c>
      <c r="B558" s="45" t="s">
        <v>8</v>
      </c>
      <c r="C558" s="46" t="s">
        <v>85</v>
      </c>
      <c r="D558" s="46"/>
      <c r="E558" s="46"/>
      <c r="F558" s="46"/>
    </row>
    <row r="559" spans="1:6" x14ac:dyDescent="0.25">
      <c r="A559" s="47" t="str">
        <f>'[4]18'!A28</f>
        <v>MKN 100-0146</v>
      </c>
      <c r="B559" s="48" t="str">
        <f>'[4]18'!B28</f>
        <v>OR SUCKER ROD CONN.</v>
      </c>
      <c r="C559" s="49">
        <f>'[4]18'!D28</f>
        <v>100</v>
      </c>
      <c r="D559" s="49"/>
      <c r="E559" s="49"/>
      <c r="F559" s="49"/>
    </row>
    <row r="560" spans="1:6" x14ac:dyDescent="0.25">
      <c r="A560" s="50" t="str">
        <f>'[4]18'!A29</f>
        <v>MKN 100-0147</v>
      </c>
      <c r="B560" s="51" t="str">
        <f>'[4]18'!B29</f>
        <v>2 7/8" CONN.</v>
      </c>
      <c r="C560" s="52">
        <f>'[4]18'!D29</f>
        <v>210</v>
      </c>
      <c r="D560" s="52"/>
      <c r="E560" s="52"/>
      <c r="F560" s="52"/>
    </row>
    <row r="561" spans="1:6" x14ac:dyDescent="0.25">
      <c r="A561" s="50" t="str">
        <f>'[4]18'!A30</f>
        <v>MKN 100-0148</v>
      </c>
      <c r="B561" s="51" t="str">
        <f>'[4]18'!B30</f>
        <v>3 1/2" CONN.</v>
      </c>
      <c r="C561" s="52">
        <f>'[4]18'!D30</f>
        <v>300</v>
      </c>
      <c r="D561" s="52"/>
      <c r="E561" s="52"/>
      <c r="F561" s="52"/>
    </row>
    <row r="562" spans="1:6" x14ac:dyDescent="0.25">
      <c r="A562" s="50" t="str">
        <f>'[4]18'!A31</f>
        <v>MKN 100-0149</v>
      </c>
      <c r="B562" s="51" t="str">
        <f>'[4]18'!B31</f>
        <v>4 1/2" CONN.</v>
      </c>
      <c r="C562" s="52">
        <f>'[4]18'!D31</f>
        <v>420</v>
      </c>
      <c r="D562" s="52"/>
      <c r="E562" s="52"/>
      <c r="F562" s="52"/>
    </row>
    <row r="563" spans="1:6" x14ac:dyDescent="0.25">
      <c r="A563" s="50" t="str">
        <f>'[4]18'!A32</f>
        <v>MKN 100-0150</v>
      </c>
      <c r="B563" s="51" t="str">
        <f>'[4]18'!B32</f>
        <v>5 1/2" CONN.</v>
      </c>
      <c r="C563" s="52">
        <f>'[4]18'!D32</f>
        <v>420</v>
      </c>
      <c r="D563" s="52"/>
      <c r="E563" s="52"/>
      <c r="F563" s="52"/>
    </row>
    <row r="564" spans="1:6" x14ac:dyDescent="0.25">
      <c r="A564" s="50" t="str">
        <f>'[4]18'!A33</f>
        <v>MKN 100-0151</v>
      </c>
      <c r="B564" s="51" t="str">
        <f>'[4]18'!B33</f>
        <v>6 5/8" CONN.</v>
      </c>
      <c r="C564" s="52">
        <f>'[4]18'!D33</f>
        <v>420</v>
      </c>
      <c r="D564" s="52"/>
      <c r="E564" s="52"/>
      <c r="F564" s="52"/>
    </row>
    <row r="565" spans="1:6" x14ac:dyDescent="0.25">
      <c r="A565" s="50" t="str">
        <f>'[4]18'!A34</f>
        <v>MKN 100-0152</v>
      </c>
      <c r="B565" s="51" t="str">
        <f>'[4]18'!B34</f>
        <v>7 5/8" CONN.</v>
      </c>
      <c r="C565" s="52">
        <f>'[4]18'!D34</f>
        <v>450</v>
      </c>
      <c r="D565" s="52"/>
      <c r="E565" s="52"/>
      <c r="F565" s="52"/>
    </row>
    <row r="566" spans="1:6" x14ac:dyDescent="0.25">
      <c r="A566" s="50">
        <f>'[4]18'!A35</f>
        <v>0</v>
      </c>
      <c r="B566" s="51" t="str">
        <f>'[4]18'!B35</f>
        <v>ROTARY RELEASING AND "J"-TYPE-FULL CIRCLE</v>
      </c>
      <c r="C566" s="52">
        <f>'[4]18'!D35</f>
        <v>0</v>
      </c>
      <c r="D566" s="52"/>
      <c r="E566" s="52"/>
      <c r="F566" s="52"/>
    </row>
    <row r="567" spans="1:6" x14ac:dyDescent="0.25">
      <c r="A567" s="50" t="str">
        <f>'[4]18'!A36</f>
        <v>MKN 100-0153</v>
      </c>
      <c r="B567" s="51" t="str">
        <f>'[4]18'!B36</f>
        <v>2 7/8" O.D</v>
      </c>
      <c r="C567" s="52">
        <f>'[4]18'!D36</f>
        <v>360</v>
      </c>
      <c r="D567" s="52"/>
      <c r="E567" s="52"/>
      <c r="F567" s="52"/>
    </row>
    <row r="568" spans="1:6" x14ac:dyDescent="0.25">
      <c r="A568" s="50" t="str">
        <f>'[4]18'!A37</f>
        <v>MKN 100-0154</v>
      </c>
      <c r="B568" s="51" t="str">
        <f>'[4]18'!B37</f>
        <v>5" O.D</v>
      </c>
      <c r="C568" s="52">
        <f>'[4]18'!D37</f>
        <v>500</v>
      </c>
      <c r="D568" s="52"/>
      <c r="E568" s="52"/>
      <c r="F568" s="52"/>
    </row>
    <row r="569" spans="1:6" x14ac:dyDescent="0.25">
      <c r="A569" s="50" t="str">
        <f>'[4]18'!A38</f>
        <v>MKN 100-0155</v>
      </c>
      <c r="B569" s="51" t="str">
        <f>'[4]18'!B38</f>
        <v>6 5/8" O.D</v>
      </c>
      <c r="C569" s="52">
        <f>'[4]18'!D38</f>
        <v>650</v>
      </c>
      <c r="D569" s="52"/>
      <c r="E569" s="52"/>
      <c r="F569" s="52"/>
    </row>
    <row r="570" spans="1:6" x14ac:dyDescent="0.25">
      <c r="A570" s="50" t="str">
        <f>'[4]18'!A39</f>
        <v>MKN 100-0156</v>
      </c>
      <c r="B570" s="51" t="str">
        <f>'[4]18'!B39</f>
        <v>8 5/8" O.D</v>
      </c>
      <c r="C570" s="52">
        <f>'[4]18'!D39</f>
        <v>870</v>
      </c>
      <c r="D570" s="52"/>
      <c r="E570" s="52"/>
      <c r="F570" s="52"/>
    </row>
    <row r="571" spans="1:6" x14ac:dyDescent="0.25">
      <c r="A571" s="50" t="str">
        <f>'[4]18'!A40</f>
        <v>MKN 100-0157</v>
      </c>
      <c r="B571" s="51" t="str">
        <f>'[4]18'!B40</f>
        <v>13 3/8" O.D</v>
      </c>
      <c r="C571" s="52">
        <f>'[4]18'!D40</f>
        <v>1300</v>
      </c>
      <c r="D571" s="52"/>
      <c r="E571" s="52"/>
      <c r="F571" s="52"/>
    </row>
    <row r="572" spans="1:6" x14ac:dyDescent="0.25">
      <c r="A572" s="50" t="str">
        <f>'[4]18'!A41</f>
        <v>MKN 100-0158</v>
      </c>
      <c r="B572" s="51" t="str">
        <f>'[4]18'!B41</f>
        <v>16" O.D</v>
      </c>
      <c r="C572" s="52">
        <f>'[4]18'!D41</f>
        <v>2100</v>
      </c>
      <c r="D572" s="52"/>
      <c r="E572" s="52"/>
      <c r="F572" s="52"/>
    </row>
    <row r="573" spans="1:6" x14ac:dyDescent="0.25">
      <c r="A573" s="50" t="str">
        <f>'[4]18'!A42</f>
        <v>MKN 100-0159</v>
      </c>
      <c r="B573" s="51" t="str">
        <f>'[4]18'!B42</f>
        <v>20" O.D</v>
      </c>
      <c r="C573" s="52">
        <f>'[4]18'!D42</f>
        <v>2600</v>
      </c>
      <c r="D573" s="52"/>
      <c r="E573" s="52"/>
      <c r="F573" s="52"/>
    </row>
    <row r="574" spans="1:6" x14ac:dyDescent="0.25">
      <c r="A574" s="53" t="str">
        <f>'[4]18'!A43</f>
        <v>MKN 100-0160</v>
      </c>
      <c r="B574" s="54" t="str">
        <f>'[4]18'!B43</f>
        <v>36" O.D</v>
      </c>
      <c r="C574" s="55">
        <f>'[4]18'!D43</f>
        <v>1580</v>
      </c>
      <c r="D574" s="55"/>
      <c r="E574" s="55"/>
      <c r="F574" s="55"/>
    </row>
    <row r="575" spans="1:6" ht="6" customHeight="1" x14ac:dyDescent="0.25">
      <c r="A575" s="39"/>
      <c r="B575" s="40"/>
      <c r="C575" s="41"/>
      <c r="D575" s="41"/>
      <c r="E575" s="41"/>
      <c r="F575" s="41"/>
    </row>
    <row r="576" spans="1:6" ht="16.149999999999999" customHeight="1" x14ac:dyDescent="0.25">
      <c r="A576" s="42" t="s">
        <v>147</v>
      </c>
      <c r="B576" s="43"/>
      <c r="C576" s="44"/>
      <c r="D576" s="44"/>
      <c r="E576" s="44"/>
      <c r="F576" s="44"/>
    </row>
    <row r="577" spans="1:6" x14ac:dyDescent="0.25">
      <c r="A577" s="45" t="s">
        <v>7</v>
      </c>
      <c r="B577" s="45" t="s">
        <v>8</v>
      </c>
      <c r="C577" s="46" t="s">
        <v>85</v>
      </c>
      <c r="D577" s="46"/>
      <c r="E577" s="46"/>
      <c r="F577" s="46"/>
    </row>
    <row r="578" spans="1:6" x14ac:dyDescent="0.25">
      <c r="A578" s="47" t="str">
        <f>'[4]18'!A48</f>
        <v>MKN 100-0161</v>
      </c>
      <c r="B578" s="48" t="str">
        <f>'[4]18'!B48</f>
        <v>2 7/8" CONN.</v>
      </c>
      <c r="C578" s="49">
        <f>'[4]18'!D48</f>
        <v>75</v>
      </c>
      <c r="D578" s="49"/>
      <c r="E578" s="49"/>
      <c r="F578" s="49"/>
    </row>
    <row r="579" spans="1:6" x14ac:dyDescent="0.25">
      <c r="A579" s="50" t="str">
        <f>'[4]18'!A49</f>
        <v>MKN 100-0162</v>
      </c>
      <c r="B579" s="51" t="str">
        <f>'[4]18'!B49</f>
        <v>3 1/2" CONN.</v>
      </c>
      <c r="C579" s="52">
        <f>'[4]18'!D49</f>
        <v>75</v>
      </c>
      <c r="D579" s="52"/>
      <c r="E579" s="52"/>
      <c r="F579" s="52"/>
    </row>
    <row r="580" spans="1:6" x14ac:dyDescent="0.25">
      <c r="A580" s="50" t="str">
        <f>'[4]18'!A50</f>
        <v>MKN 100-0163</v>
      </c>
      <c r="B580" s="51" t="str">
        <f>'[4]18'!B50</f>
        <v>4 1/2" CONN.</v>
      </c>
      <c r="C580" s="52">
        <f>'[4]18'!D50</f>
        <v>95</v>
      </c>
      <c r="D580" s="52"/>
      <c r="E580" s="52"/>
      <c r="F580" s="52"/>
    </row>
    <row r="581" spans="1:6" x14ac:dyDescent="0.25">
      <c r="A581" s="50" t="str">
        <f>'[4]18'!A51</f>
        <v>MKN 100-0164</v>
      </c>
      <c r="B581" s="51" t="str">
        <f>'[4]18'!B51</f>
        <v>6 5/8" CONN.</v>
      </c>
      <c r="C581" s="52">
        <f>'[4]18'!D51</f>
        <v>95</v>
      </c>
      <c r="D581" s="52"/>
      <c r="E581" s="52"/>
      <c r="F581" s="52"/>
    </row>
    <row r="582" spans="1:6" x14ac:dyDescent="0.25">
      <c r="A582" s="50">
        <f>'[4]18'!A52</f>
        <v>0</v>
      </c>
      <c r="B582" s="51" t="str">
        <f>'[4]18'!B52</f>
        <v>SPEAR PACK-OFF ASSEMBLY</v>
      </c>
      <c r="C582" s="52">
        <f>'[4]18'!D52</f>
        <v>0</v>
      </c>
      <c r="D582" s="52"/>
      <c r="E582" s="52"/>
      <c r="F582" s="52"/>
    </row>
    <row r="583" spans="1:6" x14ac:dyDescent="0.25">
      <c r="A583" s="50" t="str">
        <f>'[4]18'!A53</f>
        <v>MKN 100-0165</v>
      </c>
      <c r="B583" s="51" t="str">
        <f>'[4]18'!B53</f>
        <v>2 7/8" OD</v>
      </c>
      <c r="C583" s="52">
        <f>'[4]18'!D53</f>
        <v>140</v>
      </c>
      <c r="D583" s="52"/>
      <c r="E583" s="52"/>
      <c r="F583" s="52"/>
    </row>
    <row r="584" spans="1:6" x14ac:dyDescent="0.25">
      <c r="A584" s="50" t="str">
        <f>'[4]18'!A54</f>
        <v>MKN 100-0166</v>
      </c>
      <c r="B584" s="51" t="str">
        <f>'[4]18'!B54</f>
        <v>4 " OD</v>
      </c>
      <c r="C584" s="52">
        <f>'[4]18'!D54</f>
        <v>230</v>
      </c>
      <c r="D584" s="52"/>
      <c r="E584" s="52"/>
      <c r="F584" s="52"/>
    </row>
    <row r="585" spans="1:6" x14ac:dyDescent="0.25">
      <c r="A585" s="50" t="str">
        <f>'[4]18'!A55</f>
        <v>MKN 100-0167</v>
      </c>
      <c r="B585" s="51" t="str">
        <f>'[4]18'!B55</f>
        <v>5" OD</v>
      </c>
      <c r="C585" s="52">
        <f>'[4]18'!D55</f>
        <v>340</v>
      </c>
      <c r="D585" s="52"/>
      <c r="E585" s="52"/>
      <c r="F585" s="52"/>
    </row>
    <row r="586" spans="1:6" x14ac:dyDescent="0.25">
      <c r="A586" s="50" t="str">
        <f>'[4]18'!A56</f>
        <v>MKN 100-0168</v>
      </c>
      <c r="B586" s="51" t="str">
        <f>'[4]18'!B56</f>
        <v>7" OD</v>
      </c>
      <c r="C586" s="52">
        <f>'[4]18'!D56</f>
        <v>340</v>
      </c>
      <c r="D586" s="52"/>
      <c r="E586" s="52"/>
      <c r="F586" s="52"/>
    </row>
    <row r="587" spans="1:6" x14ac:dyDescent="0.25">
      <c r="A587" s="50" t="str">
        <f>'[4]18'!A57</f>
        <v>MKN 100-0169</v>
      </c>
      <c r="B587" s="51" t="str">
        <f>'[4]18'!B57</f>
        <v>9 5/8" OD</v>
      </c>
      <c r="C587" s="52">
        <f>'[4]18'!D57</f>
        <v>400</v>
      </c>
      <c r="D587" s="52"/>
      <c r="E587" s="52"/>
      <c r="F587" s="52"/>
    </row>
    <row r="588" spans="1:6" x14ac:dyDescent="0.25">
      <c r="A588" s="50" t="str">
        <f>'[4]18'!A58</f>
        <v>MKN 100-0170</v>
      </c>
      <c r="B588" s="51" t="str">
        <f>'[4]18'!B58</f>
        <v>13 3/8" OD</v>
      </c>
      <c r="C588" s="52">
        <f>'[4]18'!D58</f>
        <v>720</v>
      </c>
      <c r="D588" s="52"/>
      <c r="E588" s="52"/>
      <c r="F588" s="52"/>
    </row>
    <row r="589" spans="1:6" x14ac:dyDescent="0.25">
      <c r="A589" s="53" t="str">
        <f>'[4]18'!A59</f>
        <v>MKN 100-0171</v>
      </c>
      <c r="B589" s="54" t="str">
        <f>'[4]18'!B59</f>
        <v>16" OD</v>
      </c>
      <c r="C589" s="55">
        <f>'[4]18'!D59</f>
        <v>900</v>
      </c>
      <c r="D589" s="55"/>
      <c r="E589" s="55"/>
      <c r="F589" s="55"/>
    </row>
    <row r="590" spans="1:6" ht="6" customHeight="1" x14ac:dyDescent="0.25">
      <c r="A590" s="39"/>
      <c r="B590" s="40"/>
      <c r="C590" s="41"/>
      <c r="D590" s="41"/>
      <c r="E590" s="41"/>
      <c r="F590" s="41"/>
    </row>
    <row r="591" spans="1:6" ht="16.149999999999999" customHeight="1" x14ac:dyDescent="0.25">
      <c r="A591" s="42" t="s">
        <v>148</v>
      </c>
      <c r="B591" s="43"/>
      <c r="C591" s="44"/>
      <c r="D591" s="44"/>
      <c r="E591" s="44"/>
      <c r="F591" s="44"/>
    </row>
    <row r="592" spans="1:6" x14ac:dyDescent="0.25">
      <c r="A592" s="45" t="s">
        <v>7</v>
      </c>
      <c r="B592" s="45" t="s">
        <v>8</v>
      </c>
      <c r="C592" s="46" t="s">
        <v>12</v>
      </c>
      <c r="D592" s="46" t="s">
        <v>86</v>
      </c>
      <c r="E592" s="46"/>
      <c r="F592" s="46"/>
    </row>
    <row r="593" spans="1:6" x14ac:dyDescent="0.25">
      <c r="A593" s="47" t="str">
        <f>'[4]18'!A64</f>
        <v>MKN 100-0172</v>
      </c>
      <c r="B593" s="48" t="str">
        <f>'[4]18'!B64</f>
        <v>4 1/2" CONN.</v>
      </c>
      <c r="C593" s="49">
        <f>'[4]18'!D64</f>
        <v>75</v>
      </c>
      <c r="D593" s="49">
        <f>'[4]18'!E64</f>
        <v>15</v>
      </c>
      <c r="E593" s="49"/>
      <c r="F593" s="49"/>
    </row>
    <row r="594" spans="1:6" x14ac:dyDescent="0.25">
      <c r="A594" s="53" t="str">
        <f>'[4]18'!A65</f>
        <v>MKN 100-0173</v>
      </c>
      <c r="B594" s="54" t="str">
        <f>'[4]18'!B65</f>
        <v>6 5/8" CONN.</v>
      </c>
      <c r="C594" s="55">
        <f>'[4]18'!D65</f>
        <v>100</v>
      </c>
      <c r="D594" s="55">
        <f>'[4]18'!E65</f>
        <v>25</v>
      </c>
      <c r="E594" s="55"/>
      <c r="F594" s="55"/>
    </row>
    <row r="595" spans="1:6" ht="6" customHeight="1" x14ac:dyDescent="0.25">
      <c r="A595" s="39"/>
      <c r="B595" s="40"/>
      <c r="C595" s="41"/>
      <c r="D595" s="41"/>
      <c r="E595" s="41"/>
      <c r="F595" s="41"/>
    </row>
    <row r="596" spans="1:6" ht="16.149999999999999" customHeight="1" x14ac:dyDescent="0.25">
      <c r="A596" s="42" t="s">
        <v>54</v>
      </c>
      <c r="B596" s="43"/>
      <c r="C596" s="44"/>
      <c r="D596" s="44"/>
      <c r="E596" s="44"/>
      <c r="F596" s="44"/>
    </row>
    <row r="597" spans="1:6" x14ac:dyDescent="0.25">
      <c r="A597" s="45" t="s">
        <v>7</v>
      </c>
      <c r="B597" s="45" t="s">
        <v>8</v>
      </c>
      <c r="C597" s="46" t="s">
        <v>85</v>
      </c>
      <c r="D597" s="46"/>
      <c r="E597" s="46"/>
      <c r="F597" s="46"/>
    </row>
    <row r="598" spans="1:6" x14ac:dyDescent="0.25">
      <c r="A598" s="47" t="str">
        <f>'[4]19'!A6</f>
        <v>MKN 100-0174</v>
      </c>
      <c r="B598" s="48" t="str">
        <f>'[4]19'!B6</f>
        <v>Spear Stop Subs</v>
      </c>
      <c r="C598" s="49">
        <f>'[4]19'!D6</f>
        <v>70</v>
      </c>
      <c r="D598" s="49"/>
      <c r="E598" s="49"/>
      <c r="F598" s="49"/>
    </row>
    <row r="599" spans="1:6" x14ac:dyDescent="0.25">
      <c r="A599" s="50" t="str">
        <f>'[4]19'!A7</f>
        <v>MKN 100-0175</v>
      </c>
      <c r="B599" s="51" t="str">
        <f>'[4]19'!B7</f>
        <v>2-7/8" Connection size</v>
      </c>
      <c r="C599" s="52">
        <f>'[4]19'!D7</f>
        <v>120</v>
      </c>
      <c r="D599" s="52"/>
      <c r="E599" s="52"/>
      <c r="F599" s="52"/>
    </row>
    <row r="600" spans="1:6" x14ac:dyDescent="0.25">
      <c r="A600" s="50" t="str">
        <f>'[4]19'!A8</f>
        <v>MKN 100-0176</v>
      </c>
      <c r="B600" s="51" t="str">
        <f>'[4]19'!B8</f>
        <v>4-1/2" Connection size</v>
      </c>
      <c r="C600" s="52">
        <f>'[4]19'!D8</f>
        <v>300</v>
      </c>
      <c r="D600" s="52"/>
      <c r="E600" s="52"/>
      <c r="F600" s="52"/>
    </row>
    <row r="601" spans="1:6" x14ac:dyDescent="0.25">
      <c r="A601" s="50" t="str">
        <f>'[4]19'!A9</f>
        <v>MKN 100-0177</v>
      </c>
      <c r="B601" s="51" t="str">
        <f>'[4]19'!B9</f>
        <v>6 5/8" Connection size</v>
      </c>
      <c r="C601" s="52">
        <f>'[4]19'!D9</f>
        <v>320</v>
      </c>
      <c r="D601" s="52"/>
      <c r="E601" s="52"/>
      <c r="F601" s="52"/>
    </row>
    <row r="602" spans="1:6" x14ac:dyDescent="0.25">
      <c r="A602" s="53" t="str">
        <f>'[4]19'!A10</f>
        <v>MKN 100-0178</v>
      </c>
      <c r="B602" s="54" t="str">
        <f>'[4]19'!B10</f>
        <v>7 5/8" Connection size</v>
      </c>
      <c r="C602" s="55">
        <f>'[4]19'!D10</f>
        <v>480</v>
      </c>
      <c r="D602" s="55"/>
      <c r="E602" s="55"/>
      <c r="F602" s="55"/>
    </row>
    <row r="603" spans="1:6" ht="6" customHeight="1" x14ac:dyDescent="0.25">
      <c r="A603" s="39"/>
      <c r="B603" s="40"/>
      <c r="C603" s="41"/>
      <c r="D603" s="41"/>
      <c r="E603" s="41"/>
      <c r="F603" s="41"/>
    </row>
    <row r="604" spans="1:6" ht="16.149999999999999" customHeight="1" x14ac:dyDescent="0.25">
      <c r="A604" s="42" t="s">
        <v>149</v>
      </c>
      <c r="B604" s="43"/>
      <c r="C604" s="44"/>
      <c r="D604" s="44"/>
      <c r="E604" s="44"/>
      <c r="F604" s="44"/>
    </row>
    <row r="605" spans="1:6" x14ac:dyDescent="0.25">
      <c r="A605" s="45" t="s">
        <v>7</v>
      </c>
      <c r="B605" s="45" t="s">
        <v>8</v>
      </c>
      <c r="C605" s="46" t="s">
        <v>150</v>
      </c>
      <c r="D605" s="46"/>
      <c r="E605" s="46"/>
      <c r="F605" s="46"/>
    </row>
    <row r="606" spans="1:6" x14ac:dyDescent="0.25">
      <c r="A606" s="47" t="str">
        <f>'[4]19'!A13</f>
        <v>MKN 100-0179</v>
      </c>
      <c r="B606" s="48" t="str">
        <f>'[4]19'!B13</f>
        <v>Thru 7-3/8"OD</v>
      </c>
      <c r="C606" s="49">
        <f>'[4]19'!D13</f>
        <v>70</v>
      </c>
      <c r="D606" s="49"/>
      <c r="E606" s="49"/>
      <c r="F606" s="49"/>
    </row>
    <row r="607" spans="1:6" x14ac:dyDescent="0.25">
      <c r="A607" s="50" t="str">
        <f>'[4]19'!A14</f>
        <v>MKN 100-0180</v>
      </c>
      <c r="B607" s="51" t="str">
        <f>'[4]19'!B14</f>
        <v>Thru 13-3/8"OD</v>
      </c>
      <c r="C607" s="52">
        <f>'[4]19'!D14</f>
        <v>80</v>
      </c>
      <c r="D607" s="52"/>
      <c r="E607" s="52"/>
      <c r="F607" s="52"/>
    </row>
    <row r="608" spans="1:6" x14ac:dyDescent="0.25">
      <c r="A608" s="53" t="str">
        <f>'[4]19'!A15</f>
        <v>MKN 100-0181</v>
      </c>
      <c r="B608" s="54" t="str">
        <f>'[4]19'!B15</f>
        <v>Thru 18"OD</v>
      </c>
      <c r="C608" s="55">
        <f>'[4]19'!D15</f>
        <v>75</v>
      </c>
      <c r="D608" s="55"/>
      <c r="E608" s="55"/>
      <c r="F608" s="55"/>
    </row>
    <row r="609" spans="1:6" ht="6" customHeight="1" x14ac:dyDescent="0.25">
      <c r="A609" s="39"/>
      <c r="B609" s="40"/>
      <c r="C609" s="41"/>
      <c r="D609" s="41"/>
      <c r="E609" s="41"/>
      <c r="F609" s="41"/>
    </row>
    <row r="610" spans="1:6" ht="16.149999999999999" customHeight="1" x14ac:dyDescent="0.25">
      <c r="A610" s="42" t="s">
        <v>151</v>
      </c>
      <c r="B610" s="43"/>
      <c r="C610" s="44"/>
      <c r="D610" s="44"/>
      <c r="E610" s="44"/>
      <c r="F610" s="44"/>
    </row>
    <row r="611" spans="1:6" x14ac:dyDescent="0.25">
      <c r="A611" s="45" t="s">
        <v>7</v>
      </c>
      <c r="B611" s="45" t="s">
        <v>8</v>
      </c>
      <c r="C611" s="46" t="s">
        <v>12</v>
      </c>
      <c r="D611" s="46" t="s">
        <v>86</v>
      </c>
      <c r="E611" s="46"/>
      <c r="F611" s="46"/>
    </row>
    <row r="612" spans="1:6" x14ac:dyDescent="0.25">
      <c r="A612" s="47" t="str">
        <f>'[4]19'!A21</f>
        <v>MKN 100-0182</v>
      </c>
      <c r="B612" s="48" t="str">
        <f>'[4]19'!B21</f>
        <v>Sucker Rod CONN.</v>
      </c>
      <c r="C612" s="49">
        <f>'[4]19'!D21</f>
        <v>20</v>
      </c>
      <c r="D612" s="49">
        <f>'[4]19'!E21</f>
        <v>7</v>
      </c>
      <c r="E612" s="49"/>
      <c r="F612" s="49"/>
    </row>
    <row r="613" spans="1:6" x14ac:dyDescent="0.25">
      <c r="A613" s="50" t="str">
        <f>'[4]19'!A22</f>
        <v>MKN 100-0183</v>
      </c>
      <c r="B613" s="51" t="str">
        <f>'[4]19'!B22</f>
        <v>2 7/8" CONN.</v>
      </c>
      <c r="C613" s="52">
        <f>'[4]19'!D22</f>
        <v>35</v>
      </c>
      <c r="D613" s="52">
        <f>'[4]19'!E22</f>
        <v>15</v>
      </c>
      <c r="E613" s="52"/>
      <c r="F613" s="52"/>
    </row>
    <row r="614" spans="1:6" x14ac:dyDescent="0.25">
      <c r="A614" s="50" t="str">
        <f>'[4]19'!A23</f>
        <v>MKN 100-0184</v>
      </c>
      <c r="B614" s="51" t="str">
        <f>'[4]19'!B23</f>
        <v>3 1/2" CONN.</v>
      </c>
      <c r="C614" s="52">
        <f>'[4]19'!D23</f>
        <v>35</v>
      </c>
      <c r="D614" s="52">
        <f>'[4]19'!E23</f>
        <v>15</v>
      </c>
      <c r="E614" s="52"/>
      <c r="F614" s="52"/>
    </row>
    <row r="615" spans="1:6" x14ac:dyDescent="0.25">
      <c r="A615" s="50" t="str">
        <f>'[4]19'!A24</f>
        <v>MKN 100-0185</v>
      </c>
      <c r="B615" s="51" t="str">
        <f>'[4]19'!B24</f>
        <v>4 1/2" CONN.</v>
      </c>
      <c r="C615" s="52">
        <f>'[4]19'!D24</f>
        <v>40</v>
      </c>
      <c r="D615" s="52">
        <f>'[4]19'!E24</f>
        <v>18</v>
      </c>
      <c r="E615" s="52"/>
      <c r="F615" s="52"/>
    </row>
    <row r="616" spans="1:6" x14ac:dyDescent="0.25">
      <c r="A616" s="50" t="str">
        <f>'[4]19'!A25</f>
        <v>MKN 100-0186</v>
      </c>
      <c r="B616" s="51" t="str">
        <f>'[4]19'!B25</f>
        <v>6 5/8" CONN.</v>
      </c>
      <c r="C616" s="52">
        <f>'[4]19'!D25</f>
        <v>85</v>
      </c>
      <c r="D616" s="52">
        <f>'[4]19'!E25</f>
        <v>20</v>
      </c>
      <c r="E616" s="52"/>
      <c r="F616" s="52"/>
    </row>
    <row r="617" spans="1:6" x14ac:dyDescent="0.25">
      <c r="A617" s="53" t="str">
        <f>'[4]19'!A26</f>
        <v>MKN 100-0187</v>
      </c>
      <c r="B617" s="54" t="str">
        <f>'[4]19'!B26</f>
        <v>7 5/8" CONN.</v>
      </c>
      <c r="C617" s="55">
        <f>'[4]19'!D26</f>
        <v>85</v>
      </c>
      <c r="D617" s="55">
        <f>'[4]19'!E26</f>
        <v>20</v>
      </c>
      <c r="E617" s="55"/>
      <c r="F617" s="55"/>
    </row>
    <row r="618" spans="1:6" ht="6" customHeight="1" x14ac:dyDescent="0.25">
      <c r="A618" s="39"/>
      <c r="B618" s="40"/>
      <c r="C618" s="41"/>
      <c r="D618" s="41"/>
      <c r="E618" s="41"/>
      <c r="F618" s="41"/>
    </row>
    <row r="619" spans="1:6" ht="16.149999999999999" customHeight="1" x14ac:dyDescent="0.25">
      <c r="A619" s="42" t="s">
        <v>152</v>
      </c>
      <c r="B619" s="43"/>
      <c r="C619" s="44"/>
      <c r="D619" s="44"/>
      <c r="E619" s="44"/>
      <c r="F619" s="44"/>
    </row>
    <row r="620" spans="1:6" x14ac:dyDescent="0.25">
      <c r="A620" s="45" t="s">
        <v>7</v>
      </c>
      <c r="B620" s="45" t="s">
        <v>8</v>
      </c>
      <c r="C620" s="46" t="s">
        <v>85</v>
      </c>
      <c r="D620" s="46"/>
      <c r="E620" s="46"/>
      <c r="F620" s="46"/>
    </row>
    <row r="621" spans="1:6" x14ac:dyDescent="0.25">
      <c r="A621" s="47" t="str">
        <f>'[4]19'!A30</f>
        <v>MKN 100-0188</v>
      </c>
      <c r="B621" s="48" t="str">
        <f>'[4]19'!B30</f>
        <v>SUBS(RORARY AND BIT Sucker Rod CONN.</v>
      </c>
      <c r="C621" s="49">
        <f>'[4]19'!D30</f>
        <v>55</v>
      </c>
      <c r="D621" s="49"/>
      <c r="E621" s="49"/>
      <c r="F621" s="49"/>
    </row>
    <row r="622" spans="1:6" x14ac:dyDescent="0.25">
      <c r="A622" s="50" t="str">
        <f>'[4]19'!A31</f>
        <v>MKN 100-0189</v>
      </c>
      <c r="B622" s="51" t="str">
        <f>'[4]19'!B31</f>
        <v>2 7/8" CONN.</v>
      </c>
      <c r="C622" s="52">
        <f>'[4]19'!D31</f>
        <v>70</v>
      </c>
      <c r="D622" s="52"/>
      <c r="E622" s="52"/>
      <c r="F622" s="52"/>
    </row>
    <row r="623" spans="1:6" x14ac:dyDescent="0.25">
      <c r="A623" s="50" t="str">
        <f>'[4]19'!A32</f>
        <v>MKN 100-0190</v>
      </c>
      <c r="B623" s="51" t="str">
        <f>'[4]19'!B32</f>
        <v>3 1/2" CONN.</v>
      </c>
      <c r="C623" s="52">
        <f>'[4]19'!D32</f>
        <v>70</v>
      </c>
      <c r="D623" s="52"/>
      <c r="E623" s="52"/>
      <c r="F623" s="52"/>
    </row>
    <row r="624" spans="1:6" x14ac:dyDescent="0.25">
      <c r="A624" s="50" t="str">
        <f>'[4]19'!A33</f>
        <v>MKN 101-0191</v>
      </c>
      <c r="B624" s="51" t="str">
        <f>'[4]19'!B33</f>
        <v>4 1/2" CONN.</v>
      </c>
      <c r="C624" s="52">
        <f>'[4]19'!D33</f>
        <v>85</v>
      </c>
      <c r="D624" s="52"/>
      <c r="E624" s="52"/>
      <c r="F624" s="52"/>
    </row>
    <row r="625" spans="1:6" x14ac:dyDescent="0.25">
      <c r="A625" s="50" t="str">
        <f>'[4]19'!A34</f>
        <v>MKN 100-0192</v>
      </c>
      <c r="B625" s="51" t="str">
        <f>'[4]19'!B34</f>
        <v>6 5/8" CONN.</v>
      </c>
      <c r="C625" s="52">
        <f>'[4]19'!D34</f>
        <v>85</v>
      </c>
      <c r="D625" s="52"/>
      <c r="E625" s="52"/>
      <c r="F625" s="52"/>
    </row>
    <row r="626" spans="1:6" x14ac:dyDescent="0.25">
      <c r="A626" s="53" t="str">
        <f>'[4]19'!A35</f>
        <v>MKN 101-0193</v>
      </c>
      <c r="B626" s="54" t="str">
        <f>'[4]19'!B35</f>
        <v>7 5/8" CONN.</v>
      </c>
      <c r="C626" s="55">
        <f>'[4]19'!D35</f>
        <v>130</v>
      </c>
      <c r="D626" s="55"/>
      <c r="E626" s="55"/>
      <c r="F626" s="55"/>
    </row>
    <row r="627" spans="1:6" ht="6" customHeight="1" x14ac:dyDescent="0.25">
      <c r="A627" s="39"/>
      <c r="B627" s="40"/>
      <c r="C627" s="41"/>
      <c r="D627" s="41"/>
      <c r="E627" s="41"/>
      <c r="F627" s="41"/>
    </row>
    <row r="628" spans="1:6" ht="16.149999999999999" customHeight="1" x14ac:dyDescent="0.25">
      <c r="A628" s="42" t="s">
        <v>153</v>
      </c>
      <c r="B628" s="43"/>
      <c r="C628" s="44"/>
      <c r="D628" s="44"/>
      <c r="E628" s="44"/>
      <c r="F628" s="44"/>
    </row>
    <row r="629" spans="1:6" x14ac:dyDescent="0.25">
      <c r="A629" s="45" t="s">
        <v>7</v>
      </c>
      <c r="B629" s="45" t="s">
        <v>8</v>
      </c>
      <c r="C629" s="46" t="s">
        <v>121</v>
      </c>
      <c r="D629" s="46"/>
      <c r="E629" s="46"/>
      <c r="F629" s="46"/>
    </row>
    <row r="630" spans="1:6" x14ac:dyDescent="0.25">
      <c r="A630" s="47" t="str">
        <f>'[4]19'!A40</f>
        <v>MKN 100-0194</v>
      </c>
      <c r="B630" s="48" t="str">
        <f>'[4]19'!B40</f>
        <v>All Sizes</v>
      </c>
      <c r="C630" s="49">
        <f>'[4]19'!D40</f>
        <v>110</v>
      </c>
      <c r="D630" s="49"/>
      <c r="E630" s="49"/>
      <c r="F630" s="49"/>
    </row>
    <row r="631" spans="1:6" x14ac:dyDescent="0.25">
      <c r="A631" s="50" t="str">
        <f>'[4]19'!A42</f>
        <v>MKN 100-0195</v>
      </c>
      <c r="B631" s="51" t="str">
        <f>'[4]19'!B42</f>
        <v>Thru 2 1/2" OD</v>
      </c>
      <c r="C631" s="52">
        <f>'[4]19'!D42</f>
        <v>130</v>
      </c>
      <c r="D631" s="52"/>
      <c r="E631" s="52"/>
      <c r="F631" s="52"/>
    </row>
    <row r="632" spans="1:6" x14ac:dyDescent="0.25">
      <c r="A632" s="50" t="str">
        <f>'[4]19'!A43</f>
        <v>MKN 100-0196</v>
      </c>
      <c r="B632" s="51" t="str">
        <f>'[4]19'!B43</f>
        <v>Thru 3 3/4" OD</v>
      </c>
      <c r="C632" s="52">
        <f>'[4]19'!D43</f>
        <v>330</v>
      </c>
      <c r="D632" s="52"/>
      <c r="E632" s="52"/>
      <c r="F632" s="52"/>
    </row>
    <row r="633" spans="1:6" x14ac:dyDescent="0.25">
      <c r="A633" s="50" t="str">
        <f>'[4]19'!A44</f>
        <v>MKN 100-0197</v>
      </c>
      <c r="B633" s="51" t="str">
        <f>'[4]19'!B44</f>
        <v>Thru 4 3/4" OD</v>
      </c>
      <c r="C633" s="52">
        <f>'[4]19'!D44</f>
        <v>320</v>
      </c>
      <c r="D633" s="52"/>
      <c r="E633" s="52"/>
      <c r="F633" s="52"/>
    </row>
    <row r="634" spans="1:6" x14ac:dyDescent="0.25">
      <c r="A634" s="50" t="str">
        <f>'[4]19'!A45</f>
        <v>MKN 100-0198</v>
      </c>
      <c r="B634" s="51" t="str">
        <f>'[4]19'!B45</f>
        <v>Thru 5 3/4" OD</v>
      </c>
      <c r="C634" s="52">
        <f>'[4]19'!D45</f>
        <v>500</v>
      </c>
      <c r="D634" s="52"/>
      <c r="E634" s="52"/>
      <c r="F634" s="52"/>
    </row>
    <row r="635" spans="1:6" x14ac:dyDescent="0.25">
      <c r="A635" s="50" t="str">
        <f>'[4]19'!A46</f>
        <v>MKN 100-0199</v>
      </c>
      <c r="B635" s="51" t="str">
        <f>'[4]19'!B46</f>
        <v>Thru 6 3/4" OD</v>
      </c>
      <c r="C635" s="52">
        <f>'[4]19'!D46</f>
        <v>590</v>
      </c>
      <c r="D635" s="52"/>
      <c r="E635" s="52"/>
      <c r="F635" s="52"/>
    </row>
    <row r="636" spans="1:6" x14ac:dyDescent="0.25">
      <c r="A636" s="50" t="str">
        <f>'[4]19'!A47</f>
        <v>MKN 100-0200</v>
      </c>
      <c r="B636" s="51" t="str">
        <f>'[4]19'!B47</f>
        <v>Thru 7 5/8" OD</v>
      </c>
      <c r="C636" s="52">
        <f>'[4]19'!D47</f>
        <v>850</v>
      </c>
      <c r="D636" s="52"/>
      <c r="E636" s="52"/>
      <c r="F636" s="52"/>
    </row>
    <row r="637" spans="1:6" x14ac:dyDescent="0.25">
      <c r="A637" s="50" t="str">
        <f>'[4]19'!A48</f>
        <v>MKN 100-0201</v>
      </c>
      <c r="B637" s="51" t="str">
        <f>'[4]19'!B48</f>
        <v>Thru 9 5/8" OD</v>
      </c>
      <c r="C637" s="52">
        <f>'[4]19'!D48</f>
        <v>1010</v>
      </c>
      <c r="D637" s="52"/>
      <c r="E637" s="52"/>
      <c r="F637" s="52"/>
    </row>
    <row r="638" spans="1:6" x14ac:dyDescent="0.25">
      <c r="A638" s="53" t="str">
        <f>'[4]19'!A49</f>
        <v>MKN 100-0202</v>
      </c>
      <c r="B638" s="54" t="str">
        <f>'[4]19'!B49</f>
        <v>Thru 10 3/4" OD</v>
      </c>
      <c r="C638" s="55">
        <f>'[4]19'!D49</f>
        <v>1500</v>
      </c>
      <c r="D638" s="55"/>
      <c r="E638" s="55"/>
      <c r="F638" s="55"/>
    </row>
    <row r="639" spans="1:6" ht="6" customHeight="1" x14ac:dyDescent="0.25">
      <c r="A639" s="39"/>
      <c r="B639" s="40"/>
      <c r="C639" s="41"/>
      <c r="D639" s="41"/>
      <c r="E639" s="41"/>
      <c r="F639" s="41"/>
    </row>
    <row r="640" spans="1:6" ht="22.15" customHeight="1" thickBot="1" x14ac:dyDescent="0.3">
      <c r="A640" s="35" t="s">
        <v>154</v>
      </c>
      <c r="B640" s="36"/>
      <c r="C640" s="37"/>
      <c r="D640" s="37"/>
      <c r="E640" s="37"/>
      <c r="F640" s="38" t="s">
        <v>5</v>
      </c>
    </row>
    <row r="641" spans="1:6" ht="6" customHeight="1" thickTop="1" x14ac:dyDescent="0.25">
      <c r="A641" s="39"/>
      <c r="B641" s="40"/>
      <c r="C641" s="41"/>
      <c r="D641" s="41"/>
      <c r="E641" s="41"/>
      <c r="F641" s="41"/>
    </row>
    <row r="642" spans="1:6" ht="16.149999999999999" customHeight="1" x14ac:dyDescent="0.25">
      <c r="A642" s="42" t="s">
        <v>155</v>
      </c>
      <c r="B642" s="43"/>
      <c r="C642" s="44"/>
      <c r="D642" s="44"/>
      <c r="E642" s="44"/>
      <c r="F642" s="44"/>
    </row>
    <row r="643" spans="1:6" x14ac:dyDescent="0.25">
      <c r="A643" s="45" t="s">
        <v>7</v>
      </c>
      <c r="B643" s="45" t="s">
        <v>8</v>
      </c>
      <c r="C643" s="46" t="s">
        <v>156</v>
      </c>
      <c r="D643" s="46"/>
      <c r="E643" s="46"/>
      <c r="F643" s="46"/>
    </row>
    <row r="644" spans="1:6" ht="36" x14ac:dyDescent="0.25">
      <c r="A644" s="47" t="str">
        <f>'[4]20'!A6</f>
        <v>KN-2017</v>
      </c>
      <c r="B644" s="48" t="str">
        <f>'[4]20'!B6</f>
        <v>Service jobs performed by MAKAMAN LIBYA CO. Personal on equipment owned by customer. Apply</v>
      </c>
      <c r="C644" s="49" t="str">
        <f>'[4]20'!C6</f>
        <v>Regular service price schedule, plus (30%)</v>
      </c>
      <c r="D644" s="49"/>
      <c r="E644" s="49"/>
      <c r="F644" s="49"/>
    </row>
    <row r="645" spans="1:6" ht="48" x14ac:dyDescent="0.25">
      <c r="A645" s="50" t="str">
        <f>'[4]20'!A8</f>
        <v>KN-2018</v>
      </c>
      <c r="B645" s="51" t="str">
        <f>'[4]20'!B8</f>
        <v>When tools are run in H2S, CO2, or other such corrosive well gasses or liquids or when production involves excessive erosion by sand or other materials, Apply</v>
      </c>
      <c r="C645" s="52" t="str">
        <f>'[4]20'!C8</f>
        <v>Regular service price schedule, plus (20%)</v>
      </c>
      <c r="D645" s="52"/>
      <c r="E645" s="52"/>
      <c r="F645" s="52"/>
    </row>
    <row r="646" spans="1:6" ht="48" x14ac:dyDescent="0.25">
      <c r="A646" s="53" t="str">
        <f>'[4]20'!A9</f>
        <v>KN-2019</v>
      </c>
      <c r="B646" s="54" t="str">
        <f>'[4]20'!B9</f>
        <v>Stimulation or cementing through the tools when MAKAMAN LIBYA CO. does not provide stimulation fluids, chemicals, cement and service, Apply</v>
      </c>
      <c r="C646" s="55" t="str">
        <f>'[4]20'!C9</f>
        <v>Regular service price schedule, plus (25%)</v>
      </c>
      <c r="D646" s="55"/>
      <c r="E646" s="55"/>
      <c r="F646" s="55"/>
    </row>
    <row r="647" spans="1:6" ht="6" customHeight="1" x14ac:dyDescent="0.25">
      <c r="A647" s="39"/>
      <c r="B647" s="40"/>
      <c r="C647" s="41"/>
      <c r="D647" s="41"/>
      <c r="E647" s="41"/>
      <c r="F647" s="41"/>
    </row>
    <row r="648" spans="1:6" ht="48" customHeight="1" x14ac:dyDescent="0.25">
      <c r="A648" s="466" t="s">
        <v>157</v>
      </c>
      <c r="B648" s="466"/>
      <c r="C648" s="466"/>
      <c r="D648" s="466"/>
      <c r="E648" s="466"/>
      <c r="F648" s="466"/>
    </row>
    <row r="649" spans="1:6" ht="6" customHeight="1" x14ac:dyDescent="0.25">
      <c r="A649" s="39"/>
      <c r="B649" s="40"/>
      <c r="C649" s="41"/>
      <c r="D649" s="41"/>
      <c r="E649" s="41"/>
      <c r="F649" s="41"/>
    </row>
  </sheetData>
  <mergeCells count="5">
    <mergeCell ref="A18:F18"/>
    <mergeCell ref="A32:F32"/>
    <mergeCell ref="A243:F243"/>
    <mergeCell ref="A258:F258"/>
    <mergeCell ref="A648:F648"/>
  </mergeCells>
  <hyperlinks>
    <hyperlink ref="F6" location="Contents!A1" tooltip="Back to Contents" display="← Contents" xr:uid="{0872BC32-DBFF-4349-8232-DCC5CE08AFDE}"/>
    <hyperlink ref="F77" location="Contents!A1" tooltip="Back to Contents" display="← Contents" xr:uid="{E9333C29-7B71-4402-9F3C-33767C40C173}"/>
    <hyperlink ref="F103" location="Contents!A1" tooltip="Back to Contents" display="← Contents" xr:uid="{744B60E9-A0FC-4FD3-A30D-ED27856B5B41}"/>
    <hyperlink ref="F228" location="Contents!A1" tooltip="Back to Contents" display="← Contents" xr:uid="{D20E50BA-B663-4D05-A13B-727D2E90BB26}"/>
    <hyperlink ref="F331" location="Contents!A1" tooltip="Back to Contents" display="← Contents" xr:uid="{0236C847-1CC2-474D-AE0C-52E70EB24E93}"/>
    <hyperlink ref="F640" location="Contents!A1" tooltip="Back to Contents" display="← Contents" xr:uid="{74C99517-94C9-4165-AA75-AAE5DD35E28F}"/>
  </hyperlinks>
  <pageMargins left="0.3888888888888889" right="0.3888888888888889" top="0.5" bottom="0.5" header="0.3" footer="0.3"/>
  <pageSetup paperSize="9" scale="96" fitToHeight="0" orientation="portrait" r:id="rId1"/>
  <rowBreaks count="16" manualBreakCount="16">
    <brk id="46" max="5" man="1"/>
    <brk id="92" max="5" man="1"/>
    <brk id="120" max="5" man="1"/>
    <brk id="150" max="5" man="1"/>
    <brk id="184" max="5" man="1"/>
    <brk id="227" max="5" man="1"/>
    <brk id="259" max="5" man="1"/>
    <brk id="295" max="5" man="1"/>
    <brk id="338" max="5" man="1"/>
    <brk id="387" max="5" man="1"/>
    <brk id="434" max="5" man="1"/>
    <brk id="476" max="5" man="1"/>
    <brk id="523" max="5" man="1"/>
    <brk id="556" max="5" man="1"/>
    <brk id="603" max="5" man="1"/>
    <brk id="639"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D6B5-1C18-4C5D-8DA4-6958D193A750}">
  <sheetPr>
    <pageSetUpPr fitToPage="1"/>
  </sheetPr>
  <dimension ref="A1:F660"/>
  <sheetViews>
    <sheetView showGridLines="0" zoomScale="85" zoomScaleNormal="85" workbookViewId="0">
      <pane ySplit="4" topLeftCell="A5" activePane="bottomLeft" state="frozen"/>
      <selection pane="bottomLeft" activeCell="K11" sqref="K11"/>
    </sheetView>
  </sheetViews>
  <sheetFormatPr defaultRowHeight="15" x14ac:dyDescent="0.25"/>
  <cols>
    <col min="1" max="1" width="12.28515625" customWidth="1"/>
    <col min="2" max="2" width="39.42578125" customWidth="1"/>
    <col min="3" max="3" width="11.85546875" customWidth="1"/>
    <col min="4" max="5" width="12.28515625" customWidth="1"/>
    <col min="6" max="6" width="9.7109375" customWidth="1"/>
  </cols>
  <sheetData>
    <row r="1" spans="1:6" ht="21" x14ac:dyDescent="0.25">
      <c r="A1" s="56" t="s">
        <v>2621</v>
      </c>
      <c r="B1" s="57"/>
      <c r="C1" s="57"/>
      <c r="D1" s="57"/>
      <c r="E1" s="57"/>
    </row>
    <row r="2" spans="1:6" x14ac:dyDescent="0.25">
      <c r="A2" s="30" t="s">
        <v>0</v>
      </c>
      <c r="B2" s="34"/>
      <c r="C2" s="34"/>
      <c r="D2" s="34"/>
      <c r="E2" s="34"/>
      <c r="F2" s="34"/>
    </row>
    <row r="3" spans="1:6" x14ac:dyDescent="0.25">
      <c r="A3" s="31" t="s">
        <v>2479</v>
      </c>
      <c r="B3" s="34"/>
      <c r="C3" s="34"/>
      <c r="D3" s="34"/>
      <c r="E3" s="34"/>
      <c r="F3" s="34"/>
    </row>
    <row r="4" spans="1:6" x14ac:dyDescent="0.25">
      <c r="A4" s="32" t="s">
        <v>2</v>
      </c>
      <c r="B4" s="324"/>
      <c r="C4" s="34"/>
      <c r="D4" s="32" t="s">
        <v>3</v>
      </c>
      <c r="E4" s="324"/>
      <c r="F4" s="34"/>
    </row>
    <row r="5" spans="1:6" ht="24" customHeight="1" x14ac:dyDescent="0.25">
      <c r="A5" s="34"/>
      <c r="B5" s="34"/>
      <c r="C5" s="34"/>
      <c r="D5" s="34"/>
      <c r="E5" s="34"/>
      <c r="F5" s="34"/>
    </row>
    <row r="6" spans="1:6" ht="22.15" customHeight="1" thickBot="1" x14ac:dyDescent="0.3">
      <c r="A6" s="470" t="s">
        <v>4</v>
      </c>
      <c r="B6" s="470"/>
      <c r="C6" s="471"/>
      <c r="D6" s="472"/>
      <c r="E6" s="472"/>
      <c r="F6" s="472"/>
    </row>
    <row r="7" spans="1:6" ht="13.9" customHeight="1" thickTop="1" x14ac:dyDescent="0.25">
      <c r="A7" s="34"/>
      <c r="B7" s="34"/>
      <c r="C7" s="325"/>
      <c r="D7" s="326"/>
      <c r="E7" s="326"/>
      <c r="F7" s="327" t="s">
        <v>5</v>
      </c>
    </row>
    <row r="8" spans="1:6" ht="16.149999999999999" customHeight="1" x14ac:dyDescent="0.25">
      <c r="A8" s="467" t="s">
        <v>2480</v>
      </c>
      <c r="B8" s="467"/>
      <c r="C8" s="468"/>
      <c r="D8" s="469"/>
      <c r="E8" s="469"/>
      <c r="F8" s="469"/>
    </row>
    <row r="9" spans="1:6" x14ac:dyDescent="0.25">
      <c r="A9" s="45" t="s">
        <v>7</v>
      </c>
      <c r="B9" s="45" t="s">
        <v>8</v>
      </c>
      <c r="C9" s="328" t="s">
        <v>9</v>
      </c>
      <c r="D9" s="46" t="s">
        <v>2481</v>
      </c>
      <c r="E9" s="46"/>
      <c r="F9" s="46"/>
    </row>
    <row r="10" spans="1:6" x14ac:dyDescent="0.25">
      <c r="A10" s="329" t="str">
        <f>'[5]6'!A5</f>
        <v>MKN 100-0205</v>
      </c>
      <c r="B10" s="330" t="str">
        <f>'[5]6'!B5</f>
        <v>Fishing Tool Supervisor</v>
      </c>
      <c r="C10" s="331" t="str">
        <f>'[5]6'!C5</f>
        <v>LYD / Day</v>
      </c>
      <c r="D10" s="332">
        <f>'[5]6'!D5</f>
        <v>5000</v>
      </c>
      <c r="E10" s="332"/>
      <c r="F10" s="332"/>
    </row>
    <row r="11" spans="1:6" x14ac:dyDescent="0.25">
      <c r="A11" s="333" t="str">
        <f>'[5]6'!A6</f>
        <v>MKN 100-0210</v>
      </c>
      <c r="B11" s="334" t="str">
        <f>'[5]6'!B6</f>
        <v>Tools pick up</v>
      </c>
      <c r="C11" s="335" t="str">
        <f>'[5]6'!C6</f>
        <v>km</v>
      </c>
      <c r="D11" s="336">
        <f>'[5]6'!D6</f>
        <v>5</v>
      </c>
      <c r="E11" s="336"/>
      <c r="F11" s="336"/>
    </row>
    <row r="12" spans="1:6" x14ac:dyDescent="0.25">
      <c r="A12" s="337" t="str">
        <f>'[5]6'!A7</f>
        <v>MKN 100-0215</v>
      </c>
      <c r="B12" s="338" t="str">
        <f>'[5]6'!B7</f>
        <v>Truck</v>
      </c>
      <c r="C12" s="339" t="str">
        <f>'[5]6'!C7</f>
        <v>km</v>
      </c>
      <c r="D12" s="340">
        <f>'[5]6'!D7</f>
        <v>7</v>
      </c>
      <c r="E12" s="340"/>
      <c r="F12" s="340"/>
    </row>
    <row r="13" spans="1:6" ht="6" customHeight="1" x14ac:dyDescent="0.25">
      <c r="A13" s="34"/>
      <c r="B13" s="34"/>
      <c r="C13" s="325"/>
      <c r="D13" s="326"/>
      <c r="E13" s="326"/>
      <c r="F13" s="326"/>
    </row>
    <row r="14" spans="1:6" ht="16.149999999999999" customHeight="1" x14ac:dyDescent="0.25">
      <c r="A14" s="467" t="s">
        <v>11</v>
      </c>
      <c r="B14" s="467"/>
      <c r="C14" s="468"/>
      <c r="D14" s="469"/>
      <c r="E14" s="469"/>
      <c r="F14" s="469"/>
    </row>
    <row r="15" spans="1:6" x14ac:dyDescent="0.25">
      <c r="A15" s="45" t="s">
        <v>7</v>
      </c>
      <c r="B15" s="45" t="s">
        <v>8</v>
      </c>
      <c r="C15" s="328" t="s">
        <v>9</v>
      </c>
      <c r="D15" s="46" t="s">
        <v>2482</v>
      </c>
      <c r="E15" s="46" t="s">
        <v>2483</v>
      </c>
      <c r="F15" s="46"/>
    </row>
    <row r="16" spans="1:6" x14ac:dyDescent="0.25">
      <c r="A16" s="329" t="str">
        <f>'[5]6'!A12</f>
        <v>MKN 100-001</v>
      </c>
      <c r="B16" s="330" t="str">
        <f>'[5]6'!B12</f>
        <v>Thru 3-3/4"OD</v>
      </c>
      <c r="C16" s="331" t="str">
        <f>'[5]6'!C12</f>
        <v>Per Day</v>
      </c>
      <c r="D16" s="332">
        <f>'[5]6'!D12</f>
        <v>1150</v>
      </c>
      <c r="E16" s="332">
        <f>'[5]6'!E12</f>
        <v>210</v>
      </c>
      <c r="F16" s="332"/>
    </row>
    <row r="17" spans="1:6" x14ac:dyDescent="0.25">
      <c r="A17" s="333" t="str">
        <f>'[5]6'!A13</f>
        <v>MKN 100-002</v>
      </c>
      <c r="B17" s="334" t="str">
        <f>'[5]6'!B13</f>
        <v>Thru 4-1/4"OD</v>
      </c>
      <c r="C17" s="335" t="str">
        <f>'[5]6'!C13</f>
        <v>Per Day</v>
      </c>
      <c r="D17" s="336">
        <f>'[5]6'!D13</f>
        <v>1250</v>
      </c>
      <c r="E17" s="336">
        <f>'[5]6'!E13</f>
        <v>210</v>
      </c>
      <c r="F17" s="336"/>
    </row>
    <row r="18" spans="1:6" x14ac:dyDescent="0.25">
      <c r="A18" s="333" t="str">
        <f>'[5]6'!A14</f>
        <v>MKN 100-003</v>
      </c>
      <c r="B18" s="334" t="str">
        <f>'[5]6'!B14</f>
        <v>Thru 4-3/4" OD</v>
      </c>
      <c r="C18" s="335" t="str">
        <f>'[5]6'!C14</f>
        <v>Per Day</v>
      </c>
      <c r="D18" s="336">
        <f>'[5]6'!D14</f>
        <v>1250</v>
      </c>
      <c r="E18" s="336">
        <f>'[5]6'!E14</f>
        <v>210</v>
      </c>
      <c r="F18" s="336"/>
    </row>
    <row r="19" spans="1:6" x14ac:dyDescent="0.25">
      <c r="A19" s="333" t="str">
        <f>'[5]6'!A15</f>
        <v>MKN 100-004</v>
      </c>
      <c r="B19" s="334" t="str">
        <f>'[5]6'!B15</f>
        <v>Thru 5-3/4" OD</v>
      </c>
      <c r="C19" s="335" t="str">
        <f>'[5]6'!C15</f>
        <v>Per Day</v>
      </c>
      <c r="D19" s="336">
        <f>'[5]6'!D15</f>
        <v>1410</v>
      </c>
      <c r="E19" s="336">
        <f>'[5]6'!E15</f>
        <v>230</v>
      </c>
      <c r="F19" s="336"/>
    </row>
    <row r="20" spans="1:6" x14ac:dyDescent="0.25">
      <c r="A20" s="333" t="str">
        <f>'[5]6'!A16</f>
        <v>MKN 100-005</v>
      </c>
      <c r="B20" s="334" t="str">
        <f>'[5]6'!B16</f>
        <v>Thru 6-1/8"OD</v>
      </c>
      <c r="C20" s="335" t="str">
        <f>'[5]6'!C16</f>
        <v>Per Day</v>
      </c>
      <c r="D20" s="336">
        <f>'[5]6'!D16</f>
        <v>1410</v>
      </c>
      <c r="E20" s="336">
        <f>'[5]6'!E16</f>
        <v>230</v>
      </c>
      <c r="F20" s="336"/>
    </row>
    <row r="21" spans="1:6" x14ac:dyDescent="0.25">
      <c r="A21" s="333" t="str">
        <f>'[5]6'!A17</f>
        <v>MKN 100-006</v>
      </c>
      <c r="B21" s="334" t="str">
        <f>'[5]6'!B17</f>
        <v>Thru 6-3/4"OD</v>
      </c>
      <c r="C21" s="335" t="str">
        <f>'[5]6'!C17</f>
        <v>Per Day</v>
      </c>
      <c r="D21" s="336">
        <f>'[5]6'!D17</f>
        <v>1410</v>
      </c>
      <c r="E21" s="336">
        <f>'[5]6'!E17</f>
        <v>230</v>
      </c>
      <c r="F21" s="336"/>
    </row>
    <row r="22" spans="1:6" x14ac:dyDescent="0.25">
      <c r="A22" s="333" t="str">
        <f>'[5]6'!A18</f>
        <v>MKN 100-007</v>
      </c>
      <c r="B22" s="334" t="str">
        <f>'[5]6'!B18</f>
        <v>Thru 7-3/4"OD</v>
      </c>
      <c r="C22" s="335" t="str">
        <f>'[5]6'!C18</f>
        <v>Per Day</v>
      </c>
      <c r="D22" s="336">
        <f>'[5]6'!D18</f>
        <v>1520</v>
      </c>
      <c r="E22" s="336">
        <f>'[5]6'!E18</f>
        <v>245</v>
      </c>
      <c r="F22" s="336"/>
    </row>
    <row r="23" spans="1:6" x14ac:dyDescent="0.25">
      <c r="A23" s="333" t="str">
        <f>'[5]6'!A19</f>
        <v>MKN 100-008</v>
      </c>
      <c r="B23" s="334" t="str">
        <f>'[5]6'!B19</f>
        <v>Thru 9-3/4"OD</v>
      </c>
      <c r="C23" s="335" t="str">
        <f>'[5]6'!C19</f>
        <v>Per Day</v>
      </c>
      <c r="D23" s="336">
        <f>'[5]6'!D19</f>
        <v>1610</v>
      </c>
      <c r="E23" s="336">
        <f>'[5]6'!E19</f>
        <v>310</v>
      </c>
      <c r="F23" s="336"/>
    </row>
    <row r="24" spans="1:6" x14ac:dyDescent="0.25">
      <c r="A24" s="333" t="str">
        <f>'[5]6'!A20</f>
        <v>MKN 100-009</v>
      </c>
      <c r="B24" s="334" t="str">
        <f>'[5]6'!B20</f>
        <v>Thru 10-3/4"OD</v>
      </c>
      <c r="C24" s="335" t="str">
        <f>'[5]6'!C20</f>
        <v>Per Day</v>
      </c>
      <c r="D24" s="336">
        <f>'[5]6'!D20</f>
        <v>1610</v>
      </c>
      <c r="E24" s="336">
        <f>'[5]6'!E20</f>
        <v>310</v>
      </c>
      <c r="F24" s="336"/>
    </row>
    <row r="25" spans="1:6" x14ac:dyDescent="0.25">
      <c r="A25" s="337" t="str">
        <f>'[5]6'!A21</f>
        <v>MKN 100-011</v>
      </c>
      <c r="B25" s="338" t="str">
        <f>'[5]6'!B21</f>
        <v>Thru 12-1/4"OD</v>
      </c>
      <c r="C25" s="339" t="str">
        <f>'[5]6'!C21</f>
        <v>Per Day</v>
      </c>
      <c r="D25" s="340">
        <f>'[5]6'!D21</f>
        <v>1610</v>
      </c>
      <c r="E25" s="340">
        <f>'[5]6'!E21</f>
        <v>310</v>
      </c>
      <c r="F25" s="340"/>
    </row>
    <row r="26" spans="1:6" ht="6" customHeight="1" x14ac:dyDescent="0.25">
      <c r="A26" s="34"/>
      <c r="B26" s="34"/>
      <c r="C26" s="325"/>
      <c r="D26" s="326"/>
      <c r="E26" s="326"/>
      <c r="F26" s="326"/>
    </row>
    <row r="27" spans="1:6" ht="16.149999999999999" customHeight="1" x14ac:dyDescent="0.25">
      <c r="A27" s="467" t="s">
        <v>2484</v>
      </c>
      <c r="B27" s="467"/>
      <c r="C27" s="468"/>
      <c r="D27" s="469"/>
      <c r="E27" s="469"/>
      <c r="F27" s="469"/>
    </row>
    <row r="28" spans="1:6" x14ac:dyDescent="0.25">
      <c r="A28" s="45" t="s">
        <v>7</v>
      </c>
      <c r="B28" s="45" t="s">
        <v>8</v>
      </c>
      <c r="C28" s="328" t="s">
        <v>9</v>
      </c>
      <c r="D28" s="46" t="s">
        <v>2481</v>
      </c>
      <c r="E28" s="46"/>
      <c r="F28" s="46"/>
    </row>
    <row r="29" spans="1:6" x14ac:dyDescent="0.25">
      <c r="A29" s="329" t="str">
        <f>'[5]6'!A25</f>
        <v>MKN 100-012</v>
      </c>
      <c r="B29" s="330" t="str">
        <f>'[5]6'!B25</f>
        <v>Thru 8-3/4"OD</v>
      </c>
      <c r="C29" s="331" t="str">
        <f>'[5]6'!C25</f>
        <v>Price/Largest OD in/Run</v>
      </c>
      <c r="D29" s="332">
        <f>'[5]6'!D25</f>
        <v>650</v>
      </c>
      <c r="E29" s="332"/>
      <c r="F29" s="332"/>
    </row>
    <row r="30" spans="1:6" x14ac:dyDescent="0.25">
      <c r="A30" s="337" t="str">
        <f>'[5]6'!A26</f>
        <v>MKN 100-013</v>
      </c>
      <c r="B30" s="338" t="str">
        <f>'[5]6'!B26</f>
        <v>Thru 17-1/2"OD</v>
      </c>
      <c r="C30" s="339" t="str">
        <f>'[5]6'!C26</f>
        <v>Price/Largest OD in/Run</v>
      </c>
      <c r="D30" s="340">
        <f>'[5]6'!D26</f>
        <v>750</v>
      </c>
      <c r="E30" s="340"/>
      <c r="F30" s="340"/>
    </row>
    <row r="31" spans="1:6" ht="6" customHeight="1" x14ac:dyDescent="0.25">
      <c r="A31" s="34"/>
      <c r="B31" s="34"/>
      <c r="C31" s="325"/>
      <c r="D31" s="326"/>
      <c r="E31" s="326"/>
      <c r="F31" s="326"/>
    </row>
    <row r="32" spans="1:6" ht="16.149999999999999" customHeight="1" x14ac:dyDescent="0.25">
      <c r="A32" s="467" t="s">
        <v>2485</v>
      </c>
      <c r="B32" s="467"/>
      <c r="C32" s="468"/>
      <c r="D32" s="469"/>
      <c r="E32" s="469"/>
      <c r="F32" s="469"/>
    </row>
    <row r="33" spans="1:6" x14ac:dyDescent="0.25">
      <c r="A33" s="45" t="s">
        <v>7</v>
      </c>
      <c r="B33" s="45" t="s">
        <v>8</v>
      </c>
      <c r="C33" s="328" t="s">
        <v>9</v>
      </c>
      <c r="D33" s="46" t="s">
        <v>2481</v>
      </c>
      <c r="E33" s="46"/>
      <c r="F33" s="46"/>
    </row>
    <row r="34" spans="1:6" x14ac:dyDescent="0.25">
      <c r="A34" s="329" t="str">
        <f>'[5]6'!A28</f>
        <v>MKN 100-014</v>
      </c>
      <c r="B34" s="330" t="str">
        <f>'[5]6'!B28</f>
        <v>Thru 7" OD</v>
      </c>
      <c r="C34" s="331" t="str">
        <f>'[5]6'!C28</f>
        <v>Per Run</v>
      </c>
      <c r="D34" s="332">
        <f>'[5]6'!D28</f>
        <v>1600</v>
      </c>
      <c r="E34" s="332"/>
      <c r="F34" s="332"/>
    </row>
    <row r="35" spans="1:6" x14ac:dyDescent="0.25">
      <c r="A35" s="333" t="str">
        <f>'[5]6'!A29</f>
        <v>MKN 100-015</v>
      </c>
      <c r="B35" s="334" t="str">
        <f>'[5]6'!B29</f>
        <v>Thru 10-3/4"OD</v>
      </c>
      <c r="C35" s="335" t="str">
        <f>'[5]6'!C29</f>
        <v>Per Run</v>
      </c>
      <c r="D35" s="336">
        <f>'[5]6'!D29</f>
        <v>3050</v>
      </c>
      <c r="E35" s="336"/>
      <c r="F35" s="336"/>
    </row>
    <row r="36" spans="1:6" x14ac:dyDescent="0.25">
      <c r="A36" s="337" t="str">
        <f>'[5]6'!A30</f>
        <v>MKN 100-016</v>
      </c>
      <c r="B36" s="338" t="str">
        <f>'[5]6'!B30</f>
        <v>Thru 13-3/8"OD</v>
      </c>
      <c r="C36" s="339" t="str">
        <f>'[5]6'!C30</f>
        <v>Per Run</v>
      </c>
      <c r="D36" s="340">
        <f>'[5]6'!D30</f>
        <v>4100</v>
      </c>
      <c r="E36" s="340"/>
      <c r="F36" s="340"/>
    </row>
    <row r="37" spans="1:6" ht="6" customHeight="1" x14ac:dyDescent="0.25">
      <c r="A37" s="34"/>
      <c r="B37" s="34"/>
      <c r="C37" s="325"/>
      <c r="D37" s="326"/>
      <c r="E37" s="326"/>
      <c r="F37" s="326"/>
    </row>
    <row r="38" spans="1:6" ht="16.149999999999999" customHeight="1" x14ac:dyDescent="0.25">
      <c r="A38" s="467" t="s">
        <v>16</v>
      </c>
      <c r="B38" s="467"/>
      <c r="C38" s="468"/>
      <c r="D38" s="469"/>
      <c r="E38" s="469"/>
      <c r="F38" s="469"/>
    </row>
    <row r="39" spans="1:6" x14ac:dyDescent="0.25">
      <c r="A39" s="45" t="s">
        <v>7</v>
      </c>
      <c r="B39" s="45" t="s">
        <v>8</v>
      </c>
      <c r="C39" s="328" t="s">
        <v>9</v>
      </c>
      <c r="D39" s="46" t="s">
        <v>2481</v>
      </c>
      <c r="E39" s="46"/>
      <c r="F39" s="46"/>
    </row>
    <row r="40" spans="1:6" x14ac:dyDescent="0.25">
      <c r="A40" s="329" t="str">
        <f>'[5]6'!A34</f>
        <v>MKN 100-017</v>
      </c>
      <c r="B40" s="330" t="str">
        <f>'[5]6'!B34</f>
        <v>8" OD &amp; Smaller</v>
      </c>
      <c r="C40" s="331" t="str">
        <f>'[5]6'!C34</f>
        <v>HRS</v>
      </c>
      <c r="D40" s="332">
        <f>'[5]6'!D34</f>
        <v>3800</v>
      </c>
      <c r="E40" s="332"/>
      <c r="F40" s="332"/>
    </row>
    <row r="41" spans="1:6" x14ac:dyDescent="0.25">
      <c r="A41" s="337" t="str">
        <f>'[5]6'!A35</f>
        <v>MKN 100-018</v>
      </c>
      <c r="B41" s="338" t="str">
        <f>'[5]6'!B35</f>
        <v>Over 8"</v>
      </c>
      <c r="C41" s="339" t="str">
        <f>'[5]6'!C35</f>
        <v>HRS</v>
      </c>
      <c r="D41" s="340">
        <f>'[5]6'!D35</f>
        <v>4100</v>
      </c>
      <c r="E41" s="340"/>
      <c r="F41" s="340"/>
    </row>
    <row r="42" spans="1:6" ht="6" customHeight="1" x14ac:dyDescent="0.25">
      <c r="A42" s="34"/>
      <c r="B42" s="34"/>
      <c r="C42" s="325"/>
      <c r="D42" s="326"/>
      <c r="E42" s="326"/>
      <c r="F42" s="326"/>
    </row>
    <row r="43" spans="1:6" ht="16.149999999999999" customHeight="1" x14ac:dyDescent="0.25">
      <c r="A43" s="467" t="s">
        <v>17</v>
      </c>
      <c r="B43" s="467"/>
      <c r="C43" s="468"/>
      <c r="D43" s="469"/>
      <c r="E43" s="469"/>
      <c r="F43" s="469"/>
    </row>
    <row r="44" spans="1:6" x14ac:dyDescent="0.25">
      <c r="A44" s="45" t="s">
        <v>7</v>
      </c>
      <c r="B44" s="45" t="s">
        <v>8</v>
      </c>
      <c r="C44" s="328" t="s">
        <v>9</v>
      </c>
      <c r="D44" s="46" t="s">
        <v>2481</v>
      </c>
      <c r="E44" s="46"/>
      <c r="F44" s="46"/>
    </row>
    <row r="45" spans="1:6" x14ac:dyDescent="0.25">
      <c r="A45" s="341" t="str">
        <f>'[5]6'!A37</f>
        <v>MKN 100-019</v>
      </c>
      <c r="B45" s="342" t="str">
        <f>'[5]6'!B37</f>
        <v>ALL Sizes</v>
      </c>
      <c r="C45" s="343" t="str">
        <f>'[5]6'!C37</f>
        <v>Per Job</v>
      </c>
      <c r="D45" s="344">
        <f>'[5]6'!D37</f>
        <v>305</v>
      </c>
      <c r="E45" s="344"/>
      <c r="F45" s="344"/>
    </row>
    <row r="46" spans="1:6" ht="6" customHeight="1" x14ac:dyDescent="0.25">
      <c r="A46" s="34"/>
      <c r="B46" s="34"/>
      <c r="C46" s="325"/>
      <c r="D46" s="326"/>
      <c r="E46" s="326"/>
      <c r="F46" s="326"/>
    </row>
    <row r="47" spans="1:6" ht="16.149999999999999" customHeight="1" x14ac:dyDescent="0.25">
      <c r="A47" s="467" t="s">
        <v>2486</v>
      </c>
      <c r="B47" s="467"/>
      <c r="C47" s="468"/>
      <c r="D47" s="469"/>
      <c r="E47" s="469"/>
      <c r="F47" s="469"/>
    </row>
    <row r="48" spans="1:6" x14ac:dyDescent="0.25">
      <c r="A48" s="45" t="s">
        <v>7</v>
      </c>
      <c r="B48" s="45" t="s">
        <v>8</v>
      </c>
      <c r="C48" s="328" t="s">
        <v>9</v>
      </c>
      <c r="D48" s="46" t="s">
        <v>2482</v>
      </c>
      <c r="E48" s="46" t="s">
        <v>2483</v>
      </c>
      <c r="F48" s="46"/>
    </row>
    <row r="49" spans="1:6" x14ac:dyDescent="0.25">
      <c r="A49" s="329" t="str">
        <f>'[5]6'!A41</f>
        <v>MKN100--020</v>
      </c>
      <c r="B49" s="330" t="str">
        <f>'[5]6'!B41</f>
        <v>Thru 4 1/2" Washpipe Pin</v>
      </c>
      <c r="C49" s="331" t="str">
        <f>'[5]6'!C41</f>
        <v>LYD / Day</v>
      </c>
      <c r="D49" s="332">
        <f>'[5]6'!D41</f>
        <v>800</v>
      </c>
      <c r="E49" s="332">
        <f>'[5]6'!E41</f>
        <v>420</v>
      </c>
      <c r="F49" s="332"/>
    </row>
    <row r="50" spans="1:6" x14ac:dyDescent="0.25">
      <c r="A50" s="333" t="str">
        <f>'[5]6'!A42</f>
        <v>MKN100--021</v>
      </c>
      <c r="B50" s="334" t="str">
        <f>'[5]6'!B42</f>
        <v>Thru 5 3/4" Washpipe Pin</v>
      </c>
      <c r="C50" s="335" t="str">
        <f>'[5]6'!C42</f>
        <v>LYD / Day</v>
      </c>
      <c r="D50" s="336">
        <f>'[5]6'!D42</f>
        <v>1050</v>
      </c>
      <c r="E50" s="336">
        <f>'[5]6'!E42</f>
        <v>500</v>
      </c>
      <c r="F50" s="336"/>
    </row>
    <row r="51" spans="1:6" x14ac:dyDescent="0.25">
      <c r="A51" s="333" t="str">
        <f>'[5]6'!A43</f>
        <v>MKN100--022</v>
      </c>
      <c r="B51" s="334" t="str">
        <f>'[5]6'!B43</f>
        <v>Thru 8 3/8" Washpipe Pin</v>
      </c>
      <c r="C51" s="335" t="str">
        <f>'[5]6'!C43</f>
        <v>LYD / Day</v>
      </c>
      <c r="D51" s="336">
        <f>'[5]6'!D43</f>
        <v>1200</v>
      </c>
      <c r="E51" s="336">
        <f>'[5]6'!E43</f>
        <v>610</v>
      </c>
      <c r="F51" s="336"/>
    </row>
    <row r="52" spans="1:6" x14ac:dyDescent="0.25">
      <c r="A52" s="333" t="str">
        <f>'[5]6'!A44</f>
        <v>MKN100--023</v>
      </c>
      <c r="B52" s="334" t="str">
        <f>'[5]6'!B44</f>
        <v>Thru 10 3/4" Washpipe Pin</v>
      </c>
      <c r="C52" s="335" t="str">
        <f>'[5]6'!C44</f>
        <v>LYD / Day</v>
      </c>
      <c r="D52" s="336">
        <f>'[5]6'!D44</f>
        <v>1310</v>
      </c>
      <c r="E52" s="336">
        <f>'[5]6'!E44</f>
        <v>710</v>
      </c>
      <c r="F52" s="336"/>
    </row>
    <row r="53" spans="1:6" x14ac:dyDescent="0.25">
      <c r="A53" s="333" t="str">
        <f>'[5]6'!A45</f>
        <v>MKN100--024</v>
      </c>
      <c r="B53" s="334" t="str">
        <f>'[5]6'!B45</f>
        <v>Thru 13 3/8" Washpipe Pin</v>
      </c>
      <c r="C53" s="335" t="str">
        <f>'[5]6'!C45</f>
        <v>LYD / Day</v>
      </c>
      <c r="D53" s="336">
        <f>'[5]6'!D45</f>
        <v>1700</v>
      </c>
      <c r="E53" s="336">
        <f>'[5]6'!E45</f>
        <v>870</v>
      </c>
      <c r="F53" s="336"/>
    </row>
    <row r="54" spans="1:6" x14ac:dyDescent="0.25">
      <c r="A54" s="333" t="str">
        <f>'[5]6'!A46</f>
        <v>MKN100--025</v>
      </c>
      <c r="B54" s="334" t="str">
        <f>'[5]6'!B46</f>
        <v>Thru 16 1/2" Washpipe Pin</v>
      </c>
      <c r="C54" s="335" t="str">
        <f>'[5]6'!C46</f>
        <v>LYD / Day</v>
      </c>
      <c r="D54" s="336">
        <f>'[5]6'!D46</f>
        <v>2050</v>
      </c>
      <c r="E54" s="336">
        <f>'[5]6'!E46</f>
        <v>1610</v>
      </c>
      <c r="F54" s="336"/>
    </row>
    <row r="55" spans="1:6" x14ac:dyDescent="0.25">
      <c r="A55" s="337" t="str">
        <f>'[5]6'!A47</f>
        <v>MKN100--026</v>
      </c>
      <c r="B55" s="338" t="str">
        <f>'[5]6'!B47</f>
        <v>Thru 20" Washpipe Pin</v>
      </c>
      <c r="C55" s="339" t="str">
        <f>'[5]6'!C47</f>
        <v>LYD / Day</v>
      </c>
      <c r="D55" s="340">
        <f>'[5]6'!D47</f>
        <v>2150</v>
      </c>
      <c r="E55" s="340">
        <f>'[5]6'!E47</f>
        <v>1710</v>
      </c>
      <c r="F55" s="340"/>
    </row>
    <row r="56" spans="1:6" ht="6" customHeight="1" x14ac:dyDescent="0.25">
      <c r="A56" s="34"/>
      <c r="B56" s="34"/>
      <c r="C56" s="325"/>
      <c r="D56" s="326"/>
      <c r="E56" s="326"/>
      <c r="F56" s="326"/>
    </row>
    <row r="57" spans="1:6" ht="16.149999999999999" customHeight="1" x14ac:dyDescent="0.25">
      <c r="A57" s="467" t="s">
        <v>2487</v>
      </c>
      <c r="B57" s="467"/>
      <c r="C57" s="468"/>
      <c r="D57" s="469"/>
      <c r="E57" s="469"/>
      <c r="F57" s="469"/>
    </row>
    <row r="58" spans="1:6" x14ac:dyDescent="0.25">
      <c r="A58" s="45" t="s">
        <v>7</v>
      </c>
      <c r="B58" s="45" t="s">
        <v>8</v>
      </c>
      <c r="C58" s="328" t="s">
        <v>9</v>
      </c>
      <c r="D58" s="46" t="s">
        <v>2481</v>
      </c>
      <c r="E58" s="46"/>
      <c r="F58" s="46"/>
    </row>
    <row r="59" spans="1:6" x14ac:dyDescent="0.25">
      <c r="A59" s="329" t="str">
        <f>'[5]6'!A51</f>
        <v>MKN 100-027</v>
      </c>
      <c r="B59" s="330" t="str">
        <f>'[5]6'!B51</f>
        <v>7 5/8" OD &amp; Smaller</v>
      </c>
      <c r="C59" s="331" t="str">
        <f>'[5]6'!C51</f>
        <v>Per Day</v>
      </c>
      <c r="D59" s="332">
        <f>'[5]6'!D51</f>
        <v>905</v>
      </c>
      <c r="E59" s="332"/>
      <c r="F59" s="332"/>
    </row>
    <row r="60" spans="1:6" x14ac:dyDescent="0.25">
      <c r="A60" s="333" t="str">
        <f>'[5]6'!A52</f>
        <v>MKN 100-028</v>
      </c>
      <c r="B60" s="334" t="str">
        <f>'[5]6'!B52</f>
        <v>9 5/8" OD &amp; Smaller</v>
      </c>
      <c r="C60" s="335" t="str">
        <f>'[5]6'!C52</f>
        <v>Per Day</v>
      </c>
      <c r="D60" s="336">
        <f>'[5]6'!D52</f>
        <v>1150</v>
      </c>
      <c r="E60" s="336"/>
      <c r="F60" s="336"/>
    </row>
    <row r="61" spans="1:6" x14ac:dyDescent="0.25">
      <c r="A61" s="337" t="str">
        <f>'[5]6'!A53</f>
        <v>MKN 100-029</v>
      </c>
      <c r="B61" s="338" t="str">
        <f>'[5]6'!B53</f>
        <v>11 3/4" OD &amp; Smaller</v>
      </c>
      <c r="C61" s="339" t="str">
        <f>'[5]6'!C53</f>
        <v>Per Day</v>
      </c>
      <c r="D61" s="340">
        <f>'[5]6'!D53</f>
        <v>1320</v>
      </c>
      <c r="E61" s="340"/>
      <c r="F61" s="340"/>
    </row>
    <row r="62" spans="1:6" ht="6" customHeight="1" x14ac:dyDescent="0.25">
      <c r="A62" s="34"/>
      <c r="B62" s="34"/>
      <c r="C62" s="325"/>
      <c r="D62" s="326"/>
      <c r="E62" s="326"/>
      <c r="F62" s="326"/>
    </row>
    <row r="63" spans="1:6" ht="16.149999999999999" customHeight="1" x14ac:dyDescent="0.25">
      <c r="A63" s="467" t="s">
        <v>2488</v>
      </c>
      <c r="B63" s="467"/>
      <c r="C63" s="468"/>
      <c r="D63" s="469"/>
      <c r="E63" s="469"/>
      <c r="F63" s="469"/>
    </row>
    <row r="64" spans="1:6" x14ac:dyDescent="0.25">
      <c r="A64" s="45" t="s">
        <v>7</v>
      </c>
      <c r="B64" s="45" t="s">
        <v>8</v>
      </c>
      <c r="C64" s="328" t="s">
        <v>9</v>
      </c>
      <c r="D64" s="46" t="s">
        <v>2482</v>
      </c>
      <c r="E64" s="46" t="s">
        <v>2483</v>
      </c>
      <c r="F64" s="46"/>
    </row>
    <row r="65" spans="1:6" x14ac:dyDescent="0.25">
      <c r="A65" s="329" t="str">
        <f>'[5]6'!A58</f>
        <v>MKN 100-030</v>
      </c>
      <c r="B65" s="330" t="str">
        <f>'[5]6'!B58</f>
        <v>Thru 10 segments</v>
      </c>
      <c r="C65" s="331" t="str">
        <f>'[5]6'!C58</f>
        <v>LYD / Day</v>
      </c>
      <c r="D65" s="332">
        <f>'[5]6'!D58</f>
        <v>450</v>
      </c>
      <c r="E65" s="332">
        <f>'[5]6'!E58</f>
        <v>70</v>
      </c>
      <c r="F65" s="332"/>
    </row>
    <row r="66" spans="1:6" x14ac:dyDescent="0.25">
      <c r="A66" s="337" t="str">
        <f>'[5]6'!A59</f>
        <v>MKN 100-031</v>
      </c>
      <c r="B66" s="338" t="str">
        <f>'[5]6'!B59</f>
        <v>Larger than 10 segments</v>
      </c>
      <c r="C66" s="339" t="str">
        <f>'[5]6'!C59</f>
        <v>LYD / Day</v>
      </c>
      <c r="D66" s="340">
        <f>'[5]6'!D59</f>
        <v>650</v>
      </c>
      <c r="E66" s="340">
        <f>'[5]6'!E59</f>
        <v>120</v>
      </c>
      <c r="F66" s="340"/>
    </row>
    <row r="67" spans="1:6" ht="6" customHeight="1" x14ac:dyDescent="0.25">
      <c r="A67" s="34"/>
      <c r="B67" s="34"/>
      <c r="C67" s="325"/>
      <c r="D67" s="326"/>
      <c r="E67" s="326"/>
      <c r="F67" s="326"/>
    </row>
    <row r="68" spans="1:6" ht="16.149999999999999" customHeight="1" x14ac:dyDescent="0.25">
      <c r="A68" s="467" t="s">
        <v>2489</v>
      </c>
      <c r="B68" s="467"/>
      <c r="C68" s="468"/>
      <c r="D68" s="469"/>
      <c r="E68" s="469"/>
      <c r="F68" s="469"/>
    </row>
    <row r="69" spans="1:6" x14ac:dyDescent="0.25">
      <c r="A69" s="45" t="s">
        <v>7</v>
      </c>
      <c r="B69" s="45" t="s">
        <v>8</v>
      </c>
      <c r="C69" s="328" t="s">
        <v>9</v>
      </c>
      <c r="D69" s="46" t="s">
        <v>2481</v>
      </c>
      <c r="E69" s="46"/>
      <c r="F69" s="46"/>
    </row>
    <row r="70" spans="1:6" x14ac:dyDescent="0.25">
      <c r="A70" s="329" t="str">
        <f>'[5]7'!A4</f>
        <v>MKN 100-032</v>
      </c>
      <c r="B70" s="330" t="str">
        <f>'[5]7'!B4</f>
        <v>Casing Thru 6-5/8" OD</v>
      </c>
      <c r="C70" s="331" t="str">
        <f>'[5]7'!C4</f>
        <v>PER CUT</v>
      </c>
      <c r="D70" s="332">
        <f>'[5]7'!D4</f>
        <v>3900</v>
      </c>
      <c r="E70" s="332"/>
      <c r="F70" s="332"/>
    </row>
    <row r="71" spans="1:6" x14ac:dyDescent="0.25">
      <c r="A71" s="337" t="str">
        <f>'[5]7'!A5</f>
        <v>MKN 100-033</v>
      </c>
      <c r="B71" s="338" t="str">
        <f>'[5]7'!B5</f>
        <v>Casing Thru 8-5/8"OD</v>
      </c>
      <c r="C71" s="339" t="str">
        <f>'[5]7'!C5</f>
        <v>PER CUT</v>
      </c>
      <c r="D71" s="340">
        <f>'[5]7'!D5</f>
        <v>4950</v>
      </c>
      <c r="E71" s="340"/>
      <c r="F71" s="340"/>
    </row>
    <row r="72" spans="1:6" ht="6" customHeight="1" x14ac:dyDescent="0.25">
      <c r="A72" s="34"/>
      <c r="B72" s="34"/>
      <c r="C72" s="325"/>
      <c r="D72" s="326"/>
      <c r="E72" s="326"/>
      <c r="F72" s="326"/>
    </row>
    <row r="73" spans="1:6" ht="16.149999999999999" customHeight="1" x14ac:dyDescent="0.25">
      <c r="A73" s="467" t="s">
        <v>2490</v>
      </c>
      <c r="B73" s="467"/>
      <c r="C73" s="468"/>
      <c r="D73" s="469"/>
      <c r="E73" s="469"/>
      <c r="F73" s="469"/>
    </row>
    <row r="74" spans="1:6" x14ac:dyDescent="0.25">
      <c r="A74" s="45" t="s">
        <v>7</v>
      </c>
      <c r="B74" s="45" t="s">
        <v>8</v>
      </c>
      <c r="C74" s="328" t="s">
        <v>9</v>
      </c>
      <c r="D74" s="46" t="s">
        <v>2481</v>
      </c>
      <c r="E74" s="46"/>
      <c r="F74" s="46"/>
    </row>
    <row r="75" spans="1:6" x14ac:dyDescent="0.25">
      <c r="A75" s="329" t="str">
        <f>'[5]7'!A7</f>
        <v>MKN 100-034</v>
      </c>
      <c r="B75" s="330" t="str">
        <f>'[5]7'!B7</f>
        <v>Mechanical cutter (Any size)</v>
      </c>
      <c r="C75" s="331" t="str">
        <f>'[5]7'!C7</f>
        <v>PER CUT</v>
      </c>
      <c r="D75" s="332">
        <f>'[5]7'!D7</f>
        <v>6000</v>
      </c>
      <c r="E75" s="332"/>
      <c r="F75" s="332"/>
    </row>
    <row r="76" spans="1:6" x14ac:dyDescent="0.25">
      <c r="A76" s="337" t="str">
        <f>'[5]7'!A8</f>
        <v>MKN 100-035</v>
      </c>
      <c r="B76" s="338" t="str">
        <f>'[5]7'!B8</f>
        <v>Hydraulic or washover cutter (Any size)</v>
      </c>
      <c r="C76" s="339" t="str">
        <f>'[5]7'!C8</f>
        <v>PER CUT</v>
      </c>
      <c r="D76" s="340">
        <f>'[5]7'!D8</f>
        <v>6100</v>
      </c>
      <c r="E76" s="340"/>
      <c r="F76" s="340"/>
    </row>
    <row r="77" spans="1:6" ht="6" customHeight="1" x14ac:dyDescent="0.25">
      <c r="A77" s="34"/>
      <c r="B77" s="34"/>
      <c r="C77" s="325"/>
      <c r="D77" s="326"/>
      <c r="E77" s="326"/>
      <c r="F77" s="326"/>
    </row>
    <row r="78" spans="1:6" ht="16.149999999999999" customHeight="1" x14ac:dyDescent="0.25">
      <c r="A78" s="467" t="s">
        <v>2491</v>
      </c>
      <c r="B78" s="467"/>
      <c r="C78" s="468"/>
      <c r="D78" s="469"/>
      <c r="E78" s="469"/>
      <c r="F78" s="469"/>
    </row>
    <row r="79" spans="1:6" x14ac:dyDescent="0.25">
      <c r="A79" s="45" t="s">
        <v>7</v>
      </c>
      <c r="B79" s="45" t="s">
        <v>8</v>
      </c>
      <c r="C79" s="328" t="s">
        <v>9</v>
      </c>
      <c r="D79" s="46" t="s">
        <v>2481</v>
      </c>
      <c r="E79" s="46"/>
      <c r="F79" s="46"/>
    </row>
    <row r="80" spans="1:6" x14ac:dyDescent="0.25">
      <c r="A80" s="329" t="str">
        <f>'[5]7'!A12</f>
        <v>MKN-100-36</v>
      </c>
      <c r="B80" s="330" t="str">
        <f>'[5]7'!B12</f>
        <v>Thr u 9-5/8"OD OR Smaller</v>
      </c>
      <c r="C80" s="331" t="str">
        <f>'[5]7'!C12</f>
        <v>PER CUT</v>
      </c>
      <c r="D80" s="332">
        <f>'[5]7'!D12</f>
        <v>5000</v>
      </c>
      <c r="E80" s="332"/>
      <c r="F80" s="332"/>
    </row>
    <row r="81" spans="1:6" x14ac:dyDescent="0.25">
      <c r="A81" s="333" t="str">
        <f>'[5]7'!A13</f>
        <v>MKN-100-37</v>
      </c>
      <c r="B81" s="334" t="str">
        <f>'[5]7'!B13</f>
        <v>Thr u 10-3/4"OD</v>
      </c>
      <c r="C81" s="335" t="str">
        <f>'[5]7'!C13</f>
        <v>PER CUT</v>
      </c>
      <c r="D81" s="336">
        <f>'[5]7'!D13</f>
        <v>6100</v>
      </c>
      <c r="E81" s="336"/>
      <c r="F81" s="336"/>
    </row>
    <row r="82" spans="1:6" x14ac:dyDescent="0.25">
      <c r="A82" s="333" t="str">
        <f>'[5]7'!A14</f>
        <v>MKN-100-38</v>
      </c>
      <c r="B82" s="334" t="str">
        <f>'[5]7'!B14</f>
        <v>Thr u 13-3/8"OD</v>
      </c>
      <c r="C82" s="335" t="str">
        <f>'[5]7'!C14</f>
        <v>PER CUT</v>
      </c>
      <c r="D82" s="336">
        <f>'[5]7'!D14</f>
        <v>7800</v>
      </c>
      <c r="E82" s="336"/>
      <c r="F82" s="336"/>
    </row>
    <row r="83" spans="1:6" x14ac:dyDescent="0.25">
      <c r="A83" s="333" t="str">
        <f>'[5]7'!A15</f>
        <v>MKN-100-39</v>
      </c>
      <c r="B83" s="334" t="str">
        <f>'[5]7'!B15</f>
        <v>Thr u 18"OD</v>
      </c>
      <c r="C83" s="335" t="str">
        <f>'[5]7'!C15</f>
        <v>PER CUT</v>
      </c>
      <c r="D83" s="336">
        <f>'[5]7'!D15</f>
        <v>8150</v>
      </c>
      <c r="E83" s="336"/>
      <c r="F83" s="336"/>
    </row>
    <row r="84" spans="1:6" x14ac:dyDescent="0.25">
      <c r="A84" s="333" t="str">
        <f>'[5]7'!A16</f>
        <v>MKN-100-40</v>
      </c>
      <c r="B84" s="334" t="str">
        <f>'[5]7'!B16</f>
        <v>Thr u 26"OD</v>
      </c>
      <c r="C84" s="335" t="str">
        <f>'[5]7'!C16</f>
        <v>PER CUT</v>
      </c>
      <c r="D84" s="336">
        <f>'[5]7'!D16</f>
        <v>11910</v>
      </c>
      <c r="E84" s="336"/>
      <c r="F84" s="336"/>
    </row>
    <row r="85" spans="1:6" x14ac:dyDescent="0.25">
      <c r="A85" s="333" t="str">
        <f>'[5]7'!A17</f>
        <v>MKN-100-41</v>
      </c>
      <c r="B85" s="334" t="str">
        <f>'[5]7'!B17</f>
        <v>Thr u 30"OD</v>
      </c>
      <c r="C85" s="335" t="str">
        <f>'[5]7'!C17</f>
        <v>PER CUT</v>
      </c>
      <c r="D85" s="336">
        <f>'[5]7'!D17</f>
        <v>8120</v>
      </c>
      <c r="E85" s="336"/>
      <c r="F85" s="336"/>
    </row>
    <row r="86" spans="1:6" x14ac:dyDescent="0.25">
      <c r="A86" s="333" t="str">
        <f>'[5]7'!A18</f>
        <v>MKN-100-42</v>
      </c>
      <c r="B86" s="334" t="str">
        <f>'[5]7'!B18</f>
        <v>Thr u 36"OD</v>
      </c>
      <c r="C86" s="335" t="str">
        <f>'[5]7'!C18</f>
        <v>PER CUT</v>
      </c>
      <c r="D86" s="336">
        <f>'[5]7'!D18</f>
        <v>9620</v>
      </c>
      <c r="E86" s="336"/>
      <c r="F86" s="336"/>
    </row>
    <row r="87" spans="1:6" x14ac:dyDescent="0.25">
      <c r="A87" s="337" t="str">
        <f>'[5]7'!A19</f>
        <v>MKN-100-43</v>
      </c>
      <c r="B87" s="338" t="str">
        <f>'[5]7'!B19</f>
        <v>Thr u 42"OD</v>
      </c>
      <c r="C87" s="339" t="str">
        <f>'[5]7'!C19</f>
        <v>PER CUT</v>
      </c>
      <c r="D87" s="340">
        <f>'[5]7'!D19</f>
        <v>12870</v>
      </c>
      <c r="E87" s="340"/>
      <c r="F87" s="340"/>
    </row>
    <row r="88" spans="1:6" ht="6" customHeight="1" x14ac:dyDescent="0.25">
      <c r="A88" s="34"/>
      <c r="B88" s="34"/>
      <c r="C88" s="325"/>
      <c r="D88" s="326"/>
      <c r="E88" s="326"/>
      <c r="F88" s="326"/>
    </row>
    <row r="89" spans="1:6" ht="16.149999999999999" customHeight="1" x14ac:dyDescent="0.25">
      <c r="A89" s="467" t="s">
        <v>2492</v>
      </c>
      <c r="B89" s="467"/>
      <c r="C89" s="468"/>
      <c r="D89" s="469"/>
      <c r="E89" s="469"/>
      <c r="F89" s="469"/>
    </row>
    <row r="90" spans="1:6" x14ac:dyDescent="0.25">
      <c r="A90" s="45" t="s">
        <v>7</v>
      </c>
      <c r="B90" s="45" t="s">
        <v>8</v>
      </c>
      <c r="C90" s="328" t="s">
        <v>9</v>
      </c>
      <c r="D90" s="46" t="s">
        <v>2482</v>
      </c>
      <c r="E90" s="46" t="s">
        <v>2483</v>
      </c>
      <c r="F90" s="46"/>
    </row>
    <row r="91" spans="1:6" x14ac:dyDescent="0.25">
      <c r="A91" s="329" t="str">
        <f>'[5]7'!A24</f>
        <v>MKN-100-45</v>
      </c>
      <c r="B91" s="330" t="str">
        <f>'[5]7'!B24</f>
        <v>Thru 6-1/2" OD</v>
      </c>
      <c r="C91" s="331" t="str">
        <f>'[5]7'!C24</f>
        <v>Per Day</v>
      </c>
      <c r="D91" s="332">
        <f>'[5]7'!D24</f>
        <v>4050</v>
      </c>
      <c r="E91" s="332">
        <f>'[5]7'!E24</f>
        <v>2300</v>
      </c>
      <c r="F91" s="332"/>
    </row>
    <row r="92" spans="1:6" x14ac:dyDescent="0.25">
      <c r="A92" s="337" t="str">
        <f>'[5]7'!A25</f>
        <v>MKN-100-46</v>
      </c>
      <c r="B92" s="338" t="str">
        <f>'[5]7'!B25</f>
        <v>Thru 8" OD</v>
      </c>
      <c r="C92" s="339" t="str">
        <f>'[5]7'!C25</f>
        <v>Per Day</v>
      </c>
      <c r="D92" s="340">
        <f>'[5]7'!D25</f>
        <v>5110</v>
      </c>
      <c r="E92" s="340">
        <f>'[5]7'!E25</f>
        <v>3150</v>
      </c>
      <c r="F92" s="340"/>
    </row>
    <row r="93" spans="1:6" ht="6" customHeight="1" x14ac:dyDescent="0.25">
      <c r="A93" s="34"/>
      <c r="B93" s="34"/>
      <c r="C93" s="325"/>
      <c r="D93" s="326"/>
      <c r="E93" s="326"/>
      <c r="F93" s="326"/>
    </row>
    <row r="94" spans="1:6" ht="16.149999999999999" customHeight="1" x14ac:dyDescent="0.25">
      <c r="A94" s="467" t="s">
        <v>25</v>
      </c>
      <c r="B94" s="467"/>
      <c r="C94" s="468"/>
      <c r="D94" s="469"/>
      <c r="E94" s="469"/>
      <c r="F94" s="469"/>
    </row>
    <row r="95" spans="1:6" x14ac:dyDescent="0.25">
      <c r="A95" s="45" t="s">
        <v>7</v>
      </c>
      <c r="B95" s="45" t="s">
        <v>8</v>
      </c>
      <c r="C95" s="328" t="s">
        <v>9</v>
      </c>
      <c r="D95" s="46" t="s">
        <v>2482</v>
      </c>
      <c r="E95" s="46" t="s">
        <v>2483</v>
      </c>
      <c r="F95" s="46"/>
    </row>
    <row r="96" spans="1:6" x14ac:dyDescent="0.25">
      <c r="A96" s="329" t="str">
        <f>'[5]7'!A27</f>
        <v>MKN-100-47</v>
      </c>
      <c r="B96" s="330" t="str">
        <f>'[5]7'!B27</f>
        <v>Thru 4-1/4"OD</v>
      </c>
      <c r="C96" s="331" t="str">
        <f>'[5]7'!C27</f>
        <v>Per Day</v>
      </c>
      <c r="D96" s="332">
        <f>'[5]7'!D27</f>
        <v>2150</v>
      </c>
      <c r="E96" s="332">
        <f>'[5]7'!E27</f>
        <v>1100</v>
      </c>
      <c r="F96" s="332"/>
    </row>
    <row r="97" spans="1:6" x14ac:dyDescent="0.25">
      <c r="A97" s="337" t="str">
        <f>'[5]7'!A28</f>
        <v>MKN-100-48</v>
      </c>
      <c r="B97" s="338" t="str">
        <f>'[5]7'!B28</f>
        <v>Thru 6-1/4"OD</v>
      </c>
      <c r="C97" s="339" t="str">
        <f>'[5]7'!C28</f>
        <v>Per Day</v>
      </c>
      <c r="D97" s="340">
        <f>'[5]7'!D28</f>
        <v>3000</v>
      </c>
      <c r="E97" s="340">
        <f>'[5]7'!E28</f>
        <v>1510</v>
      </c>
      <c r="F97" s="340"/>
    </row>
    <row r="98" spans="1:6" ht="6" customHeight="1" x14ac:dyDescent="0.25">
      <c r="A98" s="34"/>
      <c r="B98" s="34"/>
      <c r="C98" s="325"/>
      <c r="D98" s="326"/>
      <c r="E98" s="326"/>
      <c r="F98" s="326"/>
    </row>
    <row r="99" spans="1:6" ht="16.149999999999999" customHeight="1" x14ac:dyDescent="0.25">
      <c r="A99" s="467" t="s">
        <v>2493</v>
      </c>
      <c r="B99" s="467"/>
      <c r="C99" s="468"/>
      <c r="D99" s="469"/>
      <c r="E99" s="469"/>
      <c r="F99" s="469"/>
    </row>
    <row r="100" spans="1:6" x14ac:dyDescent="0.25">
      <c r="A100" s="45" t="s">
        <v>7</v>
      </c>
      <c r="B100" s="45" t="s">
        <v>8</v>
      </c>
      <c r="C100" s="328" t="s">
        <v>9</v>
      </c>
      <c r="D100" s="46" t="s">
        <v>2482</v>
      </c>
      <c r="E100" s="46" t="s">
        <v>2483</v>
      </c>
      <c r="F100" s="46"/>
    </row>
    <row r="101" spans="1:6" x14ac:dyDescent="0.25">
      <c r="A101" s="329" t="str">
        <f>'[5]7'!A33</f>
        <v>MKN 100-049</v>
      </c>
      <c r="B101" s="330" t="str">
        <f>'[5]7'!B33</f>
        <v>3-1/2" conn.</v>
      </c>
      <c r="C101" s="331" t="str">
        <f>'[5]7'!C33</f>
        <v>Per Day</v>
      </c>
      <c r="D101" s="332">
        <f>'[5]7'!D33</f>
        <v>610</v>
      </c>
      <c r="E101" s="332">
        <f>'[5]7'!E33</f>
        <v>400</v>
      </c>
      <c r="F101" s="332"/>
    </row>
    <row r="102" spans="1:6" x14ac:dyDescent="0.25">
      <c r="A102" s="337" t="str">
        <f>'[5]7'!A34</f>
        <v>MKN 100-050</v>
      </c>
      <c r="B102" s="338" t="str">
        <f>'[5]7'!B34</f>
        <v>6-5/8" conn. And smaller</v>
      </c>
      <c r="C102" s="339" t="str">
        <f>'[5]7'!C34</f>
        <v>Per Day</v>
      </c>
      <c r="D102" s="340">
        <f>'[5]7'!D34</f>
        <v>790</v>
      </c>
      <c r="E102" s="340">
        <f>'[5]7'!E34</f>
        <v>570</v>
      </c>
      <c r="F102" s="340"/>
    </row>
    <row r="103" spans="1:6" ht="6" customHeight="1" x14ac:dyDescent="0.25">
      <c r="A103" s="34"/>
      <c r="B103" s="34"/>
      <c r="C103" s="325"/>
      <c r="D103" s="326"/>
      <c r="E103" s="326"/>
      <c r="F103" s="326"/>
    </row>
    <row r="104" spans="1:6" ht="16.149999999999999" customHeight="1" x14ac:dyDescent="0.25">
      <c r="A104" s="467" t="s">
        <v>2494</v>
      </c>
      <c r="B104" s="467"/>
      <c r="C104" s="468"/>
      <c r="D104" s="469"/>
      <c r="E104" s="469"/>
      <c r="F104" s="469"/>
    </row>
    <row r="105" spans="1:6" x14ac:dyDescent="0.25">
      <c r="A105" s="45" t="s">
        <v>7</v>
      </c>
      <c r="B105" s="45" t="s">
        <v>8</v>
      </c>
      <c r="C105" s="328" t="s">
        <v>9</v>
      </c>
      <c r="D105" s="46" t="s">
        <v>2482</v>
      </c>
      <c r="E105" s="46" t="s">
        <v>2483</v>
      </c>
      <c r="F105" s="46"/>
    </row>
    <row r="106" spans="1:6" x14ac:dyDescent="0.25">
      <c r="A106" s="341" t="str">
        <f>'[5]7'!A36</f>
        <v>MKN 100-051</v>
      </c>
      <c r="B106" s="342" t="str">
        <f>'[5]7'!B36</f>
        <v>6-5/8" conn. And smaller</v>
      </c>
      <c r="C106" s="343" t="str">
        <f>'[5]7'!C36</f>
        <v>Per Day</v>
      </c>
      <c r="D106" s="344">
        <f>'[5]7'!D36</f>
        <v>1420</v>
      </c>
      <c r="E106" s="344">
        <f>'[5]7'!E36</f>
        <v>1250</v>
      </c>
      <c r="F106" s="344"/>
    </row>
    <row r="107" spans="1:6" ht="6" customHeight="1" x14ac:dyDescent="0.25">
      <c r="A107" s="34"/>
      <c r="B107" s="34"/>
      <c r="C107" s="325"/>
      <c r="D107" s="326"/>
      <c r="E107" s="326"/>
      <c r="F107" s="326"/>
    </row>
    <row r="108" spans="1:6" ht="16.149999999999999" customHeight="1" x14ac:dyDescent="0.25">
      <c r="A108" s="467" t="s">
        <v>1119</v>
      </c>
      <c r="B108" s="467"/>
      <c r="C108" s="468"/>
      <c r="D108" s="469"/>
      <c r="E108" s="469"/>
      <c r="F108" s="469"/>
    </row>
    <row r="109" spans="1:6" x14ac:dyDescent="0.25">
      <c r="A109" s="45" t="s">
        <v>7</v>
      </c>
      <c r="B109" s="45" t="s">
        <v>8</v>
      </c>
      <c r="C109" s="328" t="s">
        <v>9</v>
      </c>
      <c r="D109" s="46" t="s">
        <v>2482</v>
      </c>
      <c r="E109" s="46" t="s">
        <v>2483</v>
      </c>
      <c r="F109" s="46"/>
    </row>
    <row r="110" spans="1:6" x14ac:dyDescent="0.25">
      <c r="A110" s="341" t="str">
        <f>'[5]7'!A38</f>
        <v>MFT 100-052</v>
      </c>
      <c r="B110" s="342" t="str">
        <f>'[5]7'!B38</f>
        <v>All sizes</v>
      </c>
      <c r="C110" s="343" t="str">
        <f>'[5]7'!C38</f>
        <v>Per Day</v>
      </c>
      <c r="D110" s="344">
        <f>'[5]7'!D38</f>
        <v>310</v>
      </c>
      <c r="E110" s="344">
        <f>'[5]7'!E38</f>
        <v>200</v>
      </c>
      <c r="F110" s="344"/>
    </row>
    <row r="111" spans="1:6" ht="6" customHeight="1" x14ac:dyDescent="0.25">
      <c r="A111" s="34"/>
      <c r="B111" s="34"/>
      <c r="C111" s="325"/>
      <c r="D111" s="326"/>
      <c r="E111" s="326"/>
      <c r="F111" s="326"/>
    </row>
    <row r="112" spans="1:6" ht="16.149999999999999" customHeight="1" x14ac:dyDescent="0.25">
      <c r="A112" s="467" t="s">
        <v>2495</v>
      </c>
      <c r="B112" s="467"/>
      <c r="C112" s="468"/>
      <c r="D112" s="469"/>
      <c r="E112" s="469"/>
      <c r="F112" s="469"/>
    </row>
    <row r="113" spans="1:6" x14ac:dyDescent="0.25">
      <c r="A113" s="45" t="s">
        <v>7</v>
      </c>
      <c r="B113" s="45" t="s">
        <v>8</v>
      </c>
      <c r="C113" s="328" t="s">
        <v>9</v>
      </c>
      <c r="D113" s="46" t="s">
        <v>2482</v>
      </c>
      <c r="E113" s="46" t="s">
        <v>2483</v>
      </c>
      <c r="F113" s="46"/>
    </row>
    <row r="114" spans="1:6" x14ac:dyDescent="0.25">
      <c r="A114" s="329" t="str">
        <f>'[5]7'!A40</f>
        <v>MKN 100-053</v>
      </c>
      <c r="B114" s="330" t="str">
        <f>'[5]7'!B40</f>
        <v>Thru 2-1/2"OD</v>
      </c>
      <c r="C114" s="331" t="str">
        <f>'[5]7'!C40</f>
        <v>Per Day</v>
      </c>
      <c r="D114" s="332">
        <f>'[5]7'!D40</f>
        <v>480</v>
      </c>
      <c r="E114" s="332">
        <f>'[5]7'!E40</f>
        <v>390</v>
      </c>
      <c r="F114" s="332"/>
    </row>
    <row r="115" spans="1:6" x14ac:dyDescent="0.25">
      <c r="A115" s="333" t="str">
        <f>'[5]7'!A41</f>
        <v>MKN 100-054</v>
      </c>
      <c r="B115" s="334" t="str">
        <f>'[5]7'!B41</f>
        <v>Thru 4-1/2"OD</v>
      </c>
      <c r="C115" s="335" t="str">
        <f>'[5]7'!C41</f>
        <v>Per Day</v>
      </c>
      <c r="D115" s="336">
        <f>'[5]7'!D41</f>
        <v>780</v>
      </c>
      <c r="E115" s="336">
        <f>'[5]7'!E41</f>
        <v>600</v>
      </c>
      <c r="F115" s="336"/>
    </row>
    <row r="116" spans="1:6" x14ac:dyDescent="0.25">
      <c r="A116" s="333" t="str">
        <f>'[5]7'!A42</f>
        <v>MKN 100-055</v>
      </c>
      <c r="B116" s="334" t="str">
        <f>'[5]7'!B42</f>
        <v>Thru 6-1/2"OD</v>
      </c>
      <c r="C116" s="335" t="str">
        <f>'[5]7'!C42</f>
        <v>Per Day</v>
      </c>
      <c r="D116" s="336">
        <f>'[5]7'!D42</f>
        <v>1250</v>
      </c>
      <c r="E116" s="336">
        <f>'[5]7'!E42</f>
        <v>990</v>
      </c>
      <c r="F116" s="336"/>
    </row>
    <row r="117" spans="1:6" x14ac:dyDescent="0.25">
      <c r="A117" s="333" t="str">
        <f>'[5]7'!A43</f>
        <v>MKN 100-056</v>
      </c>
      <c r="B117" s="334" t="str">
        <f>'[5]7'!B43</f>
        <v>Thru 8-1/2"OD</v>
      </c>
      <c r="C117" s="335" t="str">
        <f>'[5]7'!C43</f>
        <v>Per Day</v>
      </c>
      <c r="D117" s="336">
        <f>'[5]7'!D43</f>
        <v>1450</v>
      </c>
      <c r="E117" s="336">
        <f>'[5]7'!E43</f>
        <v>1250</v>
      </c>
      <c r="F117" s="336"/>
    </row>
    <row r="118" spans="1:6" x14ac:dyDescent="0.25">
      <c r="A118" s="337" t="str">
        <f>'[5]7'!A44</f>
        <v>MKN 100-057</v>
      </c>
      <c r="B118" s="338" t="str">
        <f>'[5]7'!B44</f>
        <v>Thru 11-1/2"OD</v>
      </c>
      <c r="C118" s="339" t="str">
        <f>'[5]7'!C44</f>
        <v>Per Day</v>
      </c>
      <c r="D118" s="340">
        <f>'[5]7'!D44</f>
        <v>2050</v>
      </c>
      <c r="E118" s="340">
        <f>'[5]7'!E44</f>
        <v>1850</v>
      </c>
      <c r="F118" s="340"/>
    </row>
    <row r="119" spans="1:6" ht="6" customHeight="1" x14ac:dyDescent="0.25">
      <c r="A119" s="34"/>
      <c r="B119" s="34"/>
      <c r="C119" s="325"/>
      <c r="D119" s="326"/>
      <c r="E119" s="326"/>
      <c r="F119" s="326"/>
    </row>
    <row r="120" spans="1:6" ht="16.149999999999999" customHeight="1" x14ac:dyDescent="0.25">
      <c r="A120" s="467" t="s">
        <v>2496</v>
      </c>
      <c r="B120" s="467"/>
      <c r="C120" s="468"/>
      <c r="D120" s="469"/>
      <c r="E120" s="469"/>
      <c r="F120" s="469"/>
    </row>
    <row r="121" spans="1:6" x14ac:dyDescent="0.25">
      <c r="A121" s="45" t="s">
        <v>7</v>
      </c>
      <c r="B121" s="45" t="s">
        <v>8</v>
      </c>
      <c r="C121" s="328" t="s">
        <v>9</v>
      </c>
      <c r="D121" s="46" t="s">
        <v>2482</v>
      </c>
      <c r="E121" s="46" t="s">
        <v>2483</v>
      </c>
      <c r="F121" s="46"/>
    </row>
    <row r="122" spans="1:6" x14ac:dyDescent="0.25">
      <c r="A122" s="329" t="str">
        <f>'[5]8'!A6</f>
        <v>MKN 100-058</v>
      </c>
      <c r="B122" s="330" t="str">
        <f>'[5]8'!B6</f>
        <v>Thru 4 1/4" OD</v>
      </c>
      <c r="C122" s="331" t="str">
        <f>'[5]8'!C6</f>
        <v>Per Tool</v>
      </c>
      <c r="D122" s="332">
        <f>'[5]8'!D6</f>
        <v>7100</v>
      </c>
      <c r="E122" s="332">
        <f>'[5]8'!E6</f>
        <v>250</v>
      </c>
      <c r="F122" s="332"/>
    </row>
    <row r="123" spans="1:6" x14ac:dyDescent="0.25">
      <c r="A123" s="333" t="str">
        <f>'[5]8'!A7</f>
        <v>MKN 100-059</v>
      </c>
      <c r="B123" s="334" t="str">
        <f>'[5]8'!B7</f>
        <v>Thru 6 1/8" OD</v>
      </c>
      <c r="C123" s="335" t="str">
        <f>'[5]8'!C7</f>
        <v>Per Tool</v>
      </c>
      <c r="D123" s="336">
        <f>'[5]8'!D7</f>
        <v>8500</v>
      </c>
      <c r="E123" s="336">
        <f>'[5]8'!E7</f>
        <v>320</v>
      </c>
      <c r="F123" s="336"/>
    </row>
    <row r="124" spans="1:6" x14ac:dyDescent="0.25">
      <c r="A124" s="333" t="str">
        <f>'[5]8'!A8</f>
        <v>MKN 100-060</v>
      </c>
      <c r="B124" s="334" t="str">
        <f>'[5]8'!B8</f>
        <v>Thru 7 3/8" OD</v>
      </c>
      <c r="C124" s="335" t="str">
        <f>'[5]8'!C8</f>
        <v>Per Tool</v>
      </c>
      <c r="D124" s="336">
        <f>'[5]8'!D8</f>
        <v>10200</v>
      </c>
      <c r="E124" s="336">
        <f>'[5]8'!E8</f>
        <v>370</v>
      </c>
      <c r="F124" s="336"/>
    </row>
    <row r="125" spans="1:6" x14ac:dyDescent="0.25">
      <c r="A125" s="333" t="str">
        <f>'[5]8'!A9</f>
        <v>MKN 100-061</v>
      </c>
      <c r="B125" s="334" t="str">
        <f>'[5]8'!B9</f>
        <v>Thru 8 3/8" OD</v>
      </c>
      <c r="C125" s="335" t="str">
        <f>'[5]8'!C9</f>
        <v>Per Tool</v>
      </c>
      <c r="D125" s="336">
        <f>'[5]8'!D9</f>
        <v>12100</v>
      </c>
      <c r="E125" s="336">
        <f>'[5]8'!E9</f>
        <v>420</v>
      </c>
      <c r="F125" s="336"/>
    </row>
    <row r="126" spans="1:6" x14ac:dyDescent="0.25">
      <c r="A126" s="333" t="str">
        <f>'[5]8'!A10</f>
        <v>MKN 100-062</v>
      </c>
      <c r="B126" s="334" t="str">
        <f>'[5]8'!B10</f>
        <v>Thru 10 5/8" OD</v>
      </c>
      <c r="C126" s="335" t="str">
        <f>'[5]8'!C10</f>
        <v>Per Tool</v>
      </c>
      <c r="D126" s="336">
        <f>'[5]8'!D10</f>
        <v>13700</v>
      </c>
      <c r="E126" s="336">
        <f>'[5]8'!E10</f>
        <v>450</v>
      </c>
      <c r="F126" s="336"/>
    </row>
    <row r="127" spans="1:6" x14ac:dyDescent="0.25">
      <c r="A127" s="337" t="str">
        <f>'[5]8'!A11</f>
        <v>MKN 100-063</v>
      </c>
      <c r="B127" s="338" t="str">
        <f>'[5]8'!B11</f>
        <v>Thru 17 1/2" OD</v>
      </c>
      <c r="C127" s="339" t="str">
        <f>'[5]8'!C11</f>
        <v>Per Tool</v>
      </c>
      <c r="D127" s="340">
        <f>'[5]8'!D11</f>
        <v>19500</v>
      </c>
      <c r="E127" s="340">
        <f>'[5]8'!E11</f>
        <v>550</v>
      </c>
      <c r="F127" s="340"/>
    </row>
    <row r="128" spans="1:6" ht="6" customHeight="1" x14ac:dyDescent="0.25">
      <c r="A128" s="34"/>
      <c r="B128" s="34"/>
      <c r="C128" s="325"/>
      <c r="D128" s="326"/>
      <c r="E128" s="326"/>
      <c r="F128" s="326"/>
    </row>
    <row r="129" spans="1:6" ht="16.149999999999999" customHeight="1" x14ac:dyDescent="0.25">
      <c r="A129" s="467" t="s">
        <v>2497</v>
      </c>
      <c r="B129" s="467"/>
      <c r="C129" s="468"/>
      <c r="D129" s="469"/>
      <c r="E129" s="469"/>
      <c r="F129" s="469"/>
    </row>
    <row r="130" spans="1:6" x14ac:dyDescent="0.25">
      <c r="A130" s="45" t="s">
        <v>7</v>
      </c>
      <c r="B130" s="45" t="s">
        <v>8</v>
      </c>
      <c r="C130" s="328" t="s">
        <v>9</v>
      </c>
      <c r="D130" s="46" t="s">
        <v>2481</v>
      </c>
      <c r="E130" s="46"/>
      <c r="F130" s="46"/>
    </row>
    <row r="131" spans="1:6" x14ac:dyDescent="0.25">
      <c r="A131" s="341" t="str">
        <f>'[5]8'!A15</f>
        <v>MKN 100-064</v>
      </c>
      <c r="B131" s="342" t="str">
        <f>'[5]8'!B15</f>
        <v xml:space="preserve">ALL Sizes </v>
      </c>
      <c r="C131" s="343" t="str">
        <f>'[5]8'!C15</f>
        <v>PER RUN</v>
      </c>
      <c r="D131" s="344">
        <f>'[5]8'!D15</f>
        <v>1250</v>
      </c>
      <c r="E131" s="344"/>
      <c r="F131" s="344"/>
    </row>
    <row r="132" spans="1:6" ht="6" customHeight="1" x14ac:dyDescent="0.25">
      <c r="A132" s="34"/>
      <c r="B132" s="34"/>
      <c r="C132" s="325"/>
      <c r="D132" s="326"/>
      <c r="E132" s="326"/>
      <c r="F132" s="326"/>
    </row>
    <row r="133" spans="1:6" ht="16.149999999999999" customHeight="1" x14ac:dyDescent="0.25">
      <c r="A133" s="467" t="s">
        <v>2498</v>
      </c>
      <c r="B133" s="467"/>
      <c r="C133" s="468"/>
      <c r="D133" s="469"/>
      <c r="E133" s="469"/>
      <c r="F133" s="469"/>
    </row>
    <row r="134" spans="1:6" x14ac:dyDescent="0.25">
      <c r="A134" s="45" t="s">
        <v>7</v>
      </c>
      <c r="B134" s="45" t="s">
        <v>8</v>
      </c>
      <c r="C134" s="328" t="s">
        <v>9</v>
      </c>
      <c r="D134" s="46" t="s">
        <v>2481</v>
      </c>
      <c r="E134" s="46"/>
      <c r="F134" s="46"/>
    </row>
    <row r="135" spans="1:6" x14ac:dyDescent="0.25">
      <c r="A135" s="329" t="str">
        <f>'[5]8'!A18</f>
        <v>MKN 100-065</v>
      </c>
      <c r="B135" s="330" t="str">
        <f>'[5]8'!B18</f>
        <v>Thru 12" OD</v>
      </c>
      <c r="C135" s="331" t="str">
        <f>'[5]8'!C18</f>
        <v>PER RUN</v>
      </c>
      <c r="D135" s="332">
        <f>'[5]8'!D18</f>
        <v>750</v>
      </c>
      <c r="E135" s="332"/>
      <c r="F135" s="332"/>
    </row>
    <row r="136" spans="1:6" x14ac:dyDescent="0.25">
      <c r="A136" s="333" t="str">
        <f>'[5]8'!A19</f>
        <v>MKN 100-066</v>
      </c>
      <c r="B136" s="334" t="str">
        <f>'[5]8'!B19</f>
        <v>Thru 15" OD</v>
      </c>
      <c r="C136" s="335" t="str">
        <f>'[5]8'!C19</f>
        <v>PER RUN</v>
      </c>
      <c r="D136" s="336">
        <f>'[5]8'!D19</f>
        <v>790</v>
      </c>
      <c r="E136" s="336"/>
      <c r="F136" s="336"/>
    </row>
    <row r="137" spans="1:6" x14ac:dyDescent="0.25">
      <c r="A137" s="333" t="str">
        <f>'[5]8'!A20</f>
        <v>MKN 100-067</v>
      </c>
      <c r="B137" s="334" t="str">
        <f>'[5]8'!B20</f>
        <v>Thru 20" OD</v>
      </c>
      <c r="C137" s="335" t="str">
        <f>'[5]8'!C20</f>
        <v>PER RUN</v>
      </c>
      <c r="D137" s="336">
        <f>'[5]8'!D20</f>
        <v>950</v>
      </c>
      <c r="E137" s="336"/>
      <c r="F137" s="336"/>
    </row>
    <row r="138" spans="1:6" x14ac:dyDescent="0.25">
      <c r="A138" s="333" t="str">
        <f>'[5]8'!A21</f>
        <v>MKN 100-068</v>
      </c>
      <c r="B138" s="334" t="str">
        <f>'[5]8'!B21</f>
        <v>Thru 24" OD</v>
      </c>
      <c r="C138" s="335" t="str">
        <f>'[5]8'!C21</f>
        <v>PER RUN</v>
      </c>
      <c r="D138" s="336">
        <f>'[5]8'!D21</f>
        <v>1050</v>
      </c>
      <c r="E138" s="336"/>
      <c r="F138" s="336"/>
    </row>
    <row r="139" spans="1:6" x14ac:dyDescent="0.25">
      <c r="A139" s="337" t="str">
        <f>'[5]8'!A22</f>
        <v>MKN 100-069</v>
      </c>
      <c r="B139" s="338" t="str">
        <f>'[5]8'!B22</f>
        <v>Thru 26" OD</v>
      </c>
      <c r="C139" s="339" t="str">
        <f>'[5]8'!C22</f>
        <v>PER RUN</v>
      </c>
      <c r="D139" s="340">
        <f>'[5]8'!D22</f>
        <v>1150</v>
      </c>
      <c r="E139" s="340"/>
      <c r="F139" s="340"/>
    </row>
    <row r="140" spans="1:6" ht="6" customHeight="1" x14ac:dyDescent="0.25">
      <c r="A140" s="34"/>
      <c r="B140" s="34"/>
      <c r="C140" s="325"/>
      <c r="D140" s="326"/>
      <c r="E140" s="326"/>
      <c r="F140" s="326"/>
    </row>
    <row r="141" spans="1:6" ht="16.149999999999999" customHeight="1" x14ac:dyDescent="0.25">
      <c r="A141" s="467" t="s">
        <v>2499</v>
      </c>
      <c r="B141" s="467"/>
      <c r="C141" s="468"/>
      <c r="D141" s="469"/>
      <c r="E141" s="469"/>
      <c r="F141" s="469"/>
    </row>
    <row r="142" spans="1:6" x14ac:dyDescent="0.25">
      <c r="A142" s="45" t="s">
        <v>7</v>
      </c>
      <c r="B142" s="45" t="s">
        <v>8</v>
      </c>
      <c r="C142" s="328" t="s">
        <v>9</v>
      </c>
      <c r="D142" s="46" t="s">
        <v>2481</v>
      </c>
      <c r="E142" s="46"/>
      <c r="F142" s="46"/>
    </row>
    <row r="143" spans="1:6" x14ac:dyDescent="0.25">
      <c r="A143" s="329" t="str">
        <f>'[5]8'!A24</f>
        <v>MKN 100-070</v>
      </c>
      <c r="B143" s="330" t="str">
        <f>'[5]8'!B24</f>
        <v>Thru 15" OD</v>
      </c>
      <c r="C143" s="331" t="str">
        <f>'[5]8'!C24</f>
        <v>PER RUN</v>
      </c>
      <c r="D143" s="332">
        <f>'[5]8'!D24</f>
        <v>920</v>
      </c>
      <c r="E143" s="332"/>
      <c r="F143" s="332"/>
    </row>
    <row r="144" spans="1:6" x14ac:dyDescent="0.25">
      <c r="A144" s="333" t="str">
        <f>'[5]8'!A25</f>
        <v>MKN 100-071</v>
      </c>
      <c r="B144" s="334" t="str">
        <f>'[5]8'!B25</f>
        <v>Thru 20" OD</v>
      </c>
      <c r="C144" s="335" t="str">
        <f>'[5]8'!C25</f>
        <v>PER RUN</v>
      </c>
      <c r="D144" s="336">
        <f>'[5]8'!D25</f>
        <v>920</v>
      </c>
      <c r="E144" s="336"/>
      <c r="F144" s="336"/>
    </row>
    <row r="145" spans="1:6" x14ac:dyDescent="0.25">
      <c r="A145" s="333" t="str">
        <f>'[5]8'!A26</f>
        <v>MKN 100-072</v>
      </c>
      <c r="B145" s="334" t="str">
        <f>'[5]8'!B26</f>
        <v>Thru 24" OD</v>
      </c>
      <c r="C145" s="335" t="str">
        <f>'[5]8'!C26</f>
        <v>PER RUN</v>
      </c>
      <c r="D145" s="336">
        <f>'[5]8'!D26</f>
        <v>1250</v>
      </c>
      <c r="E145" s="336"/>
      <c r="F145" s="336"/>
    </row>
    <row r="146" spans="1:6" x14ac:dyDescent="0.25">
      <c r="A146" s="333" t="str">
        <f>'[5]8'!A27</f>
        <v>MKN 100-073</v>
      </c>
      <c r="B146" s="334" t="str">
        <f>'[5]8'!B27</f>
        <v>Thru 26" OD</v>
      </c>
      <c r="C146" s="335" t="str">
        <f>'[5]8'!C27</f>
        <v>PER RUN</v>
      </c>
      <c r="D146" s="336">
        <f>'[5]8'!D27</f>
        <v>1400</v>
      </c>
      <c r="E146" s="336"/>
      <c r="F146" s="336"/>
    </row>
    <row r="147" spans="1:6" x14ac:dyDescent="0.25">
      <c r="A147" s="337" t="str">
        <f>'[5]8'!A28</f>
        <v>MKN 100-074</v>
      </c>
      <c r="B147" s="338" t="str">
        <f>'[5]8'!B28</f>
        <v>Thru 30" OD</v>
      </c>
      <c r="C147" s="339" t="str">
        <f>'[5]8'!C28</f>
        <v>PER RUN</v>
      </c>
      <c r="D147" s="340">
        <f>'[5]8'!D28</f>
        <v>1700</v>
      </c>
      <c r="E147" s="340"/>
      <c r="F147" s="340"/>
    </row>
    <row r="148" spans="1:6" ht="6" customHeight="1" x14ac:dyDescent="0.25">
      <c r="A148" s="34"/>
      <c r="B148" s="34"/>
      <c r="C148" s="325"/>
      <c r="D148" s="326"/>
      <c r="E148" s="326"/>
      <c r="F148" s="326"/>
    </row>
    <row r="149" spans="1:6" ht="16.149999999999999" customHeight="1" x14ac:dyDescent="0.25">
      <c r="A149" s="467" t="s">
        <v>2500</v>
      </c>
      <c r="B149" s="467"/>
      <c r="C149" s="468"/>
      <c r="D149" s="469"/>
      <c r="E149" s="469"/>
      <c r="F149" s="469"/>
    </row>
    <row r="150" spans="1:6" x14ac:dyDescent="0.25">
      <c r="A150" s="45" t="s">
        <v>7</v>
      </c>
      <c r="B150" s="45" t="s">
        <v>8</v>
      </c>
      <c r="C150" s="328" t="s">
        <v>9</v>
      </c>
      <c r="D150" s="46" t="s">
        <v>2482</v>
      </c>
      <c r="E150" s="46" t="s">
        <v>2483</v>
      </c>
      <c r="F150" s="46"/>
    </row>
    <row r="151" spans="1:6" x14ac:dyDescent="0.25">
      <c r="A151" s="329" t="str">
        <f>'[5]8'!A35</f>
        <v>MKN 100-075</v>
      </c>
      <c r="B151" s="330" t="str">
        <f>'[5]8'!B35</f>
        <v>Thru 4-1/8" OD</v>
      </c>
      <c r="C151" s="331" t="str">
        <f>'[5]8'!C35</f>
        <v>LYD / Day</v>
      </c>
      <c r="D151" s="332">
        <f>'[5]8'!D35</f>
        <v>1250</v>
      </c>
      <c r="E151" s="332">
        <f>'[5]8'!E35</f>
        <v>900</v>
      </c>
      <c r="F151" s="332"/>
    </row>
    <row r="152" spans="1:6" x14ac:dyDescent="0.25">
      <c r="A152" s="333" t="str">
        <f>'[5]8'!A36</f>
        <v>MKN 100-076</v>
      </c>
      <c r="B152" s="334" t="str">
        <f>'[5]8'!B36</f>
        <v>Thru 5-3/8" OD</v>
      </c>
      <c r="C152" s="335" t="str">
        <f>'[5]8'!C36</f>
        <v>LYD / Day</v>
      </c>
      <c r="D152" s="336">
        <f>'[5]8'!D36</f>
        <v>1320</v>
      </c>
      <c r="E152" s="336">
        <f>'[5]8'!E36</f>
        <v>950</v>
      </c>
      <c r="F152" s="336"/>
    </row>
    <row r="153" spans="1:6" x14ac:dyDescent="0.25">
      <c r="A153" s="333" t="str">
        <f>'[5]8'!A37</f>
        <v>MKN 100-077</v>
      </c>
      <c r="B153" s="334" t="str">
        <f>'[5]8'!B37</f>
        <v>Thru 8-7/8" OD</v>
      </c>
      <c r="C153" s="335" t="str">
        <f>'[5]8'!C37</f>
        <v>LYD / Day</v>
      </c>
      <c r="D153" s="336">
        <f>'[5]8'!D37</f>
        <v>1700</v>
      </c>
      <c r="E153" s="336">
        <f>'[5]8'!E37</f>
        <v>1450</v>
      </c>
      <c r="F153" s="336"/>
    </row>
    <row r="154" spans="1:6" x14ac:dyDescent="0.25">
      <c r="A154" s="333" t="str">
        <f>'[5]8'!A38</f>
        <v>MKN 100-078</v>
      </c>
      <c r="B154" s="334" t="str">
        <f>'[5]8'!B38</f>
        <v>Thru 11-3/4" OD</v>
      </c>
      <c r="C154" s="335" t="str">
        <f>'[5]8'!C38</f>
        <v>LYD / Day</v>
      </c>
      <c r="D154" s="336">
        <f>'[5]8'!D38</f>
        <v>2900</v>
      </c>
      <c r="E154" s="336">
        <f>'[5]8'!E38</f>
        <v>2000</v>
      </c>
      <c r="F154" s="336"/>
    </row>
    <row r="155" spans="1:6" ht="24" x14ac:dyDescent="0.25">
      <c r="A155" s="337" t="str">
        <f>'[5]8'!A39</f>
        <v>MKN 100-078-01</v>
      </c>
      <c r="B155" s="338" t="str">
        <f>'[5]8'!B39</f>
        <v>All size for Overshot Grapple 35 % of First Day Overshot Rental</v>
      </c>
      <c r="C155" s="339"/>
      <c r="D155" s="340">
        <f>'[5]8'!D39</f>
        <v>0.35</v>
      </c>
      <c r="E155" s="340"/>
      <c r="F155" s="340"/>
    </row>
    <row r="156" spans="1:6" ht="6" customHeight="1" x14ac:dyDescent="0.25">
      <c r="A156" s="34"/>
      <c r="B156" s="34"/>
      <c r="C156" s="325"/>
      <c r="D156" s="326"/>
      <c r="E156" s="326"/>
      <c r="F156" s="326"/>
    </row>
    <row r="157" spans="1:6" ht="16.149999999999999" customHeight="1" x14ac:dyDescent="0.25">
      <c r="A157" s="467" t="s">
        <v>2501</v>
      </c>
      <c r="B157" s="467"/>
      <c r="C157" s="468"/>
      <c r="D157" s="469"/>
      <c r="E157" s="469"/>
      <c r="F157" s="469"/>
    </row>
    <row r="158" spans="1:6" x14ac:dyDescent="0.25">
      <c r="A158" s="45" t="s">
        <v>7</v>
      </c>
      <c r="B158" s="45" t="s">
        <v>8</v>
      </c>
      <c r="C158" s="328" t="s">
        <v>9</v>
      </c>
      <c r="D158" s="46" t="s">
        <v>2482</v>
      </c>
      <c r="E158" s="46" t="s">
        <v>2483</v>
      </c>
      <c r="F158" s="46"/>
    </row>
    <row r="159" spans="1:6" x14ac:dyDescent="0.25">
      <c r="A159" s="329" t="str">
        <f>'[5]8'!A47</f>
        <v>MKN 100-079</v>
      </c>
      <c r="B159" s="330" t="str">
        <f>'[5]8'!B47</f>
        <v>Thru 4 3/4" OD</v>
      </c>
      <c r="C159" s="331" t="str">
        <f>'[5]8'!C47</f>
        <v>LYD / Day</v>
      </c>
      <c r="D159" s="332">
        <f>'[5]8'!D47</f>
        <v>1900</v>
      </c>
      <c r="E159" s="332">
        <f>'[5]8'!E47</f>
        <v>1050</v>
      </c>
      <c r="F159" s="332"/>
    </row>
    <row r="160" spans="1:6" x14ac:dyDescent="0.25">
      <c r="A160" s="333" t="str">
        <f>'[5]8'!A48</f>
        <v>MKN 100-080</v>
      </c>
      <c r="B160" s="334" t="str">
        <f>'[5]8'!B48</f>
        <v>Thru 6 1/4" OD</v>
      </c>
      <c r="C160" s="335" t="str">
        <f>'[5]8'!C48</f>
        <v>LYD / Day</v>
      </c>
      <c r="D160" s="336">
        <f>'[5]8'!D48</f>
        <v>2000</v>
      </c>
      <c r="E160" s="336">
        <f>'[5]8'!E48</f>
        <v>1100</v>
      </c>
      <c r="F160" s="336"/>
    </row>
    <row r="161" spans="1:6" x14ac:dyDescent="0.25">
      <c r="A161" s="333" t="str">
        <f>'[5]8'!A49</f>
        <v>MKN 100-081</v>
      </c>
      <c r="B161" s="334" t="str">
        <f>'[5]8'!B49</f>
        <v>Thru 9 5/8" OD</v>
      </c>
      <c r="C161" s="335" t="str">
        <f>'[5]8'!C49</f>
        <v>LYD / Day</v>
      </c>
      <c r="D161" s="336">
        <f>'[5]8'!D49</f>
        <v>2950</v>
      </c>
      <c r="E161" s="336">
        <f>'[5]8'!E49</f>
        <v>2000</v>
      </c>
      <c r="F161" s="336"/>
    </row>
    <row r="162" spans="1:6" x14ac:dyDescent="0.25">
      <c r="A162" s="333" t="str">
        <f>'[5]8'!A50</f>
        <v>MKN 100-082</v>
      </c>
      <c r="B162" s="334" t="str">
        <f>'[5]8'!B50</f>
        <v>Thru 12 3/4" OD</v>
      </c>
      <c r="C162" s="335" t="str">
        <f>'[5]8'!C50</f>
        <v>LYD / Day</v>
      </c>
      <c r="D162" s="336">
        <f>'[5]8'!D50</f>
        <v>3850</v>
      </c>
      <c r="E162" s="336">
        <f>'[5]8'!E50</f>
        <v>2100</v>
      </c>
      <c r="F162" s="336"/>
    </row>
    <row r="163" spans="1:6" ht="24" x14ac:dyDescent="0.25">
      <c r="A163" s="337" t="str">
        <f>'[5]8'!A51</f>
        <v>MKN 100-082-01</v>
      </c>
      <c r="B163" s="338" t="str">
        <f>'[5]8'!B51</f>
        <v>All size for Overshot Grapple 35% of First Day Overshot Rental</v>
      </c>
      <c r="C163" s="339"/>
      <c r="D163" s="340">
        <f>'[5]8'!D51</f>
        <v>0.35</v>
      </c>
      <c r="E163" s="340"/>
      <c r="F163" s="340"/>
    </row>
    <row r="164" spans="1:6" ht="6" customHeight="1" x14ac:dyDescent="0.25">
      <c r="A164" s="34"/>
      <c r="B164" s="34"/>
      <c r="C164" s="325"/>
      <c r="D164" s="326"/>
      <c r="E164" s="326"/>
      <c r="F164" s="326"/>
    </row>
    <row r="165" spans="1:6" ht="16.149999999999999" customHeight="1" x14ac:dyDescent="0.25">
      <c r="A165" s="467" t="s">
        <v>137</v>
      </c>
      <c r="B165" s="467"/>
      <c r="C165" s="468"/>
      <c r="D165" s="469"/>
      <c r="E165" s="469"/>
      <c r="F165" s="469"/>
    </row>
    <row r="166" spans="1:6" x14ac:dyDescent="0.25">
      <c r="A166" s="45" t="s">
        <v>7</v>
      </c>
      <c r="B166" s="45" t="s">
        <v>8</v>
      </c>
      <c r="C166" s="328" t="s">
        <v>9</v>
      </c>
      <c r="D166" s="46" t="s">
        <v>2481</v>
      </c>
      <c r="E166" s="46"/>
      <c r="F166" s="46"/>
    </row>
    <row r="167" spans="1:6" x14ac:dyDescent="0.25">
      <c r="A167" s="329" t="str">
        <f>'[5]9'!A5</f>
        <v>MKN 100-083</v>
      </c>
      <c r="B167" s="330" t="str">
        <f>'[5]9'!B5</f>
        <v>Thru 4-3/8"OD</v>
      </c>
      <c r="C167" s="331" t="str">
        <f>'[5]9'!C5</f>
        <v>Per Run</v>
      </c>
      <c r="D167" s="332">
        <f>'[5]9'!D5</f>
        <v>520</v>
      </c>
      <c r="E167" s="332"/>
      <c r="F167" s="332"/>
    </row>
    <row r="168" spans="1:6" x14ac:dyDescent="0.25">
      <c r="A168" s="333" t="str">
        <f>'[5]9'!A6</f>
        <v>MKN 100-084</v>
      </c>
      <c r="B168" s="334" t="str">
        <f>'[5]9'!B6</f>
        <v>Thru 5-3/4"OD</v>
      </c>
      <c r="C168" s="335" t="str">
        <f>'[5]9'!C6</f>
        <v>Per Run</v>
      </c>
      <c r="D168" s="336">
        <f>'[5]9'!D6</f>
        <v>520</v>
      </c>
      <c r="E168" s="336"/>
      <c r="F168" s="336"/>
    </row>
    <row r="169" spans="1:6" x14ac:dyDescent="0.25">
      <c r="A169" s="333" t="str">
        <f>'[5]9'!A7</f>
        <v>MKN 100-085</v>
      </c>
      <c r="B169" s="334" t="str">
        <f>'[5]9'!B7</f>
        <v>Thru 8"OD</v>
      </c>
      <c r="C169" s="335" t="str">
        <f>'[5]9'!C7</f>
        <v>Per Run</v>
      </c>
      <c r="D169" s="336">
        <f>'[5]9'!D7</f>
        <v>610</v>
      </c>
      <c r="E169" s="336"/>
      <c r="F169" s="336"/>
    </row>
    <row r="170" spans="1:6" x14ac:dyDescent="0.25">
      <c r="A170" s="333" t="str">
        <f>'[5]9'!A8</f>
        <v>MKN 100-086</v>
      </c>
      <c r="B170" s="334" t="str">
        <f>'[5]9'!B8</f>
        <v>Thru 12"OD</v>
      </c>
      <c r="C170" s="335" t="str">
        <f>'[5]9'!C8</f>
        <v>Per Run</v>
      </c>
      <c r="D170" s="336">
        <f>'[5]9'!D8</f>
        <v>670</v>
      </c>
      <c r="E170" s="336"/>
      <c r="F170" s="336"/>
    </row>
    <row r="171" spans="1:6" x14ac:dyDescent="0.25">
      <c r="A171" s="333" t="str">
        <f>'[5]9'!A9</f>
        <v>MKN 100-087</v>
      </c>
      <c r="B171" s="334" t="str">
        <f>'[5]9'!B9</f>
        <v>Thru 15"OD</v>
      </c>
      <c r="C171" s="335" t="str">
        <f>'[5]9'!C9</f>
        <v>Per Run</v>
      </c>
      <c r="D171" s="336">
        <f>'[5]9'!D9</f>
        <v>780</v>
      </c>
      <c r="E171" s="336"/>
      <c r="F171" s="336"/>
    </row>
    <row r="172" spans="1:6" x14ac:dyDescent="0.25">
      <c r="A172" s="333" t="str">
        <f>'[5]9'!A10</f>
        <v>MKN 100-088</v>
      </c>
      <c r="B172" s="334" t="str">
        <f>'[5]9'!B10</f>
        <v>Thru 20"OD</v>
      </c>
      <c r="C172" s="335" t="str">
        <f>'[5]9'!C10</f>
        <v>Per Run</v>
      </c>
      <c r="D172" s="336">
        <f>'[5]9'!D10</f>
        <v>780</v>
      </c>
      <c r="E172" s="336"/>
      <c r="F172" s="336"/>
    </row>
    <row r="173" spans="1:6" x14ac:dyDescent="0.25">
      <c r="A173" s="333" t="str">
        <f>'[5]9'!A11</f>
        <v>MKN 100-089</v>
      </c>
      <c r="B173" s="334" t="str">
        <f>'[5]9'!B11</f>
        <v>Thru 24"OD</v>
      </c>
      <c r="C173" s="335" t="str">
        <f>'[5]9'!C11</f>
        <v>Per Run</v>
      </c>
      <c r="D173" s="336">
        <f>'[5]9'!D11</f>
        <v>920</v>
      </c>
      <c r="E173" s="336"/>
      <c r="F173" s="336"/>
    </row>
    <row r="174" spans="1:6" x14ac:dyDescent="0.25">
      <c r="A174" s="337" t="str">
        <f>'[5]9'!A12</f>
        <v>MKN 100-090</v>
      </c>
      <c r="B174" s="338" t="str">
        <f>'[5]9'!B12</f>
        <v>Thru 26"OD</v>
      </c>
      <c r="C174" s="339" t="str">
        <f>'[5]9'!C12</f>
        <v>Per Run</v>
      </c>
      <c r="D174" s="340">
        <f>'[5]9'!D12</f>
        <v>920</v>
      </c>
      <c r="E174" s="340"/>
      <c r="F174" s="340"/>
    </row>
    <row r="175" spans="1:6" ht="6" customHeight="1" x14ac:dyDescent="0.25">
      <c r="A175" s="34"/>
      <c r="B175" s="34"/>
      <c r="C175" s="325"/>
      <c r="D175" s="326"/>
      <c r="E175" s="326"/>
      <c r="F175" s="326"/>
    </row>
    <row r="176" spans="1:6" ht="16.149999999999999" customHeight="1" x14ac:dyDescent="0.25">
      <c r="A176" s="467" t="s">
        <v>35</v>
      </c>
      <c r="B176" s="467"/>
      <c r="C176" s="468"/>
      <c r="D176" s="469"/>
      <c r="E176" s="469"/>
      <c r="F176" s="469"/>
    </row>
    <row r="177" spans="1:6" x14ac:dyDescent="0.25">
      <c r="A177" s="45" t="s">
        <v>7</v>
      </c>
      <c r="B177" s="45" t="s">
        <v>8</v>
      </c>
      <c r="C177" s="328" t="s">
        <v>9</v>
      </c>
      <c r="D177" s="46" t="s">
        <v>2482</v>
      </c>
      <c r="E177" s="46" t="s">
        <v>2483</v>
      </c>
      <c r="F177" s="46"/>
    </row>
    <row r="178" spans="1:6" x14ac:dyDescent="0.25">
      <c r="A178" s="329" t="str">
        <f>'[5]9'!A18</f>
        <v>MKN 100-091</v>
      </c>
      <c r="B178" s="330" t="str">
        <f>'[5]9'!B18</f>
        <v>Thru 4-1/8"OD</v>
      </c>
      <c r="C178" s="331" t="str">
        <f>'[5]9'!C18</f>
        <v>LYD / Day</v>
      </c>
      <c r="D178" s="332">
        <f>'[5]9'!D18</f>
        <v>470</v>
      </c>
      <c r="E178" s="332">
        <f>'[5]9'!E18</f>
        <v>310</v>
      </c>
      <c r="F178" s="332"/>
    </row>
    <row r="179" spans="1:6" x14ac:dyDescent="0.25">
      <c r="A179" s="333" t="str">
        <f>'[5]9'!A19</f>
        <v>MKN 100-092</v>
      </c>
      <c r="B179" s="334" t="str">
        <f>'[5]9'!B19</f>
        <v>Thru 5-3/4"OD</v>
      </c>
      <c r="C179" s="335" t="str">
        <f>'[5]9'!C19</f>
        <v>LYD / Day</v>
      </c>
      <c r="D179" s="336">
        <f>'[5]9'!D19</f>
        <v>600</v>
      </c>
      <c r="E179" s="336">
        <f>'[5]9'!E19</f>
        <v>450</v>
      </c>
      <c r="F179" s="336"/>
    </row>
    <row r="180" spans="1:6" x14ac:dyDescent="0.25">
      <c r="A180" s="333" t="str">
        <f>'[5]9'!A20</f>
        <v>MKN 100-093</v>
      </c>
      <c r="B180" s="334" t="str">
        <f>'[5]9'!B20</f>
        <v>Thru 8"OD</v>
      </c>
      <c r="C180" s="335" t="str">
        <f>'[5]9'!C20</f>
        <v>LYD / Day</v>
      </c>
      <c r="D180" s="336">
        <f>'[5]9'!D20</f>
        <v>680</v>
      </c>
      <c r="E180" s="336">
        <f>'[5]9'!E20</f>
        <v>480</v>
      </c>
      <c r="F180" s="336"/>
    </row>
    <row r="181" spans="1:6" x14ac:dyDescent="0.25">
      <c r="A181" s="333" t="str">
        <f>'[5]9'!A21</f>
        <v>MKN 100-094</v>
      </c>
      <c r="B181" s="334" t="str">
        <f>'[5]9'!B21</f>
        <v>Thru 10-3/4"OD</v>
      </c>
      <c r="C181" s="335" t="str">
        <f>'[5]9'!C21</f>
        <v>LYD / Day</v>
      </c>
      <c r="D181" s="336">
        <f>'[5]9'!D21</f>
        <v>900</v>
      </c>
      <c r="E181" s="336">
        <f>'[5]9'!E21</f>
        <v>800</v>
      </c>
      <c r="F181" s="336"/>
    </row>
    <row r="182" spans="1:6" x14ac:dyDescent="0.25">
      <c r="A182" s="337" t="str">
        <f>'[5]9'!A22</f>
        <v>MKN 100-095</v>
      </c>
      <c r="B182" s="338" t="str">
        <f>'[5]9'!B22</f>
        <v>Thru 13 3/4"OD</v>
      </c>
      <c r="C182" s="339" t="str">
        <f>'[5]9'!C22</f>
        <v>LYD / Day</v>
      </c>
      <c r="D182" s="340">
        <f>'[5]9'!D22</f>
        <v>1200</v>
      </c>
      <c r="E182" s="340">
        <f>'[5]9'!E22</f>
        <v>1000</v>
      </c>
      <c r="F182" s="340"/>
    </row>
    <row r="183" spans="1:6" ht="6" customHeight="1" x14ac:dyDescent="0.25">
      <c r="A183" s="34"/>
      <c r="B183" s="34"/>
      <c r="C183" s="325"/>
      <c r="D183" s="326"/>
      <c r="E183" s="326"/>
      <c r="F183" s="326"/>
    </row>
    <row r="184" spans="1:6" ht="16.149999999999999" customHeight="1" x14ac:dyDescent="0.25">
      <c r="A184" s="467" t="s">
        <v>2502</v>
      </c>
      <c r="B184" s="467"/>
      <c r="C184" s="468"/>
      <c r="D184" s="469"/>
      <c r="E184" s="469"/>
      <c r="F184" s="469"/>
    </row>
    <row r="185" spans="1:6" x14ac:dyDescent="0.25">
      <c r="A185" s="45" t="s">
        <v>7</v>
      </c>
      <c r="B185" s="45" t="s">
        <v>8</v>
      </c>
      <c r="C185" s="328" t="s">
        <v>9</v>
      </c>
      <c r="D185" s="46" t="s">
        <v>2482</v>
      </c>
      <c r="E185" s="46" t="s">
        <v>2483</v>
      </c>
      <c r="F185" s="46"/>
    </row>
    <row r="186" spans="1:6" x14ac:dyDescent="0.25">
      <c r="A186" s="329" t="str">
        <f>'[5]9'!A27</f>
        <v>MKN 100-096</v>
      </c>
      <c r="B186" s="330" t="str">
        <f>'[5]9'!B27</f>
        <v>Thru 7"OD</v>
      </c>
      <c r="C186" s="331" t="str">
        <f>'[5]9'!C27</f>
        <v>LYD / Day</v>
      </c>
      <c r="D186" s="332">
        <f>'[5]9'!D27</f>
        <v>400</v>
      </c>
      <c r="E186" s="332">
        <f>'[5]9'!E27</f>
        <v>250</v>
      </c>
      <c r="F186" s="332"/>
    </row>
    <row r="187" spans="1:6" x14ac:dyDescent="0.25">
      <c r="A187" s="333" t="str">
        <f>'[5]9'!A28</f>
        <v>MKN 100-097</v>
      </c>
      <c r="B187" s="334" t="str">
        <f>'[5]9'!B28</f>
        <v>Thru 11"OD</v>
      </c>
      <c r="C187" s="335" t="str">
        <f>'[5]9'!C28</f>
        <v>LYD / Day</v>
      </c>
      <c r="D187" s="336">
        <f>'[5]9'!D28</f>
        <v>510</v>
      </c>
      <c r="E187" s="336">
        <f>'[5]9'!E28</f>
        <v>410</v>
      </c>
      <c r="F187" s="336"/>
    </row>
    <row r="188" spans="1:6" x14ac:dyDescent="0.25">
      <c r="A188" s="333" t="str">
        <f>'[5]9'!A29</f>
        <v>MKN 100-098</v>
      </c>
      <c r="B188" s="334" t="str">
        <f>'[5]9'!B29</f>
        <v>Thru 16-18"OD</v>
      </c>
      <c r="C188" s="335" t="str">
        <f>'[5]9'!C29</f>
        <v>LYD / Day</v>
      </c>
      <c r="D188" s="336">
        <f>'[5]9'!D29</f>
        <v>1200</v>
      </c>
      <c r="E188" s="336">
        <f>'[5]9'!E29</f>
        <v>950</v>
      </c>
      <c r="F188" s="336"/>
    </row>
    <row r="189" spans="1:6" x14ac:dyDescent="0.25">
      <c r="A189" s="333" t="str">
        <f>'[5]9'!A30</f>
        <v>MKN 100-099</v>
      </c>
      <c r="B189" s="334" t="str">
        <f>'[5]9'!B30</f>
        <v>Thru 20"OD</v>
      </c>
      <c r="C189" s="335" t="str">
        <f>'[5]9'!C30</f>
        <v>LYD / Day</v>
      </c>
      <c r="D189" s="336">
        <f>'[5]9'!D30</f>
        <v>1600</v>
      </c>
      <c r="E189" s="336">
        <f>'[5]9'!E30</f>
        <v>1200</v>
      </c>
      <c r="F189" s="336"/>
    </row>
    <row r="190" spans="1:6" x14ac:dyDescent="0.25">
      <c r="A190" s="337" t="str">
        <f>'[5]9'!A31</f>
        <v>MKN 100-0100</v>
      </c>
      <c r="B190" s="338" t="str">
        <f>'[5]9'!B31</f>
        <v>Thru 24"OD</v>
      </c>
      <c r="C190" s="339" t="str">
        <f>'[5]9'!C31</f>
        <v>LYD / Day</v>
      </c>
      <c r="D190" s="340">
        <f>'[5]9'!D31</f>
        <v>1900</v>
      </c>
      <c r="E190" s="340">
        <f>'[5]9'!E31</f>
        <v>1500</v>
      </c>
      <c r="F190" s="340"/>
    </row>
    <row r="191" spans="1:6" ht="6" customHeight="1" x14ac:dyDescent="0.25">
      <c r="A191" s="34"/>
      <c r="B191" s="34"/>
      <c r="C191" s="325"/>
      <c r="D191" s="326"/>
      <c r="E191" s="326"/>
      <c r="F191" s="326"/>
    </row>
    <row r="192" spans="1:6" ht="16.149999999999999" customHeight="1" x14ac:dyDescent="0.25">
      <c r="A192" s="467" t="s">
        <v>2503</v>
      </c>
      <c r="B192" s="467"/>
      <c r="C192" s="468"/>
      <c r="D192" s="469"/>
      <c r="E192" s="469"/>
      <c r="F192" s="469"/>
    </row>
    <row r="193" spans="1:6" x14ac:dyDescent="0.25">
      <c r="A193" s="45" t="s">
        <v>7</v>
      </c>
      <c r="B193" s="45" t="s">
        <v>8</v>
      </c>
      <c r="C193" s="328" t="s">
        <v>9</v>
      </c>
      <c r="D193" s="46" t="s">
        <v>2482</v>
      </c>
      <c r="E193" s="46" t="s">
        <v>2483</v>
      </c>
      <c r="F193" s="46"/>
    </row>
    <row r="194" spans="1:6" x14ac:dyDescent="0.25">
      <c r="A194" s="329" t="str">
        <f>'[5]9'!A33</f>
        <v>MKN 100-0101</v>
      </c>
      <c r="B194" s="330" t="str">
        <f>'[5]9'!B33</f>
        <v>Thru 7-7/8"OD</v>
      </c>
      <c r="C194" s="331" t="str">
        <f>'[5]9'!C33</f>
        <v>LYD / Day</v>
      </c>
      <c r="D194" s="332">
        <f>'[5]9'!D33</f>
        <v>770</v>
      </c>
      <c r="E194" s="332">
        <f>'[5]9'!E33</f>
        <v>450</v>
      </c>
      <c r="F194" s="332"/>
    </row>
    <row r="195" spans="1:6" x14ac:dyDescent="0.25">
      <c r="A195" s="337" t="str">
        <f>'[5]9'!A34</f>
        <v>MKN 100-0102</v>
      </c>
      <c r="B195" s="338" t="str">
        <f>'[5]9'!B34</f>
        <v>Thru 20-3/4"OD</v>
      </c>
      <c r="C195" s="339" t="str">
        <f>'[5]9'!C34</f>
        <v>LYD / Day</v>
      </c>
      <c r="D195" s="340">
        <f>'[5]9'!D34</f>
        <v>2300</v>
      </c>
      <c r="E195" s="340">
        <f>'[5]9'!E34</f>
        <v>1950</v>
      </c>
      <c r="F195" s="340"/>
    </row>
    <row r="196" spans="1:6" ht="6" customHeight="1" x14ac:dyDescent="0.25">
      <c r="A196" s="34"/>
      <c r="B196" s="34"/>
      <c r="C196" s="325"/>
      <c r="D196" s="326"/>
      <c r="E196" s="326"/>
      <c r="F196" s="326"/>
    </row>
    <row r="197" spans="1:6" ht="16.149999999999999" customHeight="1" x14ac:dyDescent="0.25">
      <c r="A197" s="467" t="s">
        <v>38</v>
      </c>
      <c r="B197" s="467"/>
      <c r="C197" s="468"/>
      <c r="D197" s="469"/>
      <c r="E197" s="469"/>
      <c r="F197" s="469"/>
    </row>
    <row r="198" spans="1:6" x14ac:dyDescent="0.25">
      <c r="A198" s="45" t="s">
        <v>7</v>
      </c>
      <c r="B198" s="45" t="s">
        <v>8</v>
      </c>
      <c r="C198" s="328" t="s">
        <v>9</v>
      </c>
      <c r="D198" s="46" t="s">
        <v>2482</v>
      </c>
      <c r="E198" s="46" t="s">
        <v>2483</v>
      </c>
      <c r="F198" s="46"/>
    </row>
    <row r="199" spans="1:6" x14ac:dyDescent="0.25">
      <c r="A199" s="329" t="str">
        <f>'[5]9'!A36</f>
        <v>MKN 100-0103</v>
      </c>
      <c r="B199" s="330" t="str">
        <f>'[5]9'!B36</f>
        <v>4-1/2"OD</v>
      </c>
      <c r="C199" s="331" t="str">
        <f>'[5]9'!C36</f>
        <v>LYD/FT</v>
      </c>
      <c r="D199" s="332">
        <f>'[5]9'!D36</f>
        <v>28</v>
      </c>
      <c r="E199" s="332">
        <f>'[5]9'!E36</f>
        <v>16</v>
      </c>
      <c r="F199" s="332"/>
    </row>
    <row r="200" spans="1:6" x14ac:dyDescent="0.25">
      <c r="A200" s="333" t="str">
        <f>'[5]9'!A37</f>
        <v>MKN 100-0104</v>
      </c>
      <c r="B200" s="334" t="str">
        <f>'[5]9'!B37</f>
        <v>4-3/4"OD</v>
      </c>
      <c r="C200" s="335" t="str">
        <f>'[5]9'!C37</f>
        <v>LYD/FT</v>
      </c>
      <c r="D200" s="336">
        <f>'[5]9'!D37</f>
        <v>28</v>
      </c>
      <c r="E200" s="336">
        <f>'[5]9'!E37</f>
        <v>16</v>
      </c>
      <c r="F200" s="336"/>
    </row>
    <row r="201" spans="1:6" x14ac:dyDescent="0.25">
      <c r="A201" s="333" t="str">
        <f>'[5]9'!A38</f>
        <v>MKN 100-0105</v>
      </c>
      <c r="B201" s="334" t="str">
        <f>'[5]9'!B38</f>
        <v>5"OD</v>
      </c>
      <c r="C201" s="335" t="str">
        <f>'[5]9'!C38</f>
        <v>LYD/FT</v>
      </c>
      <c r="D201" s="336">
        <f>'[5]9'!D38</f>
        <v>28</v>
      </c>
      <c r="E201" s="336">
        <f>'[5]9'!E38</f>
        <v>16</v>
      </c>
      <c r="F201" s="336"/>
    </row>
    <row r="202" spans="1:6" x14ac:dyDescent="0.25">
      <c r="A202" s="333" t="str">
        <f>'[5]9'!A39</f>
        <v>MKN 100-0106</v>
      </c>
      <c r="B202" s="334" t="str">
        <f>'[5]9'!B39</f>
        <v>5-3/8"OD</v>
      </c>
      <c r="C202" s="335" t="str">
        <f>'[5]9'!C39</f>
        <v>LYD/FT</v>
      </c>
      <c r="D202" s="336">
        <f>'[5]9'!D39</f>
        <v>28</v>
      </c>
      <c r="E202" s="336">
        <f>'[5]9'!E39</f>
        <v>16</v>
      </c>
      <c r="F202" s="336"/>
    </row>
    <row r="203" spans="1:6" x14ac:dyDescent="0.25">
      <c r="A203" s="333" t="str">
        <f>'[5]9'!A40</f>
        <v>MKN 100-0107</v>
      </c>
      <c r="B203" s="334" t="str">
        <f>'[5]9'!B40</f>
        <v>5-3/4"OD</v>
      </c>
      <c r="C203" s="335" t="str">
        <f>'[5]9'!C40</f>
        <v>LYD/FT</v>
      </c>
      <c r="D203" s="336">
        <f>'[5]9'!D40</f>
        <v>38</v>
      </c>
      <c r="E203" s="336">
        <f>'[5]9'!E40</f>
        <v>20</v>
      </c>
      <c r="F203" s="336"/>
    </row>
    <row r="204" spans="1:6" x14ac:dyDescent="0.25">
      <c r="A204" s="337" t="str">
        <f>'[5]9'!A41</f>
        <v>MKN 100-0108</v>
      </c>
      <c r="B204" s="338" t="str">
        <f>'[5]9'!B41</f>
        <v>7-5/8"OD</v>
      </c>
      <c r="C204" s="339" t="str">
        <f>'[5]9'!C41</f>
        <v>LYD/FT</v>
      </c>
      <c r="D204" s="340">
        <f>'[5]9'!D41</f>
        <v>42</v>
      </c>
      <c r="E204" s="340">
        <f>'[5]9'!E41</f>
        <v>23</v>
      </c>
      <c r="F204" s="340"/>
    </row>
    <row r="205" spans="1:6" ht="6" customHeight="1" x14ac:dyDescent="0.25">
      <c r="A205" s="34"/>
      <c r="B205" s="34"/>
      <c r="C205" s="325"/>
      <c r="D205" s="326"/>
      <c r="E205" s="326"/>
      <c r="F205" s="326"/>
    </row>
    <row r="206" spans="1:6" ht="16.149999999999999" customHeight="1" x14ac:dyDescent="0.25">
      <c r="A206" s="467" t="s">
        <v>2504</v>
      </c>
      <c r="B206" s="467"/>
      <c r="C206" s="468"/>
      <c r="D206" s="469"/>
      <c r="E206" s="469"/>
      <c r="F206" s="469"/>
    </row>
    <row r="207" spans="1:6" x14ac:dyDescent="0.25">
      <c r="A207" s="45" t="s">
        <v>7</v>
      </c>
      <c r="B207" s="45" t="s">
        <v>8</v>
      </c>
      <c r="C207" s="328" t="s">
        <v>9</v>
      </c>
      <c r="D207" s="46" t="s">
        <v>2482</v>
      </c>
      <c r="E207" s="46" t="s">
        <v>2483</v>
      </c>
      <c r="F207" s="46"/>
    </row>
    <row r="208" spans="1:6" x14ac:dyDescent="0.25">
      <c r="A208" s="329" t="str">
        <f>'[5]9'!A46</f>
        <v>MKN 100-0109</v>
      </c>
      <c r="B208" s="330" t="str">
        <f>'[5]9'!B46</f>
        <v>Thru 5 1/2"OD</v>
      </c>
      <c r="C208" s="331" t="str">
        <f>'[5]9'!C46</f>
        <v>LYD / Day</v>
      </c>
      <c r="D208" s="332">
        <f>'[5]9'!D46</f>
        <v>650</v>
      </c>
      <c r="E208" s="332">
        <f>'[5]9'!E46</f>
        <v>500</v>
      </c>
      <c r="F208" s="332"/>
    </row>
    <row r="209" spans="1:6" x14ac:dyDescent="0.25">
      <c r="A209" s="333" t="str">
        <f>'[5]9'!A47</f>
        <v>MKN 100-0110</v>
      </c>
      <c r="B209" s="334" t="str">
        <f>'[5]9'!B47</f>
        <v>Thru 9 1/4"OD</v>
      </c>
      <c r="C209" s="335" t="str">
        <f>'[5]9'!C47</f>
        <v>LYD / Day</v>
      </c>
      <c r="D209" s="336">
        <f>'[5]9'!D47</f>
        <v>725</v>
      </c>
      <c r="E209" s="336">
        <f>'[5]9'!E47</f>
        <v>570</v>
      </c>
      <c r="F209" s="336"/>
    </row>
    <row r="210" spans="1:6" x14ac:dyDescent="0.25">
      <c r="A210" s="333" t="str">
        <f>'[5]9'!A48</f>
        <v>MKN 100-0111</v>
      </c>
      <c r="B210" s="334" t="str">
        <f>'[5]9'!B48</f>
        <v>Thru 10 3/4"OD</v>
      </c>
      <c r="C210" s="335" t="str">
        <f>'[5]9'!C48</f>
        <v>LYD / Day</v>
      </c>
      <c r="D210" s="336">
        <f>'[5]9'!D48</f>
        <v>910</v>
      </c>
      <c r="E210" s="336">
        <f>'[5]9'!E48</f>
        <v>770</v>
      </c>
      <c r="F210" s="336"/>
    </row>
    <row r="211" spans="1:6" x14ac:dyDescent="0.25">
      <c r="A211" s="333" t="str">
        <f>'[5]9'!A49</f>
        <v>MKN 100-0112</v>
      </c>
      <c r="B211" s="334" t="str">
        <f>'[5]9'!B49</f>
        <v>Thru 13 3/8"OD</v>
      </c>
      <c r="C211" s="335" t="str">
        <f>'[5]9'!C49</f>
        <v>LYD / Day</v>
      </c>
      <c r="D211" s="336">
        <f>'[5]9'!D49</f>
        <v>1200</v>
      </c>
      <c r="E211" s="336">
        <f>'[5]9'!E49</f>
        <v>960</v>
      </c>
      <c r="F211" s="336"/>
    </row>
    <row r="212" spans="1:6" x14ac:dyDescent="0.25">
      <c r="A212" s="333" t="str">
        <f>'[5]9'!A50</f>
        <v>MKN 100-0113</v>
      </c>
      <c r="B212" s="334" t="str">
        <f>'[5]9'!B50</f>
        <v>Thru 16"OD</v>
      </c>
      <c r="C212" s="335" t="str">
        <f>'[5]9'!C50</f>
        <v>LYD / Day</v>
      </c>
      <c r="D212" s="336">
        <f>'[5]9'!D50</f>
        <v>1800</v>
      </c>
      <c r="E212" s="336">
        <f>'[5]9'!E50</f>
        <v>1350</v>
      </c>
      <c r="F212" s="336"/>
    </row>
    <row r="213" spans="1:6" x14ac:dyDescent="0.25">
      <c r="A213" s="337" t="str">
        <f>'[5]9'!A51</f>
        <v>MKN 100-0114</v>
      </c>
      <c r="B213" s="338" t="str">
        <f>'[5]9'!B51</f>
        <v>Thru 20"OD</v>
      </c>
      <c r="C213" s="339" t="str">
        <f>'[5]9'!C51</f>
        <v>Price LYD</v>
      </c>
      <c r="D213" s="340">
        <f>'[5]9'!D51</f>
        <v>1900</v>
      </c>
      <c r="E213" s="340">
        <f>'[5]9'!E51</f>
        <v>1450</v>
      </c>
      <c r="F213" s="340"/>
    </row>
    <row r="214" spans="1:6" ht="6" customHeight="1" x14ac:dyDescent="0.25">
      <c r="A214" s="34"/>
      <c r="B214" s="34"/>
      <c r="C214" s="325"/>
      <c r="D214" s="326"/>
      <c r="E214" s="326"/>
      <c r="F214" s="326"/>
    </row>
    <row r="215" spans="1:6" ht="16.149999999999999" customHeight="1" x14ac:dyDescent="0.25">
      <c r="A215" s="467" t="s">
        <v>2505</v>
      </c>
      <c r="B215" s="467"/>
      <c r="C215" s="468"/>
      <c r="D215" s="469"/>
      <c r="E215" s="469"/>
      <c r="F215" s="469"/>
    </row>
    <row r="216" spans="1:6" x14ac:dyDescent="0.25">
      <c r="A216" s="45" t="s">
        <v>7</v>
      </c>
      <c r="B216" s="45" t="s">
        <v>8</v>
      </c>
      <c r="C216" s="328" t="s">
        <v>9</v>
      </c>
      <c r="D216" s="46" t="s">
        <v>2481</v>
      </c>
      <c r="E216" s="46"/>
      <c r="F216" s="46"/>
    </row>
    <row r="217" spans="1:6" x14ac:dyDescent="0.25">
      <c r="A217" s="329" t="str">
        <f>'[5]10'!A3</f>
        <v>MKN 100-0115</v>
      </c>
      <c r="B217" s="330" t="str">
        <f>'[5]10'!B3</f>
        <v>Thru 3-1/2" joint size</v>
      </c>
      <c r="C217" s="331" t="str">
        <f>'[5]10'!C3</f>
        <v>Per Day</v>
      </c>
      <c r="D217" s="332">
        <f>'[5]10'!D3</f>
        <v>180</v>
      </c>
      <c r="E217" s="332"/>
      <c r="F217" s="332"/>
    </row>
    <row r="218" spans="1:6" x14ac:dyDescent="0.25">
      <c r="A218" s="333" t="str">
        <f>'[5]10'!A4</f>
        <v>MKN 100-0116</v>
      </c>
      <c r="B218" s="334" t="str">
        <f>'[5]10'!B4</f>
        <v>Thru 4-1/2" joint size</v>
      </c>
      <c r="C218" s="335" t="str">
        <f>'[5]10'!C4</f>
        <v>Per Day</v>
      </c>
      <c r="D218" s="336">
        <f>'[5]10'!D4</f>
        <v>200</v>
      </c>
      <c r="E218" s="336"/>
      <c r="F218" s="336"/>
    </row>
    <row r="219" spans="1:6" x14ac:dyDescent="0.25">
      <c r="A219" s="333" t="str">
        <f>'[5]10'!A5</f>
        <v>MKN 100-0117</v>
      </c>
      <c r="B219" s="334" t="str">
        <f>'[5]10'!B5</f>
        <v>Thru 5 1/2" joint size</v>
      </c>
      <c r="C219" s="335" t="str">
        <f>'[5]10'!C5</f>
        <v>Per Day</v>
      </c>
      <c r="D219" s="336">
        <f>'[5]10'!D5</f>
        <v>200</v>
      </c>
      <c r="E219" s="336"/>
      <c r="F219" s="336"/>
    </row>
    <row r="220" spans="1:6" x14ac:dyDescent="0.25">
      <c r="A220" s="337" t="str">
        <f>'[5]10'!A6</f>
        <v>MKN 100-0118</v>
      </c>
      <c r="B220" s="338" t="str">
        <f>'[5]10'!B6</f>
        <v>Thru 6-5/8" joint size</v>
      </c>
      <c r="C220" s="339" t="str">
        <f>'[5]10'!C6</f>
        <v>Per Day</v>
      </c>
      <c r="D220" s="340">
        <f>'[5]10'!D6</f>
        <v>350</v>
      </c>
      <c r="E220" s="340"/>
      <c r="F220" s="340"/>
    </row>
    <row r="221" spans="1:6" ht="6" customHeight="1" x14ac:dyDescent="0.25">
      <c r="A221" s="34"/>
      <c r="B221" s="34"/>
      <c r="C221" s="325"/>
      <c r="D221" s="326"/>
      <c r="E221" s="326"/>
      <c r="F221" s="326"/>
    </row>
    <row r="222" spans="1:6" ht="16.149999999999999" customHeight="1" x14ac:dyDescent="0.25">
      <c r="A222" s="467" t="s">
        <v>2506</v>
      </c>
      <c r="B222" s="467"/>
      <c r="C222" s="468"/>
      <c r="D222" s="469"/>
      <c r="E222" s="469"/>
      <c r="F222" s="469"/>
    </row>
    <row r="223" spans="1:6" x14ac:dyDescent="0.25">
      <c r="A223" s="45" t="s">
        <v>7</v>
      </c>
      <c r="B223" s="45" t="s">
        <v>8</v>
      </c>
      <c r="C223" s="328" t="s">
        <v>9</v>
      </c>
      <c r="D223" s="46" t="s">
        <v>2481</v>
      </c>
      <c r="E223" s="46"/>
      <c r="F223" s="46"/>
    </row>
    <row r="224" spans="1:6" x14ac:dyDescent="0.25">
      <c r="A224" s="329" t="str">
        <f>'[5]10'!A8</f>
        <v>MKN 100-0119</v>
      </c>
      <c r="B224" s="330" t="str">
        <f>'[5]10'!B8</f>
        <v>Thru 5-3/4" OD pipe</v>
      </c>
      <c r="C224" s="331" t="str">
        <f>'[5]10'!C8</f>
        <v>Per Day</v>
      </c>
      <c r="D224" s="332">
        <f>'[5]10'!D8</f>
        <v>70</v>
      </c>
      <c r="E224" s="332"/>
      <c r="F224" s="332"/>
    </row>
    <row r="225" spans="1:6" x14ac:dyDescent="0.25">
      <c r="A225" s="333" t="str">
        <f>'[5]10'!A9</f>
        <v>MKN 100-0120</v>
      </c>
      <c r="B225" s="334" t="str">
        <f>'[5]10'!B9</f>
        <v>Thru 10-3/4" OD pipe</v>
      </c>
      <c r="C225" s="335" t="str">
        <f>'[5]10'!C9</f>
        <v>Per Day</v>
      </c>
      <c r="D225" s="336">
        <f>'[5]10'!D9</f>
        <v>130</v>
      </c>
      <c r="E225" s="336"/>
      <c r="F225" s="336"/>
    </row>
    <row r="226" spans="1:6" x14ac:dyDescent="0.25">
      <c r="A226" s="337" t="str">
        <f>'[5]10'!A10</f>
        <v>MKN 100-0121</v>
      </c>
      <c r="B226" s="338" t="str">
        <f>'[5]10'!B10</f>
        <v>Thru 20" OD pipe</v>
      </c>
      <c r="C226" s="339" t="str">
        <f>'[5]10'!C10</f>
        <v>Per Day</v>
      </c>
      <c r="D226" s="340">
        <f>'[5]10'!D10</f>
        <v>200</v>
      </c>
      <c r="E226" s="340"/>
      <c r="F226" s="340"/>
    </row>
    <row r="227" spans="1:6" ht="6" customHeight="1" x14ac:dyDescent="0.25">
      <c r="A227" s="34"/>
      <c r="B227" s="34"/>
      <c r="C227" s="325"/>
      <c r="D227" s="326"/>
      <c r="E227" s="326"/>
      <c r="F227" s="326"/>
    </row>
    <row r="228" spans="1:6" ht="16.149999999999999" customHeight="1" x14ac:dyDescent="0.25">
      <c r="A228" s="467" t="s">
        <v>2507</v>
      </c>
      <c r="B228" s="467"/>
      <c r="C228" s="468"/>
      <c r="D228" s="469"/>
      <c r="E228" s="469"/>
      <c r="F228" s="469"/>
    </row>
    <row r="229" spans="1:6" x14ac:dyDescent="0.25">
      <c r="A229" s="45" t="s">
        <v>7</v>
      </c>
      <c r="B229" s="45" t="s">
        <v>8</v>
      </c>
      <c r="C229" s="328" t="s">
        <v>9</v>
      </c>
      <c r="D229" s="46" t="s">
        <v>2481</v>
      </c>
      <c r="E229" s="46"/>
      <c r="F229" s="46"/>
    </row>
    <row r="230" spans="1:6" x14ac:dyDescent="0.25">
      <c r="A230" s="329" t="str">
        <f>'[5]10'!A15</f>
        <v>MKN 100-0122</v>
      </c>
      <c r="B230" s="330" t="str">
        <f>'[5]10'!B15</f>
        <v>Thru 15"OD</v>
      </c>
      <c r="C230" s="331" t="str">
        <f>'[5]10'!C15</f>
        <v>Per Job</v>
      </c>
      <c r="D230" s="332">
        <f>'[5]10'!D15</f>
        <v>1250</v>
      </c>
      <c r="E230" s="332"/>
      <c r="F230" s="332"/>
    </row>
    <row r="231" spans="1:6" x14ac:dyDescent="0.25">
      <c r="A231" s="333" t="str">
        <f>'[5]10'!A16</f>
        <v>MKN 100-0123</v>
      </c>
      <c r="B231" s="334" t="str">
        <f>'[5]10'!B16</f>
        <v>Thru 24"OD</v>
      </c>
      <c r="C231" s="335" t="str">
        <f>'[5]10'!C16</f>
        <v>Per Job</v>
      </c>
      <c r="D231" s="336">
        <f>'[5]10'!D16</f>
        <v>1550</v>
      </c>
      <c r="E231" s="336"/>
      <c r="F231" s="336"/>
    </row>
    <row r="232" spans="1:6" x14ac:dyDescent="0.25">
      <c r="A232" s="337" t="str">
        <f>'[5]10'!A17</f>
        <v>MKN 100-0124</v>
      </c>
      <c r="B232" s="338" t="str">
        <f>'[5]10'!B17</f>
        <v>Thru 30"OD</v>
      </c>
      <c r="C232" s="339" t="str">
        <f>'[5]10'!C17</f>
        <v>Per Job</v>
      </c>
      <c r="D232" s="340">
        <f>'[5]10'!D17</f>
        <v>3000</v>
      </c>
      <c r="E232" s="340"/>
      <c r="F232" s="340"/>
    </row>
    <row r="233" spans="1:6" ht="6" customHeight="1" x14ac:dyDescent="0.25">
      <c r="A233" s="34"/>
      <c r="B233" s="34"/>
      <c r="C233" s="325"/>
      <c r="D233" s="326"/>
      <c r="E233" s="326"/>
      <c r="F233" s="326"/>
    </row>
    <row r="234" spans="1:6" ht="16.149999999999999" customHeight="1" x14ac:dyDescent="0.25">
      <c r="A234" s="467" t="s">
        <v>2508</v>
      </c>
      <c r="B234" s="467"/>
      <c r="C234" s="468"/>
      <c r="D234" s="469"/>
      <c r="E234" s="469"/>
      <c r="F234" s="469"/>
    </row>
    <row r="235" spans="1:6" x14ac:dyDescent="0.25">
      <c r="A235" s="45" t="s">
        <v>7</v>
      </c>
      <c r="B235" s="45" t="s">
        <v>8</v>
      </c>
      <c r="C235" s="328" t="s">
        <v>9</v>
      </c>
      <c r="D235" s="46" t="s">
        <v>2481</v>
      </c>
      <c r="E235" s="46"/>
      <c r="F235" s="46"/>
    </row>
    <row r="236" spans="1:6" x14ac:dyDescent="0.25">
      <c r="A236" s="341" t="str">
        <f>'[5]10'!A19</f>
        <v>MKN 100-0125</v>
      </c>
      <c r="B236" s="342" t="str">
        <f>'[5]10'!B19</f>
        <v>Pneumatic Casing Saw - 4" to 12" OD</v>
      </c>
      <c r="C236" s="343" t="str">
        <f>'[5]10'!C19</f>
        <v>Per CUT</v>
      </c>
      <c r="D236" s="344">
        <f>'[5]10'!D19</f>
        <v>1200</v>
      </c>
      <c r="E236" s="344"/>
      <c r="F236" s="344"/>
    </row>
    <row r="237" spans="1:6" ht="6" customHeight="1" x14ac:dyDescent="0.25">
      <c r="A237" s="34"/>
      <c r="B237" s="34"/>
      <c r="C237" s="325"/>
      <c r="D237" s="326"/>
      <c r="E237" s="326"/>
      <c r="F237" s="326"/>
    </row>
    <row r="238" spans="1:6" ht="16.149999999999999" customHeight="1" x14ac:dyDescent="0.25">
      <c r="A238" s="467" t="s">
        <v>2509</v>
      </c>
      <c r="B238" s="467"/>
      <c r="C238" s="468"/>
      <c r="D238" s="469"/>
      <c r="E238" s="469"/>
      <c r="F238" s="469"/>
    </row>
    <row r="239" spans="1:6" x14ac:dyDescent="0.25">
      <c r="A239" s="45" t="s">
        <v>7</v>
      </c>
      <c r="B239" s="45" t="s">
        <v>8</v>
      </c>
      <c r="C239" s="328" t="s">
        <v>9</v>
      </c>
      <c r="D239" s="46" t="s">
        <v>2481</v>
      </c>
      <c r="E239" s="46"/>
      <c r="F239" s="46"/>
    </row>
    <row r="240" spans="1:6" x14ac:dyDescent="0.25">
      <c r="A240" s="329" t="str">
        <f>'[5]10'!A21</f>
        <v>MKN 100-0126</v>
      </c>
      <c r="B240" s="330" t="str">
        <f>'[5]10'!B21</f>
        <v>Thru 5"OD</v>
      </c>
      <c r="C240" s="331" t="str">
        <f>'[5]10'!C21</f>
        <v>Per Run</v>
      </c>
      <c r="D240" s="332">
        <f>'[5]10'!D21</f>
        <v>1100</v>
      </c>
      <c r="E240" s="332"/>
      <c r="F240" s="332"/>
    </row>
    <row r="241" spans="1:6" x14ac:dyDescent="0.25">
      <c r="A241" s="333" t="str">
        <f>'[5]10'!A22</f>
        <v>MKN 100-0127</v>
      </c>
      <c r="B241" s="334" t="str">
        <f>'[5]10'!B22</f>
        <v>Thru 7"OD</v>
      </c>
      <c r="C241" s="335" t="str">
        <f>'[5]10'!C22</f>
        <v>Per Run</v>
      </c>
      <c r="D241" s="336">
        <f>'[5]10'!D22</f>
        <v>1350</v>
      </c>
      <c r="E241" s="336"/>
      <c r="F241" s="336"/>
    </row>
    <row r="242" spans="1:6" x14ac:dyDescent="0.25">
      <c r="A242" s="333" t="str">
        <f>'[5]10'!A23</f>
        <v>MKN 100-0128</v>
      </c>
      <c r="B242" s="334" t="str">
        <f>'[5]10'!B23</f>
        <v>Thru 9 5/8"OD</v>
      </c>
      <c r="C242" s="335" t="str">
        <f>'[5]10'!C23</f>
        <v>Per Run</v>
      </c>
      <c r="D242" s="336">
        <f>'[5]10'!D23</f>
        <v>2100</v>
      </c>
      <c r="E242" s="336"/>
      <c r="F242" s="336"/>
    </row>
    <row r="243" spans="1:6" x14ac:dyDescent="0.25">
      <c r="A243" s="333" t="str">
        <f>'[5]10'!A24</f>
        <v>MKN 100-0129</v>
      </c>
      <c r="B243" s="334" t="str">
        <f>'[5]10'!B24</f>
        <v>Thru 10 3/4"OD</v>
      </c>
      <c r="C243" s="335" t="str">
        <f>'[5]10'!C24</f>
        <v>Per Run</v>
      </c>
      <c r="D243" s="336">
        <f>'[5]10'!D24</f>
        <v>3900</v>
      </c>
      <c r="E243" s="336"/>
      <c r="F243" s="336"/>
    </row>
    <row r="244" spans="1:6" x14ac:dyDescent="0.25">
      <c r="A244" s="333" t="str">
        <f>'[5]10'!A25</f>
        <v>MKN 100-0130</v>
      </c>
      <c r="B244" s="334" t="str">
        <f>'[5]10'!B25</f>
        <v>Thru 13 3/8"OD</v>
      </c>
      <c r="C244" s="335" t="str">
        <f>'[5]10'!C25</f>
        <v>Per Run</v>
      </c>
      <c r="D244" s="336">
        <f>'[5]10'!D25</f>
        <v>4910</v>
      </c>
      <c r="E244" s="336"/>
      <c r="F244" s="336"/>
    </row>
    <row r="245" spans="1:6" x14ac:dyDescent="0.25">
      <c r="A245" s="333" t="str">
        <f>'[5]10'!A26</f>
        <v>MKN 100-0131</v>
      </c>
      <c r="B245" s="334" t="str">
        <f>'[5]10'!B26</f>
        <v>Thru 16"OD</v>
      </c>
      <c r="C245" s="335" t="str">
        <f>'[5]10'!C26</f>
        <v>Per Run</v>
      </c>
      <c r="D245" s="336">
        <f>'[5]10'!D26</f>
        <v>6100</v>
      </c>
      <c r="E245" s="336"/>
      <c r="F245" s="336"/>
    </row>
    <row r="246" spans="1:6" x14ac:dyDescent="0.25">
      <c r="A246" s="337" t="str">
        <f>'[5]10'!A27</f>
        <v>MKN 100-0132</v>
      </c>
      <c r="B246" s="338" t="str">
        <f>'[5]10'!B27</f>
        <v>Thru 20"OD</v>
      </c>
      <c r="C246" s="339" t="str">
        <f>'[5]10'!C27</f>
        <v>Per Run</v>
      </c>
      <c r="D246" s="340">
        <f>'[5]10'!D27</f>
        <v>7000</v>
      </c>
      <c r="E246" s="340"/>
      <c r="F246" s="340"/>
    </row>
    <row r="247" spans="1:6" ht="6" customHeight="1" x14ac:dyDescent="0.25">
      <c r="A247" s="34"/>
      <c r="B247" s="34"/>
      <c r="C247" s="325"/>
      <c r="D247" s="326"/>
      <c r="E247" s="326"/>
      <c r="F247" s="326"/>
    </row>
    <row r="248" spans="1:6" ht="16.149999999999999" customHeight="1" x14ac:dyDescent="0.25">
      <c r="A248" s="467" t="s">
        <v>2510</v>
      </c>
      <c r="B248" s="467"/>
      <c r="C248" s="468"/>
      <c r="D248" s="469"/>
      <c r="E248" s="469"/>
      <c r="F248" s="469"/>
    </row>
    <row r="249" spans="1:6" x14ac:dyDescent="0.25">
      <c r="A249" s="45" t="s">
        <v>7</v>
      </c>
      <c r="B249" s="45" t="s">
        <v>8</v>
      </c>
      <c r="C249" s="328" t="s">
        <v>9</v>
      </c>
      <c r="D249" s="46" t="s">
        <v>2481</v>
      </c>
      <c r="E249" s="46"/>
      <c r="F249" s="46"/>
    </row>
    <row r="250" spans="1:6" x14ac:dyDescent="0.25">
      <c r="A250" s="329" t="str">
        <f>'[5]10'!A30</f>
        <v>MKN 100-0133</v>
      </c>
      <c r="B250" s="330" t="str">
        <f>'[5]10'!B30</f>
        <v>Thru 7 1/2"OD</v>
      </c>
      <c r="C250" s="331" t="str">
        <f>'[5]10'!C30</f>
        <v>Per Job</v>
      </c>
      <c r="D250" s="332">
        <f>'[5]10'!D30</f>
        <v>810</v>
      </c>
      <c r="E250" s="332"/>
      <c r="F250" s="332"/>
    </row>
    <row r="251" spans="1:6" x14ac:dyDescent="0.25">
      <c r="A251" s="337" t="str">
        <f>'[5]10'!A31</f>
        <v>MKN 100-0134</v>
      </c>
      <c r="B251" s="338" t="str">
        <f>'[5]10'!B31</f>
        <v>Thru 12 3/4"OD</v>
      </c>
      <c r="C251" s="339" t="str">
        <f>'[5]10'!C31</f>
        <v>Per Job</v>
      </c>
      <c r="D251" s="340">
        <f>'[5]10'!D31</f>
        <v>950</v>
      </c>
      <c r="E251" s="340"/>
      <c r="F251" s="340"/>
    </row>
    <row r="252" spans="1:6" ht="6" customHeight="1" x14ac:dyDescent="0.25">
      <c r="A252" s="34"/>
      <c r="B252" s="34"/>
      <c r="C252" s="325"/>
      <c r="D252" s="326"/>
      <c r="E252" s="326"/>
      <c r="F252" s="326"/>
    </row>
    <row r="253" spans="1:6" ht="16.149999999999999" customHeight="1" x14ac:dyDescent="0.25">
      <c r="A253" s="467" t="s">
        <v>46</v>
      </c>
      <c r="B253" s="467"/>
      <c r="C253" s="468"/>
      <c r="D253" s="469"/>
      <c r="E253" s="469"/>
      <c r="F253" s="469"/>
    </row>
    <row r="254" spans="1:6" x14ac:dyDescent="0.25">
      <c r="A254" s="45" t="s">
        <v>7</v>
      </c>
      <c r="B254" s="45" t="s">
        <v>8</v>
      </c>
      <c r="C254" s="328" t="s">
        <v>9</v>
      </c>
      <c r="D254" s="46" t="s">
        <v>2482</v>
      </c>
      <c r="E254" s="46" t="s">
        <v>2483</v>
      </c>
      <c r="F254" s="46"/>
    </row>
    <row r="255" spans="1:6" x14ac:dyDescent="0.25">
      <c r="A255" s="329" t="str">
        <f>'[5]10'!A36</f>
        <v>MKN 100-0135</v>
      </c>
      <c r="B255" s="330" t="str">
        <f>'[5]10'!B36</f>
        <v>Thru 4-1/2"OD Casing</v>
      </c>
      <c r="C255" s="331" t="str">
        <f>'[5]10'!C36</f>
        <v>Per Day</v>
      </c>
      <c r="D255" s="332">
        <f>'[5]10'!D36</f>
        <v>2050</v>
      </c>
      <c r="E255" s="332">
        <f>'[5]10'!E36</f>
        <v>1250</v>
      </c>
      <c r="F255" s="332"/>
    </row>
    <row r="256" spans="1:6" x14ac:dyDescent="0.25">
      <c r="A256" s="333" t="str">
        <f>'[5]10'!A37</f>
        <v>MKN 100-0136</v>
      </c>
      <c r="B256" s="334" t="str">
        <f>'[5]10'!B37</f>
        <v>Thru 5-1/2"OD Casing</v>
      </c>
      <c r="C256" s="335" t="str">
        <f>'[5]10'!C37</f>
        <v>Per Day</v>
      </c>
      <c r="D256" s="336">
        <f>'[5]10'!D37</f>
        <v>3100</v>
      </c>
      <c r="E256" s="336">
        <f>'[5]10'!E37</f>
        <v>1500</v>
      </c>
      <c r="F256" s="336"/>
    </row>
    <row r="257" spans="1:6" x14ac:dyDescent="0.25">
      <c r="A257" s="333" t="str">
        <f>'[5]10'!A38</f>
        <v>MKN 100-0137</v>
      </c>
      <c r="B257" s="334" t="str">
        <f>'[5]10'!B38</f>
        <v>Thru 7-5/8"OD Casing</v>
      </c>
      <c r="C257" s="335" t="str">
        <f>'[5]10'!C38</f>
        <v>Per Day</v>
      </c>
      <c r="D257" s="336">
        <f>'[5]10'!D38</f>
        <v>3900</v>
      </c>
      <c r="E257" s="336">
        <f>'[5]10'!E38</f>
        <v>1900</v>
      </c>
      <c r="F257" s="336"/>
    </row>
    <row r="258" spans="1:6" x14ac:dyDescent="0.25">
      <c r="A258" s="333" t="str">
        <f>'[5]10'!A39</f>
        <v>MKN 100-0138</v>
      </c>
      <c r="B258" s="334" t="str">
        <f>'[5]10'!B39</f>
        <v>Thru 9-5/8"OD Casing</v>
      </c>
      <c r="C258" s="335" t="str">
        <f>'[5]10'!C39</f>
        <v>Per Day</v>
      </c>
      <c r="D258" s="336">
        <f>'[5]10'!D39</f>
        <v>4750</v>
      </c>
      <c r="E258" s="336">
        <f>'[5]10'!E39</f>
        <v>2000</v>
      </c>
      <c r="F258" s="336"/>
    </row>
    <row r="259" spans="1:6" x14ac:dyDescent="0.25">
      <c r="A259" s="333" t="str">
        <f>'[5]10'!A40</f>
        <v>MKN 100-0139</v>
      </c>
      <c r="B259" s="334" t="str">
        <f>'[5]10'!B40</f>
        <v>Thru 10 3/4"OD Casing</v>
      </c>
      <c r="C259" s="335" t="str">
        <f>'[5]10'!C40</f>
        <v>Per Day</v>
      </c>
      <c r="D259" s="336">
        <f>'[5]10'!D40</f>
        <v>5100</v>
      </c>
      <c r="E259" s="336">
        <f>'[5]10'!E40</f>
        <v>2500</v>
      </c>
      <c r="F259" s="336"/>
    </row>
    <row r="260" spans="1:6" x14ac:dyDescent="0.25">
      <c r="A260" s="333" t="str">
        <f>'[5]10'!A41</f>
        <v>MKN 100-0140</v>
      </c>
      <c r="B260" s="334" t="str">
        <f>'[5]10'!B41</f>
        <v>Thru 11 3/4"OD Casing</v>
      </c>
      <c r="C260" s="335" t="str">
        <f>'[5]10'!C41</f>
        <v>Per Day</v>
      </c>
      <c r="D260" s="336">
        <f>'[5]10'!D41</f>
        <v>5100</v>
      </c>
      <c r="E260" s="336">
        <f>'[5]10'!E41</f>
        <v>2500</v>
      </c>
      <c r="F260" s="336"/>
    </row>
    <row r="261" spans="1:6" x14ac:dyDescent="0.25">
      <c r="A261" s="337" t="str">
        <f>'[5]10'!A42</f>
        <v>MKN 100-0141</v>
      </c>
      <c r="B261" s="338" t="str">
        <f>'[5]10'!B42</f>
        <v>Thru 13-3/8"OD Casing</v>
      </c>
      <c r="C261" s="339" t="str">
        <f>'[5]10'!C42</f>
        <v>Per Day</v>
      </c>
      <c r="D261" s="340">
        <f>'[5]10'!D42</f>
        <v>5700</v>
      </c>
      <c r="E261" s="340">
        <f>'[5]10'!E42</f>
        <v>3000</v>
      </c>
      <c r="F261" s="340"/>
    </row>
    <row r="262" spans="1:6" ht="6" customHeight="1" x14ac:dyDescent="0.25">
      <c r="A262" s="34"/>
      <c r="B262" s="34"/>
      <c r="C262" s="325"/>
      <c r="D262" s="326"/>
      <c r="E262" s="326"/>
      <c r="F262" s="326"/>
    </row>
    <row r="263" spans="1:6" ht="16.149999999999999" customHeight="1" x14ac:dyDescent="0.25">
      <c r="A263" s="467" t="s">
        <v>145</v>
      </c>
      <c r="B263" s="467"/>
      <c r="C263" s="468"/>
      <c r="D263" s="469"/>
      <c r="E263" s="469"/>
      <c r="F263" s="469"/>
    </row>
    <row r="264" spans="1:6" x14ac:dyDescent="0.25">
      <c r="A264" s="45" t="s">
        <v>7</v>
      </c>
      <c r="B264" s="45" t="s">
        <v>8</v>
      </c>
      <c r="C264" s="328"/>
      <c r="D264" s="46" t="s">
        <v>2482</v>
      </c>
      <c r="E264" s="46" t="s">
        <v>2483</v>
      </c>
      <c r="F264" s="46"/>
    </row>
    <row r="265" spans="1:6" x14ac:dyDescent="0.25">
      <c r="A265" s="329" t="str">
        <f>'[5]11'!A5</f>
        <v>MKN 100-0142</v>
      </c>
      <c r="B265" s="330" t="str">
        <f>'[5]11'!B5</f>
        <v>4 1/2" - 5" Casing</v>
      </c>
      <c r="C265" s="331"/>
      <c r="D265" s="332"/>
      <c r="E265" s="332">
        <f>'[5]11'!D5</f>
        <v>1500</v>
      </c>
      <c r="F265" s="332"/>
    </row>
    <row r="266" spans="1:6" x14ac:dyDescent="0.25">
      <c r="A266" s="333" t="str">
        <f>'[5]11'!A6</f>
        <v>MKN 100-0143</v>
      </c>
      <c r="B266" s="334" t="str">
        <f>'[5]11'!B6</f>
        <v>7" Casing</v>
      </c>
      <c r="C266" s="335"/>
      <c r="D266" s="336"/>
      <c r="E266" s="336">
        <f>'[5]11'!D6</f>
        <v>1500</v>
      </c>
      <c r="F266" s="336"/>
    </row>
    <row r="267" spans="1:6" x14ac:dyDescent="0.25">
      <c r="A267" s="333" t="str">
        <f>'[5]11'!A7</f>
        <v>MKN 100-0144</v>
      </c>
      <c r="B267" s="334" t="str">
        <f>'[5]11'!B7</f>
        <v>9 5/8" Casing</v>
      </c>
      <c r="C267" s="335"/>
      <c r="D267" s="336"/>
      <c r="E267" s="336">
        <f>'[5]11'!D7</f>
        <v>1700</v>
      </c>
      <c r="F267" s="336"/>
    </row>
    <row r="268" spans="1:6" x14ac:dyDescent="0.25">
      <c r="A268" s="337" t="str">
        <f>'[5]11'!A8</f>
        <v>MKN 100-0145</v>
      </c>
      <c r="B268" s="338" t="str">
        <f>'[5]11'!B8</f>
        <v>13 3/8" Casing</v>
      </c>
      <c r="C268" s="339"/>
      <c r="D268" s="340"/>
      <c r="E268" s="340">
        <f>'[5]11'!D8</f>
        <v>2200</v>
      </c>
      <c r="F268" s="340"/>
    </row>
    <row r="269" spans="1:6" ht="6" customHeight="1" x14ac:dyDescent="0.25">
      <c r="A269" s="34"/>
      <c r="B269" s="34"/>
      <c r="C269" s="325"/>
      <c r="D269" s="326"/>
      <c r="E269" s="326"/>
      <c r="F269" s="326"/>
    </row>
    <row r="270" spans="1:6" ht="16.149999999999999" customHeight="1" x14ac:dyDescent="0.25">
      <c r="A270" s="467" t="s">
        <v>2511</v>
      </c>
      <c r="B270" s="467"/>
      <c r="C270" s="468"/>
      <c r="D270" s="469"/>
      <c r="E270" s="469"/>
      <c r="F270" s="469"/>
    </row>
    <row r="271" spans="1:6" x14ac:dyDescent="0.25">
      <c r="A271" s="45" t="s">
        <v>7</v>
      </c>
      <c r="B271" s="45" t="s">
        <v>8</v>
      </c>
      <c r="C271" s="328" t="s">
        <v>9</v>
      </c>
      <c r="D271" s="46" t="s">
        <v>2481</v>
      </c>
      <c r="E271" s="46"/>
      <c r="F271" s="46"/>
    </row>
    <row r="272" spans="1:6" x14ac:dyDescent="0.25">
      <c r="A272" s="329" t="str">
        <f>'[5]11'!A14</f>
        <v>MKN 100-0146</v>
      </c>
      <c r="B272" s="330" t="str">
        <f>'[5]11'!B14</f>
        <v>SUCKER ROD CONN.</v>
      </c>
      <c r="C272" s="331" t="str">
        <f>'[5]11'!C14</f>
        <v>Per Day</v>
      </c>
      <c r="D272" s="332">
        <f>'[5]11'!D14</f>
        <v>420</v>
      </c>
      <c r="E272" s="332"/>
      <c r="F272" s="332"/>
    </row>
    <row r="273" spans="1:6" x14ac:dyDescent="0.25">
      <c r="A273" s="333" t="str">
        <f>'[5]11'!A15</f>
        <v>MKN 100-0147</v>
      </c>
      <c r="B273" s="334" t="str">
        <f>'[5]11'!B15</f>
        <v>2 7/8" CONN.</v>
      </c>
      <c r="C273" s="335" t="str">
        <f>'[5]11'!C15</f>
        <v>Per Day</v>
      </c>
      <c r="D273" s="336">
        <f>'[5]11'!D15</f>
        <v>950</v>
      </c>
      <c r="E273" s="336"/>
      <c r="F273" s="336"/>
    </row>
    <row r="274" spans="1:6" x14ac:dyDescent="0.25">
      <c r="A274" s="333" t="str">
        <f>'[5]11'!A16</f>
        <v>MKN 100-0148</v>
      </c>
      <c r="B274" s="334" t="str">
        <f>'[5]11'!B16</f>
        <v>3 1/2" CONN.</v>
      </c>
      <c r="C274" s="335" t="str">
        <f>'[5]11'!C16</f>
        <v>Per Day</v>
      </c>
      <c r="D274" s="336">
        <f>'[5]11'!D16</f>
        <v>1200</v>
      </c>
      <c r="E274" s="336"/>
      <c r="F274" s="336"/>
    </row>
    <row r="275" spans="1:6" x14ac:dyDescent="0.25">
      <c r="A275" s="333" t="str">
        <f>'[5]11'!A17</f>
        <v>MKN 100-0149</v>
      </c>
      <c r="B275" s="334" t="str">
        <f>'[5]11'!B17</f>
        <v>4 1/2" CONN.</v>
      </c>
      <c r="C275" s="335" t="str">
        <f>'[5]11'!C17</f>
        <v>Per Day</v>
      </c>
      <c r="D275" s="336">
        <f>'[5]11'!D17</f>
        <v>1650</v>
      </c>
      <c r="E275" s="336"/>
      <c r="F275" s="336"/>
    </row>
    <row r="276" spans="1:6" x14ac:dyDescent="0.25">
      <c r="A276" s="333" t="str">
        <f>'[5]11'!A18</f>
        <v>MKN 100-0150</v>
      </c>
      <c r="B276" s="334" t="str">
        <f>'[5]11'!B18</f>
        <v>5 1/2" CONN.</v>
      </c>
      <c r="C276" s="335" t="str">
        <f>'[5]11'!C18</f>
        <v>Per Day</v>
      </c>
      <c r="D276" s="336">
        <f>'[5]11'!D18</f>
        <v>1650</v>
      </c>
      <c r="E276" s="336"/>
      <c r="F276" s="336"/>
    </row>
    <row r="277" spans="1:6" x14ac:dyDescent="0.25">
      <c r="A277" s="333" t="str">
        <f>'[5]11'!A19</f>
        <v>MKN 100-0151</v>
      </c>
      <c r="B277" s="334" t="str">
        <f>'[5]11'!B19</f>
        <v>6 5/8" CONN.</v>
      </c>
      <c r="C277" s="335" t="str">
        <f>'[5]11'!C19</f>
        <v>Per Day</v>
      </c>
      <c r="D277" s="336">
        <f>'[5]11'!D19</f>
        <v>1650</v>
      </c>
      <c r="E277" s="336"/>
      <c r="F277" s="336"/>
    </row>
    <row r="278" spans="1:6" x14ac:dyDescent="0.25">
      <c r="A278" s="337" t="str">
        <f>'[5]11'!A20</f>
        <v>MKN 100-0152</v>
      </c>
      <c r="B278" s="338" t="str">
        <f>'[5]11'!B20</f>
        <v>7 5/8" CONN.</v>
      </c>
      <c r="C278" s="339" t="str">
        <f>'[5]11'!C20</f>
        <v>Per Day</v>
      </c>
      <c r="D278" s="340">
        <f>'[5]11'!D20</f>
        <v>1900</v>
      </c>
      <c r="E278" s="340"/>
      <c r="F278" s="340"/>
    </row>
    <row r="279" spans="1:6" ht="6" customHeight="1" x14ac:dyDescent="0.25">
      <c r="A279" s="34"/>
      <c r="B279" s="34"/>
      <c r="C279" s="325"/>
      <c r="D279" s="326"/>
      <c r="E279" s="326"/>
      <c r="F279" s="326"/>
    </row>
    <row r="280" spans="1:6" ht="16.149999999999999" customHeight="1" x14ac:dyDescent="0.25">
      <c r="A280" s="467" t="s">
        <v>2512</v>
      </c>
      <c r="B280" s="467"/>
      <c r="C280" s="468"/>
      <c r="D280" s="469"/>
      <c r="E280" s="469"/>
      <c r="F280" s="469"/>
    </row>
    <row r="281" spans="1:6" x14ac:dyDescent="0.25">
      <c r="A281" s="45" t="s">
        <v>7</v>
      </c>
      <c r="B281" s="45" t="s">
        <v>8</v>
      </c>
      <c r="C281" s="328" t="s">
        <v>9</v>
      </c>
      <c r="D281" s="46" t="s">
        <v>2481</v>
      </c>
      <c r="E281" s="46"/>
      <c r="F281" s="46"/>
    </row>
    <row r="282" spans="1:6" x14ac:dyDescent="0.25">
      <c r="A282" s="329" t="str">
        <f>'[5]11'!A22</f>
        <v>MKN 100-0153</v>
      </c>
      <c r="B282" s="330" t="str">
        <f>'[5]11'!B22</f>
        <v>2 7/8" O.D</v>
      </c>
      <c r="C282" s="331" t="str">
        <f>'[5]11'!C22</f>
        <v>Per Day</v>
      </c>
      <c r="D282" s="332">
        <f>'[5]11'!D22</f>
        <v>1350</v>
      </c>
      <c r="E282" s="332"/>
      <c r="F282" s="332"/>
    </row>
    <row r="283" spans="1:6" x14ac:dyDescent="0.25">
      <c r="A283" s="333" t="str">
        <f>'[5]11'!A23</f>
        <v>MKN 100-0154</v>
      </c>
      <c r="B283" s="334" t="str">
        <f>'[5]11'!B23</f>
        <v>5" O.D</v>
      </c>
      <c r="C283" s="335" t="str">
        <f>'[5]11'!C23</f>
        <v>Per Day</v>
      </c>
      <c r="D283" s="336">
        <f>'[5]11'!D23</f>
        <v>2000</v>
      </c>
      <c r="E283" s="336"/>
      <c r="F283" s="336"/>
    </row>
    <row r="284" spans="1:6" x14ac:dyDescent="0.25">
      <c r="A284" s="333" t="str">
        <f>'[5]11'!A24</f>
        <v>MKN 100-0155</v>
      </c>
      <c r="B284" s="334" t="str">
        <f>'[5]11'!B24</f>
        <v>6 5/8" O.D</v>
      </c>
      <c r="C284" s="335" t="str">
        <f>'[5]11'!C24</f>
        <v>Per Day</v>
      </c>
      <c r="D284" s="336">
        <f>'[5]11'!D24</f>
        <v>2700</v>
      </c>
      <c r="E284" s="336"/>
      <c r="F284" s="336"/>
    </row>
    <row r="285" spans="1:6" x14ac:dyDescent="0.25">
      <c r="A285" s="333" t="str">
        <f>'[5]11'!A25</f>
        <v>MKN 100-0156</v>
      </c>
      <c r="B285" s="334" t="str">
        <f>'[5]11'!B25</f>
        <v>8 5/8" O.D</v>
      </c>
      <c r="C285" s="335" t="str">
        <f>'[5]11'!C25</f>
        <v>Per Day</v>
      </c>
      <c r="D285" s="336">
        <f>'[5]11'!D25</f>
        <v>3850</v>
      </c>
      <c r="E285" s="336"/>
      <c r="F285" s="336"/>
    </row>
    <row r="286" spans="1:6" x14ac:dyDescent="0.25">
      <c r="A286" s="333" t="str">
        <f>'[5]11'!A26</f>
        <v>MKN 100-0157</v>
      </c>
      <c r="B286" s="334" t="str">
        <f>'[5]11'!B26</f>
        <v>13 3/8" O.D</v>
      </c>
      <c r="C286" s="335" t="str">
        <f>'[5]11'!C26</f>
        <v>Per Day</v>
      </c>
      <c r="D286" s="336">
        <f>'[5]11'!D26</f>
        <v>5100</v>
      </c>
      <c r="E286" s="336"/>
      <c r="F286" s="336"/>
    </row>
    <row r="287" spans="1:6" x14ac:dyDescent="0.25">
      <c r="A287" s="333" t="str">
        <f>'[5]11'!A27</f>
        <v>MKN 100-0158</v>
      </c>
      <c r="B287" s="334" t="str">
        <f>'[5]11'!B27</f>
        <v>16" O.D</v>
      </c>
      <c r="C287" s="335" t="str">
        <f>'[5]11'!C27</f>
        <v>Per Day</v>
      </c>
      <c r="D287" s="336">
        <f>'[5]11'!D27</f>
        <v>6900</v>
      </c>
      <c r="E287" s="336"/>
      <c r="F287" s="336"/>
    </row>
    <row r="288" spans="1:6" x14ac:dyDescent="0.25">
      <c r="A288" s="333" t="str">
        <f>'[5]11'!A28</f>
        <v>MKN 100-0159</v>
      </c>
      <c r="B288" s="334" t="str">
        <f>'[5]11'!B28</f>
        <v>20" O.D</v>
      </c>
      <c r="C288" s="335" t="str">
        <f>'[5]11'!C28</f>
        <v>Per Day</v>
      </c>
      <c r="D288" s="336">
        <f>'[5]11'!D28</f>
        <v>7250</v>
      </c>
      <c r="E288" s="336"/>
      <c r="F288" s="336"/>
    </row>
    <row r="289" spans="1:6" x14ac:dyDescent="0.25">
      <c r="A289" s="337" t="str">
        <f>'[5]11'!A29</f>
        <v>MKN 100-0160</v>
      </c>
      <c r="B289" s="338" t="str">
        <f>'[5]11'!B29</f>
        <v>36" O.D</v>
      </c>
      <c r="C289" s="339" t="str">
        <f>'[5]11'!C29</f>
        <v>Per Day</v>
      </c>
      <c r="D289" s="340">
        <f>'[5]11'!D29</f>
        <v>7584</v>
      </c>
      <c r="E289" s="340"/>
      <c r="F289" s="340"/>
    </row>
    <row r="290" spans="1:6" ht="6" customHeight="1" x14ac:dyDescent="0.25">
      <c r="A290" s="34"/>
      <c r="B290" s="34"/>
      <c r="C290" s="325"/>
      <c r="D290" s="326"/>
      <c r="E290" s="326"/>
      <c r="F290" s="326"/>
    </row>
    <row r="291" spans="1:6" ht="16.149999999999999" customHeight="1" x14ac:dyDescent="0.25">
      <c r="A291" s="467" t="s">
        <v>51</v>
      </c>
      <c r="B291" s="467"/>
      <c r="C291" s="468"/>
      <c r="D291" s="469"/>
      <c r="E291" s="469"/>
      <c r="F291" s="469"/>
    </row>
    <row r="292" spans="1:6" x14ac:dyDescent="0.25">
      <c r="A292" s="45" t="s">
        <v>7</v>
      </c>
      <c r="B292" s="45" t="s">
        <v>8</v>
      </c>
      <c r="C292" s="328" t="s">
        <v>9</v>
      </c>
      <c r="D292" s="46" t="s">
        <v>2481</v>
      </c>
      <c r="E292" s="46"/>
      <c r="F292" s="46"/>
    </row>
    <row r="293" spans="1:6" x14ac:dyDescent="0.25">
      <c r="A293" s="329" t="str">
        <f>'[5]11'!A34</f>
        <v>MKN 100-0161</v>
      </c>
      <c r="B293" s="330" t="str">
        <f>'[5]11'!B34</f>
        <v>2 7/8" CONN.</v>
      </c>
      <c r="C293" s="331" t="str">
        <f>'[5]11'!C34</f>
        <v>Per Day</v>
      </c>
      <c r="D293" s="332">
        <f>'[5]11'!D34</f>
        <v>290</v>
      </c>
      <c r="E293" s="332"/>
      <c r="F293" s="332"/>
    </row>
    <row r="294" spans="1:6" x14ac:dyDescent="0.25">
      <c r="A294" s="333" t="str">
        <f>'[5]11'!A35</f>
        <v>MKN 100-0162</v>
      </c>
      <c r="B294" s="334" t="str">
        <f>'[5]11'!B35</f>
        <v>3 1/2" CONN.</v>
      </c>
      <c r="C294" s="335" t="str">
        <f>'[5]11'!C35</f>
        <v>Per Day</v>
      </c>
      <c r="D294" s="336">
        <f>'[5]11'!D35</f>
        <v>290</v>
      </c>
      <c r="E294" s="336"/>
      <c r="F294" s="336"/>
    </row>
    <row r="295" spans="1:6" x14ac:dyDescent="0.25">
      <c r="A295" s="333" t="str">
        <f>'[5]11'!A36</f>
        <v>MKN 110-0163</v>
      </c>
      <c r="B295" s="334" t="str">
        <f>'[5]11'!B36</f>
        <v>4 1/2" CONN.</v>
      </c>
      <c r="C295" s="335" t="str">
        <f>'[5]11'!C36</f>
        <v>Per Day</v>
      </c>
      <c r="D295" s="336">
        <f>'[5]11'!D36</f>
        <v>350</v>
      </c>
      <c r="E295" s="336"/>
      <c r="F295" s="336"/>
    </row>
    <row r="296" spans="1:6" x14ac:dyDescent="0.25">
      <c r="A296" s="337" t="str">
        <f>'[5]11'!A37</f>
        <v>MKN 100-0164</v>
      </c>
      <c r="B296" s="338" t="str">
        <f>'[5]11'!B37</f>
        <v>6 5/8" CONN.</v>
      </c>
      <c r="C296" s="339" t="str">
        <f>'[5]11'!C37</f>
        <v>Per Day</v>
      </c>
      <c r="D296" s="340">
        <f>'[5]11'!D37</f>
        <v>350</v>
      </c>
      <c r="E296" s="340"/>
      <c r="F296" s="340"/>
    </row>
    <row r="297" spans="1:6" ht="6" customHeight="1" x14ac:dyDescent="0.25">
      <c r="A297" s="34"/>
      <c r="B297" s="34"/>
      <c r="C297" s="325"/>
      <c r="D297" s="326"/>
      <c r="E297" s="326"/>
      <c r="F297" s="326"/>
    </row>
    <row r="298" spans="1:6" ht="16.149999999999999" customHeight="1" x14ac:dyDescent="0.25">
      <c r="A298" s="467" t="s">
        <v>2513</v>
      </c>
      <c r="B298" s="467"/>
      <c r="C298" s="468"/>
      <c r="D298" s="469"/>
      <c r="E298" s="469"/>
      <c r="F298" s="469"/>
    </row>
    <row r="299" spans="1:6" x14ac:dyDescent="0.25">
      <c r="A299" s="45" t="s">
        <v>7</v>
      </c>
      <c r="B299" s="45" t="s">
        <v>8</v>
      </c>
      <c r="C299" s="328" t="s">
        <v>9</v>
      </c>
      <c r="D299" s="46" t="s">
        <v>2481</v>
      </c>
      <c r="E299" s="46"/>
      <c r="F299" s="46"/>
    </row>
    <row r="300" spans="1:6" x14ac:dyDescent="0.25">
      <c r="A300" s="329" t="str">
        <f>'[5]11'!A39</f>
        <v>MKN 100-0165</v>
      </c>
      <c r="B300" s="330" t="str">
        <f>'[5]11'!B39</f>
        <v>2 7/8" OD</v>
      </c>
      <c r="C300" s="331" t="str">
        <f>'[5]11'!C39</f>
        <v>Per Day</v>
      </c>
      <c r="D300" s="332">
        <f>'[5]11'!D39</f>
        <v>580</v>
      </c>
      <c r="E300" s="332"/>
      <c r="F300" s="332"/>
    </row>
    <row r="301" spans="1:6" x14ac:dyDescent="0.25">
      <c r="A301" s="333" t="str">
        <f>'[5]11'!A40</f>
        <v>MKN 100-0166</v>
      </c>
      <c r="B301" s="334" t="str">
        <f>'[5]11'!B40</f>
        <v>4" OD</v>
      </c>
      <c r="C301" s="335" t="str">
        <f>'[5]11'!C40</f>
        <v>Per Day</v>
      </c>
      <c r="D301" s="336">
        <f>'[5]11'!D40</f>
        <v>950</v>
      </c>
      <c r="E301" s="336"/>
      <c r="F301" s="336"/>
    </row>
    <row r="302" spans="1:6" x14ac:dyDescent="0.25">
      <c r="A302" s="333" t="str">
        <f>'[5]11'!A41</f>
        <v>MKN 100-0167</v>
      </c>
      <c r="B302" s="334" t="str">
        <f>'[5]11'!B41</f>
        <v>5" OD</v>
      </c>
      <c r="C302" s="335" t="str">
        <f>'[5]11'!C41</f>
        <v>Per Day</v>
      </c>
      <c r="D302" s="336">
        <f>'[5]11'!D41</f>
        <v>1350</v>
      </c>
      <c r="E302" s="336"/>
      <c r="F302" s="336"/>
    </row>
    <row r="303" spans="1:6" x14ac:dyDescent="0.25">
      <c r="A303" s="333" t="str">
        <f>'[5]11'!A42</f>
        <v>MKN 100-0168</v>
      </c>
      <c r="B303" s="334" t="str">
        <f>'[5]11'!B42</f>
        <v>7" OD</v>
      </c>
      <c r="C303" s="335" t="str">
        <f>'[5]11'!C42</f>
        <v>Per Day</v>
      </c>
      <c r="D303" s="336">
        <f>'[5]11'!D42</f>
        <v>1350</v>
      </c>
      <c r="E303" s="336"/>
      <c r="F303" s="336"/>
    </row>
    <row r="304" spans="1:6" x14ac:dyDescent="0.25">
      <c r="A304" s="333" t="str">
        <f>'[5]11'!A43</f>
        <v>MKN 100-0169</v>
      </c>
      <c r="B304" s="334" t="str">
        <f>'[5]11'!B43</f>
        <v>9 5/8" OD</v>
      </c>
      <c r="C304" s="335" t="str">
        <f>'[5]11'!C43</f>
        <v>Per Day</v>
      </c>
      <c r="D304" s="336">
        <f>'[5]11'!D43</f>
        <v>1450</v>
      </c>
      <c r="E304" s="336"/>
      <c r="F304" s="336"/>
    </row>
    <row r="305" spans="1:6" x14ac:dyDescent="0.25">
      <c r="A305" s="333" t="str">
        <f>'[5]11'!A44</f>
        <v>MKN 100-0170</v>
      </c>
      <c r="B305" s="334" t="str">
        <f>'[5]11'!B44</f>
        <v>13 3/8" OD</v>
      </c>
      <c r="C305" s="335" t="str">
        <f>'[5]11'!C44</f>
        <v>Per Day</v>
      </c>
      <c r="D305" s="336">
        <f>'[5]11'!D44</f>
        <v>2900</v>
      </c>
      <c r="E305" s="336"/>
      <c r="F305" s="336"/>
    </row>
    <row r="306" spans="1:6" x14ac:dyDescent="0.25">
      <c r="A306" s="337" t="str">
        <f>'[5]11'!A45</f>
        <v>MKN 100-0171</v>
      </c>
      <c r="B306" s="338" t="str">
        <f>'[5]11'!B45</f>
        <v>16" OD</v>
      </c>
      <c r="C306" s="339" t="str">
        <f>'[5]11'!C45</f>
        <v>Per Day</v>
      </c>
      <c r="D306" s="340">
        <f>'[5]11'!D45</f>
        <v>3200</v>
      </c>
      <c r="E306" s="340"/>
      <c r="F306" s="340"/>
    </row>
    <row r="307" spans="1:6" ht="6" customHeight="1" x14ac:dyDescent="0.25">
      <c r="A307" s="34"/>
      <c r="B307" s="34"/>
      <c r="C307" s="325"/>
      <c r="D307" s="326"/>
      <c r="E307" s="326"/>
      <c r="F307" s="326"/>
    </row>
    <row r="308" spans="1:6" ht="16.149999999999999" customHeight="1" x14ac:dyDescent="0.25">
      <c r="A308" s="467" t="s">
        <v>148</v>
      </c>
      <c r="B308" s="467"/>
      <c r="C308" s="468"/>
      <c r="D308" s="469"/>
      <c r="E308" s="469"/>
      <c r="F308" s="469"/>
    </row>
    <row r="309" spans="1:6" x14ac:dyDescent="0.25">
      <c r="A309" s="45" t="s">
        <v>7</v>
      </c>
      <c r="B309" s="45" t="s">
        <v>8</v>
      </c>
      <c r="C309" s="328" t="s">
        <v>9</v>
      </c>
      <c r="D309" s="46" t="s">
        <v>2482</v>
      </c>
      <c r="E309" s="46" t="s">
        <v>2483</v>
      </c>
      <c r="F309" s="46"/>
    </row>
    <row r="310" spans="1:6" x14ac:dyDescent="0.25">
      <c r="A310" s="329" t="str">
        <f>'[5]12'!A6</f>
        <v>MKN 100-0172</v>
      </c>
      <c r="B310" s="330" t="str">
        <f>'[5]12'!B6</f>
        <v>4 1/2" CONN.</v>
      </c>
      <c r="C310" s="331" t="str">
        <f>'[5]12'!C6</f>
        <v>LYD / Day</v>
      </c>
      <c r="D310" s="332">
        <f>'[5]12'!D6</f>
        <v>300</v>
      </c>
      <c r="E310" s="332">
        <f>'[5]12'!E6</f>
        <v>65</v>
      </c>
      <c r="F310" s="332"/>
    </row>
    <row r="311" spans="1:6" x14ac:dyDescent="0.25">
      <c r="A311" s="337" t="str">
        <f>'[5]12'!A7</f>
        <v>MKN 100-0173</v>
      </c>
      <c r="B311" s="338" t="str">
        <f>'[5]12'!B7</f>
        <v>6 5/8" CONN.</v>
      </c>
      <c r="C311" s="339" t="str">
        <f>'[5]12'!C7</f>
        <v>LYD / Day</v>
      </c>
      <c r="D311" s="340">
        <f>'[5]12'!D7</f>
        <v>400</v>
      </c>
      <c r="E311" s="340">
        <f>'[5]12'!E7</f>
        <v>85</v>
      </c>
      <c r="F311" s="340"/>
    </row>
    <row r="312" spans="1:6" ht="6" customHeight="1" x14ac:dyDescent="0.25">
      <c r="A312" s="34"/>
      <c r="B312" s="34"/>
      <c r="C312" s="325"/>
      <c r="D312" s="326"/>
      <c r="E312" s="326"/>
      <c r="F312" s="326"/>
    </row>
    <row r="313" spans="1:6" ht="16.149999999999999" customHeight="1" x14ac:dyDescent="0.25">
      <c r="A313" s="467" t="s">
        <v>54</v>
      </c>
      <c r="B313" s="467"/>
      <c r="C313" s="468"/>
      <c r="D313" s="469"/>
      <c r="E313" s="469"/>
      <c r="F313" s="469"/>
    </row>
    <row r="314" spans="1:6" x14ac:dyDescent="0.25">
      <c r="A314" s="45" t="s">
        <v>7</v>
      </c>
      <c r="B314" s="45" t="s">
        <v>8</v>
      </c>
      <c r="C314" s="328" t="s">
        <v>9</v>
      </c>
      <c r="D314" s="46" t="s">
        <v>2481</v>
      </c>
      <c r="E314" s="46"/>
      <c r="F314" s="46"/>
    </row>
    <row r="315" spans="1:6" x14ac:dyDescent="0.25">
      <c r="A315" s="329" t="str">
        <f>'[5]12'!A11</f>
        <v>MKN 100-0174</v>
      </c>
      <c r="B315" s="330" t="str">
        <f>'[5]12'!B11</f>
        <v>2-7/8" Connection size</v>
      </c>
      <c r="C315" s="331" t="str">
        <f>'[5]12'!C11</f>
        <v>Per Day</v>
      </c>
      <c r="D315" s="332">
        <f>'[5]12'!D11</f>
        <v>300</v>
      </c>
      <c r="E315" s="332"/>
      <c r="F315" s="332"/>
    </row>
    <row r="316" spans="1:6" x14ac:dyDescent="0.25">
      <c r="A316" s="333" t="str">
        <f>'[5]12'!A12</f>
        <v>MKN 100-0175</v>
      </c>
      <c r="B316" s="334" t="str">
        <f>'[5]12'!B12</f>
        <v>4-1/2" Connection size</v>
      </c>
      <c r="C316" s="335" t="str">
        <f>'[5]12'!C12</f>
        <v>Per Day</v>
      </c>
      <c r="D316" s="336">
        <f>'[5]12'!D12</f>
        <v>550</v>
      </c>
      <c r="E316" s="336"/>
      <c r="F316" s="336"/>
    </row>
    <row r="317" spans="1:6" x14ac:dyDescent="0.25">
      <c r="A317" s="333" t="str">
        <f>'[5]12'!A13</f>
        <v>MKN 100-0176</v>
      </c>
      <c r="B317" s="334" t="str">
        <f>'[5]12'!B13</f>
        <v>6 5/8" Connection size</v>
      </c>
      <c r="C317" s="335" t="str">
        <f>'[5]12'!C13</f>
        <v>Per Day</v>
      </c>
      <c r="D317" s="336">
        <f>'[5]12'!D13</f>
        <v>1310</v>
      </c>
      <c r="E317" s="336"/>
      <c r="F317" s="336"/>
    </row>
    <row r="318" spans="1:6" x14ac:dyDescent="0.25">
      <c r="A318" s="333" t="str">
        <f>'[5]12'!A14</f>
        <v>MKN 100-0177</v>
      </c>
      <c r="B318" s="334" t="str">
        <f>'[5]12'!B14</f>
        <v>7 5/8" Connection size</v>
      </c>
      <c r="C318" s="335" t="str">
        <f>'[5]12'!C14</f>
        <v>Per Day</v>
      </c>
      <c r="D318" s="336">
        <f>'[5]12'!D14</f>
        <v>1350</v>
      </c>
      <c r="E318" s="336"/>
      <c r="F318" s="336"/>
    </row>
    <row r="319" spans="1:6" x14ac:dyDescent="0.25">
      <c r="A319" s="337" t="str">
        <f>'[5]12'!A15</f>
        <v>MKN 100-0178</v>
      </c>
      <c r="B319" s="338" t="str">
        <f>'[5]12'!B15</f>
        <v>8 5/8" Connection size</v>
      </c>
      <c r="C319" s="339" t="str">
        <f>'[5]12'!C15</f>
        <v>Per Day</v>
      </c>
      <c r="D319" s="340">
        <f>'[5]12'!D15</f>
        <v>1950</v>
      </c>
      <c r="E319" s="340"/>
      <c r="F319" s="340"/>
    </row>
    <row r="320" spans="1:6" ht="6" customHeight="1" x14ac:dyDescent="0.25">
      <c r="A320" s="34"/>
      <c r="B320" s="34"/>
      <c r="C320" s="325"/>
      <c r="D320" s="326"/>
      <c r="E320" s="326"/>
      <c r="F320" s="326"/>
    </row>
    <row r="321" spans="1:6" ht="16.149999999999999" customHeight="1" x14ac:dyDescent="0.25">
      <c r="A321" s="467" t="s">
        <v>149</v>
      </c>
      <c r="B321" s="467"/>
      <c r="C321" s="468"/>
      <c r="D321" s="469"/>
      <c r="E321" s="469"/>
      <c r="F321" s="469"/>
    </row>
    <row r="322" spans="1:6" x14ac:dyDescent="0.25">
      <c r="A322" s="45" t="s">
        <v>7</v>
      </c>
      <c r="B322" s="45" t="s">
        <v>8</v>
      </c>
      <c r="C322" s="328" t="s">
        <v>9</v>
      </c>
      <c r="D322" s="46" t="s">
        <v>2481</v>
      </c>
      <c r="E322" s="46"/>
      <c r="F322" s="46"/>
    </row>
    <row r="323" spans="1:6" x14ac:dyDescent="0.25">
      <c r="A323" s="329" t="str">
        <f>'[5]12'!A18</f>
        <v>MKN 100-0179</v>
      </c>
      <c r="B323" s="330" t="str">
        <f>'[5]12'!B18</f>
        <v>Thru 7-3/8"OD</v>
      </c>
      <c r="C323" s="331" t="str">
        <f>'[5]12'!C18</f>
        <v>Per Job</v>
      </c>
      <c r="D323" s="332">
        <f>'[5]12'!D18</f>
        <v>200</v>
      </c>
      <c r="E323" s="332"/>
      <c r="F323" s="332"/>
    </row>
    <row r="324" spans="1:6" x14ac:dyDescent="0.25">
      <c r="A324" s="333" t="str">
        <f>'[5]12'!A19</f>
        <v>MKN 100-0180</v>
      </c>
      <c r="B324" s="334" t="str">
        <f>'[5]12'!B19</f>
        <v>Thru 13-3/8"OD</v>
      </c>
      <c r="C324" s="335" t="str">
        <f>'[5]12'!C19</f>
        <v>Per Job</v>
      </c>
      <c r="D324" s="336">
        <f>'[5]12'!D19</f>
        <v>300</v>
      </c>
      <c r="E324" s="336"/>
      <c r="F324" s="336"/>
    </row>
    <row r="325" spans="1:6" x14ac:dyDescent="0.25">
      <c r="A325" s="337" t="str">
        <f>'[5]12'!A20</f>
        <v>MKN 100-0181</v>
      </c>
      <c r="B325" s="338" t="str">
        <f>'[5]12'!B20</f>
        <v>Thru 18"OD</v>
      </c>
      <c r="C325" s="339" t="str">
        <f>'[5]12'!C20</f>
        <v>Per Job</v>
      </c>
      <c r="D325" s="340">
        <f>'[5]12'!D20</f>
        <v>360</v>
      </c>
      <c r="E325" s="340"/>
      <c r="F325" s="340"/>
    </row>
    <row r="326" spans="1:6" ht="6" customHeight="1" x14ac:dyDescent="0.25">
      <c r="A326" s="34"/>
      <c r="B326" s="34"/>
      <c r="C326" s="325"/>
      <c r="D326" s="326"/>
      <c r="E326" s="326"/>
      <c r="F326" s="326"/>
    </row>
    <row r="327" spans="1:6" ht="16.149999999999999" customHeight="1" x14ac:dyDescent="0.25">
      <c r="A327" s="467" t="s">
        <v>2514</v>
      </c>
      <c r="B327" s="467"/>
      <c r="C327" s="468"/>
      <c r="D327" s="469"/>
      <c r="E327" s="469"/>
      <c r="F327" s="469"/>
    </row>
    <row r="328" spans="1:6" x14ac:dyDescent="0.25">
      <c r="A328" s="45" t="s">
        <v>7</v>
      </c>
      <c r="B328" s="45" t="s">
        <v>8</v>
      </c>
      <c r="C328" s="328" t="s">
        <v>9</v>
      </c>
      <c r="D328" s="46" t="s">
        <v>2482</v>
      </c>
      <c r="E328" s="46" t="s">
        <v>2483</v>
      </c>
      <c r="F328" s="46"/>
    </row>
    <row r="329" spans="1:6" x14ac:dyDescent="0.25">
      <c r="A329" s="329" t="str">
        <f>'[5]12'!A26</f>
        <v>MKN 100-0182</v>
      </c>
      <c r="B329" s="330" t="str">
        <f>'[5]12'!B26</f>
        <v>Sucker Rod CONN.</v>
      </c>
      <c r="C329" s="331" t="str">
        <f>'[5]12'!C26</f>
        <v>LYD / Day</v>
      </c>
      <c r="D329" s="332">
        <f>'[5]12'!D26</f>
        <v>80</v>
      </c>
      <c r="E329" s="332">
        <f>'[5]12'!E26</f>
        <v>25</v>
      </c>
      <c r="F329" s="332"/>
    </row>
    <row r="330" spans="1:6" x14ac:dyDescent="0.25">
      <c r="A330" s="333" t="str">
        <f>'[5]12'!A27</f>
        <v>MKN 100-0183</v>
      </c>
      <c r="B330" s="334" t="str">
        <f>'[5]12'!B27</f>
        <v>2 7/8" CONN.</v>
      </c>
      <c r="C330" s="335" t="str">
        <f>'[5]12'!C27</f>
        <v>LYD / Day</v>
      </c>
      <c r="D330" s="336">
        <f>'[5]12'!D27</f>
        <v>150</v>
      </c>
      <c r="E330" s="336">
        <f>'[5]12'!E27</f>
        <v>57</v>
      </c>
      <c r="F330" s="336"/>
    </row>
    <row r="331" spans="1:6" x14ac:dyDescent="0.25">
      <c r="A331" s="333" t="str">
        <f>'[5]12'!A28</f>
        <v>MKN 100-0184</v>
      </c>
      <c r="B331" s="334" t="str">
        <f>'[5]12'!B28</f>
        <v>3 1/2" CONN.</v>
      </c>
      <c r="C331" s="335" t="str">
        <f>'[5]12'!C28</f>
        <v>LYD / Day</v>
      </c>
      <c r="D331" s="336">
        <f>'[5]12'!D28</f>
        <v>150</v>
      </c>
      <c r="E331" s="336">
        <f>'[5]12'!E28</f>
        <v>57</v>
      </c>
      <c r="F331" s="336"/>
    </row>
    <row r="332" spans="1:6" x14ac:dyDescent="0.25">
      <c r="A332" s="333" t="str">
        <f>'[5]12'!A29</f>
        <v>MKN 100-0185</v>
      </c>
      <c r="B332" s="334" t="str">
        <f>'[5]12'!B29</f>
        <v>4 1/2" CONN.</v>
      </c>
      <c r="C332" s="335" t="str">
        <f>'[5]12'!C29</f>
        <v>LYD / Day</v>
      </c>
      <c r="D332" s="336">
        <f>'[5]12'!D29</f>
        <v>180</v>
      </c>
      <c r="E332" s="336">
        <f>'[5]12'!E29</f>
        <v>75</v>
      </c>
      <c r="F332" s="336"/>
    </row>
    <row r="333" spans="1:6" x14ac:dyDescent="0.25">
      <c r="A333" s="333" t="str">
        <f>'[5]12'!A30</f>
        <v>MKN 100-0186</v>
      </c>
      <c r="B333" s="334" t="str">
        <f>'[5]12'!B30</f>
        <v>6 5/8" CONN.</v>
      </c>
      <c r="C333" s="335" t="str">
        <f>'[5]12'!C30</f>
        <v>LYD / Day</v>
      </c>
      <c r="D333" s="336">
        <f>'[5]12'!D30</f>
        <v>350</v>
      </c>
      <c r="E333" s="336">
        <f>'[5]12'!E30</f>
        <v>90</v>
      </c>
      <c r="F333" s="336"/>
    </row>
    <row r="334" spans="1:6" x14ac:dyDescent="0.25">
      <c r="A334" s="337" t="str">
        <f>'[5]12'!A31</f>
        <v>MKN 100-0187</v>
      </c>
      <c r="B334" s="338" t="str">
        <f>'[5]12'!B31</f>
        <v>7 5/8" CONN.</v>
      </c>
      <c r="C334" s="339" t="str">
        <f>'[5]12'!C31</f>
        <v>LYD / Day</v>
      </c>
      <c r="D334" s="340">
        <f>'[5]12'!D31</f>
        <v>350</v>
      </c>
      <c r="E334" s="340">
        <f>'[5]12'!E31</f>
        <v>90</v>
      </c>
      <c r="F334" s="340"/>
    </row>
    <row r="335" spans="1:6" ht="6" customHeight="1" x14ac:dyDescent="0.25">
      <c r="A335" s="34"/>
      <c r="B335" s="34"/>
      <c r="C335" s="325"/>
      <c r="D335" s="326"/>
      <c r="E335" s="326"/>
      <c r="F335" s="326"/>
    </row>
    <row r="336" spans="1:6" ht="16.149999999999999" customHeight="1" x14ac:dyDescent="0.25">
      <c r="A336" s="467" t="s">
        <v>58</v>
      </c>
      <c r="B336" s="467"/>
      <c r="C336" s="468"/>
      <c r="D336" s="469"/>
      <c r="E336" s="469"/>
      <c r="F336" s="469"/>
    </row>
    <row r="337" spans="1:6" x14ac:dyDescent="0.25">
      <c r="A337" s="45" t="s">
        <v>7</v>
      </c>
      <c r="B337" s="45" t="s">
        <v>8</v>
      </c>
      <c r="C337" s="328" t="s">
        <v>9</v>
      </c>
      <c r="D337" s="46" t="s">
        <v>2481</v>
      </c>
      <c r="E337" s="46"/>
      <c r="F337" s="46"/>
    </row>
    <row r="338" spans="1:6" x14ac:dyDescent="0.25">
      <c r="A338" s="341" t="str">
        <f>'[5]12'!A35</f>
        <v>MKN 100-0194</v>
      </c>
      <c r="B338" s="342" t="str">
        <f>'[5]12'!B35</f>
        <v>All Sizes</v>
      </c>
      <c r="C338" s="343" t="str">
        <f>'[5]12'!C35</f>
        <v>Per Run</v>
      </c>
      <c r="D338" s="344">
        <f>'[5]12'!D35</f>
        <v>430</v>
      </c>
      <c r="E338" s="344"/>
      <c r="F338" s="344"/>
    </row>
    <row r="339" spans="1:6" ht="6" customHeight="1" x14ac:dyDescent="0.25">
      <c r="A339" s="34"/>
      <c r="B339" s="34"/>
      <c r="C339" s="325"/>
      <c r="D339" s="326"/>
      <c r="E339" s="326"/>
      <c r="F339" s="326"/>
    </row>
    <row r="340" spans="1:6" ht="16.149999999999999" customHeight="1" x14ac:dyDescent="0.25">
      <c r="A340" s="467" t="s">
        <v>2515</v>
      </c>
      <c r="B340" s="467"/>
      <c r="C340" s="468"/>
      <c r="D340" s="469"/>
      <c r="E340" s="469"/>
      <c r="F340" s="469"/>
    </row>
    <row r="341" spans="1:6" x14ac:dyDescent="0.25">
      <c r="A341" s="45" t="s">
        <v>7</v>
      </c>
      <c r="B341" s="45" t="s">
        <v>8</v>
      </c>
      <c r="C341" s="328" t="s">
        <v>9</v>
      </c>
      <c r="D341" s="46" t="s">
        <v>2481</v>
      </c>
      <c r="E341" s="46"/>
      <c r="F341" s="46"/>
    </row>
    <row r="342" spans="1:6" x14ac:dyDescent="0.25">
      <c r="A342" s="329" t="str">
        <f>'[5]12'!A37</f>
        <v>MKN 100-0195</v>
      </c>
      <c r="B342" s="330" t="str">
        <f>'[5]12'!B37</f>
        <v>Thru 2 1/2" OD</v>
      </c>
      <c r="C342" s="331" t="str">
        <f>'[5]12'!C37</f>
        <v>Per Run</v>
      </c>
      <c r="D342" s="332">
        <f>'[5]12'!D37</f>
        <v>380</v>
      </c>
      <c r="E342" s="332"/>
      <c r="F342" s="332"/>
    </row>
    <row r="343" spans="1:6" x14ac:dyDescent="0.25">
      <c r="A343" s="333" t="str">
        <f>'[5]12'!A38</f>
        <v>MKN 100-0196</v>
      </c>
      <c r="B343" s="334" t="str">
        <f>'[5]12'!B38</f>
        <v>Thru 3 3/4" OD</v>
      </c>
      <c r="C343" s="335" t="str">
        <f>'[5]12'!C38</f>
        <v>Per Run</v>
      </c>
      <c r="D343" s="336">
        <f>'[5]12'!D38</f>
        <v>570</v>
      </c>
      <c r="E343" s="336"/>
      <c r="F343" s="336"/>
    </row>
    <row r="344" spans="1:6" x14ac:dyDescent="0.25">
      <c r="A344" s="333" t="str">
        <f>'[5]12'!A39</f>
        <v>MKN 100-0197</v>
      </c>
      <c r="B344" s="334" t="str">
        <f>'[5]12'!B39</f>
        <v>Thru 4 3/4" OD</v>
      </c>
      <c r="C344" s="335" t="str">
        <f>'[5]12'!C39</f>
        <v>Per Run</v>
      </c>
      <c r="D344" s="336">
        <f>'[5]12'!D39</f>
        <v>800</v>
      </c>
      <c r="E344" s="336"/>
      <c r="F344" s="336"/>
    </row>
    <row r="345" spans="1:6" x14ac:dyDescent="0.25">
      <c r="A345" s="333" t="str">
        <f>'[5]12'!A40</f>
        <v>MKN 100-0198</v>
      </c>
      <c r="B345" s="334" t="str">
        <f>'[5]12'!B40</f>
        <v>Thru 5 3/4" OD</v>
      </c>
      <c r="C345" s="335" t="str">
        <f>'[5]12'!C40</f>
        <v>Per Run</v>
      </c>
      <c r="D345" s="336">
        <f>'[5]12'!D40</f>
        <v>950</v>
      </c>
      <c r="E345" s="336"/>
      <c r="F345" s="336"/>
    </row>
    <row r="346" spans="1:6" x14ac:dyDescent="0.25">
      <c r="A346" s="333" t="str">
        <f>'[5]12'!A41</f>
        <v>MKN 100-0199</v>
      </c>
      <c r="B346" s="334" t="str">
        <f>'[5]12'!B41</f>
        <v>Thru 6 3/4" OD</v>
      </c>
      <c r="C346" s="335" t="str">
        <f>'[5]12'!C41</f>
        <v>Per Run</v>
      </c>
      <c r="D346" s="336">
        <f>'[5]12'!D41</f>
        <v>1200</v>
      </c>
      <c r="E346" s="336"/>
      <c r="F346" s="336"/>
    </row>
    <row r="347" spans="1:6" x14ac:dyDescent="0.25">
      <c r="A347" s="333" t="str">
        <f>'[5]12'!A42</f>
        <v>MKN 100-0200</v>
      </c>
      <c r="B347" s="334" t="str">
        <f>'[5]12'!B42</f>
        <v>Thru 7 5/8" OD</v>
      </c>
      <c r="C347" s="335" t="str">
        <f>'[5]12'!C42</f>
        <v>Per Run</v>
      </c>
      <c r="D347" s="336">
        <f>'[5]12'!D42</f>
        <v>1700</v>
      </c>
      <c r="E347" s="336"/>
      <c r="F347" s="336"/>
    </row>
    <row r="348" spans="1:6" x14ac:dyDescent="0.25">
      <c r="A348" s="333" t="str">
        <f>'[5]12'!A43</f>
        <v>MKN 100-0201</v>
      </c>
      <c r="B348" s="334" t="str">
        <f>'[5]12'!B43</f>
        <v>Thru 9 5/8" OD</v>
      </c>
      <c r="C348" s="335" t="str">
        <f>'[5]12'!C43</f>
        <v>Per Run</v>
      </c>
      <c r="D348" s="336">
        <f>'[5]12'!D43</f>
        <v>2000</v>
      </c>
      <c r="E348" s="336"/>
      <c r="F348" s="336"/>
    </row>
    <row r="349" spans="1:6" x14ac:dyDescent="0.25">
      <c r="A349" s="337" t="str">
        <f>'[5]12'!A44</f>
        <v>MKN 100-0202</v>
      </c>
      <c r="B349" s="338" t="str">
        <f>'[5]12'!B44</f>
        <v>Thru 10 3/4" OD</v>
      </c>
      <c r="C349" s="339" t="str">
        <f>'[5]12'!C44</f>
        <v>Per Run</v>
      </c>
      <c r="D349" s="340">
        <f>'[5]12'!D44</f>
        <v>2900</v>
      </c>
      <c r="E349" s="340"/>
      <c r="F349" s="340"/>
    </row>
    <row r="350" spans="1:6" ht="6" customHeight="1" x14ac:dyDescent="0.25">
      <c r="A350" s="34"/>
      <c r="B350" s="34"/>
      <c r="C350" s="325"/>
      <c r="D350" s="326"/>
      <c r="E350" s="326"/>
      <c r="F350" s="326"/>
    </row>
    <row r="351" spans="1:6" ht="16.149999999999999" customHeight="1" x14ac:dyDescent="0.25">
      <c r="A351" s="467" t="s">
        <v>2516</v>
      </c>
      <c r="B351" s="467"/>
      <c r="C351" s="468"/>
      <c r="D351" s="469"/>
      <c r="E351" s="469"/>
      <c r="F351" s="469"/>
    </row>
    <row r="352" spans="1:6" x14ac:dyDescent="0.25">
      <c r="A352" s="45" t="s">
        <v>7</v>
      </c>
      <c r="B352" s="45" t="s">
        <v>8</v>
      </c>
      <c r="C352" s="328" t="s">
        <v>9</v>
      </c>
      <c r="D352" s="46" t="s">
        <v>2481</v>
      </c>
      <c r="E352" s="46"/>
      <c r="F352" s="46"/>
    </row>
    <row r="353" spans="1:6" x14ac:dyDescent="0.25">
      <c r="A353" s="329" t="str">
        <f>'[5]13'!A3</f>
        <v>MKN 100-203</v>
      </c>
      <c r="B353" s="330" t="str">
        <f>'[5]13'!B3</f>
        <v>Redress charge for fishing jar thru 6 ½" OD</v>
      </c>
      <c r="C353" s="331" t="str">
        <f>'[5]13'!C3</f>
        <v>Per run</v>
      </c>
      <c r="D353" s="332">
        <f>'[5]13'!D3</f>
        <v>3000</v>
      </c>
      <c r="E353" s="332"/>
      <c r="F353" s="332"/>
    </row>
    <row r="354" spans="1:6" x14ac:dyDescent="0.25">
      <c r="A354" s="333" t="str">
        <f>'[5]13'!A4</f>
        <v>MKN 100-204</v>
      </c>
      <c r="B354" s="334" t="str">
        <f>'[5]13'!B4</f>
        <v>Redress charge for fishing jar thru 8 ¾" OD</v>
      </c>
      <c r="C354" s="335" t="str">
        <f>'[5]13'!C4</f>
        <v>Per run</v>
      </c>
      <c r="D354" s="336">
        <f>'[5]13'!D4</f>
        <v>3500</v>
      </c>
      <c r="E354" s="336"/>
      <c r="F354" s="336"/>
    </row>
    <row r="355" spans="1:6" x14ac:dyDescent="0.25">
      <c r="A355" s="333" t="str">
        <f>'[5]13'!A5</f>
        <v>MKN 100-205</v>
      </c>
      <c r="B355" s="334" t="str">
        <f>'[5]13'!B5</f>
        <v>Redress charge for bumper sub thru 6 ¼" OD</v>
      </c>
      <c r="C355" s="335" t="str">
        <f>'[5]13'!C5</f>
        <v>Per run</v>
      </c>
      <c r="D355" s="336">
        <f>'[5]13'!D5</f>
        <v>2000</v>
      </c>
      <c r="E355" s="336"/>
      <c r="F355" s="336"/>
    </row>
    <row r="356" spans="1:6" x14ac:dyDescent="0.25">
      <c r="A356" s="337" t="str">
        <f>'[5]13'!A6</f>
        <v>MKN 100-206</v>
      </c>
      <c r="B356" s="338" t="str">
        <f>'[5]13'!B6</f>
        <v>Redress charge for bumper sub thru 8 ¾" OD</v>
      </c>
      <c r="C356" s="339" t="str">
        <f>'[5]13'!C6</f>
        <v>Per run</v>
      </c>
      <c r="D356" s="340">
        <f>'[5]13'!D6</f>
        <v>2500</v>
      </c>
      <c r="E356" s="340"/>
      <c r="F356" s="340"/>
    </row>
    <row r="357" spans="1:6" ht="6" customHeight="1" x14ac:dyDescent="0.25">
      <c r="A357" s="34"/>
      <c r="B357" s="34"/>
      <c r="C357" s="325"/>
      <c r="D357" s="326"/>
      <c r="E357" s="326"/>
      <c r="F357" s="326"/>
    </row>
    <row r="358" spans="1:6" ht="16.149999999999999" customHeight="1" x14ac:dyDescent="0.25">
      <c r="A358" s="467" t="s">
        <v>2517</v>
      </c>
      <c r="B358" s="467"/>
      <c r="C358" s="468"/>
      <c r="D358" s="469"/>
      <c r="E358" s="469"/>
      <c r="F358" s="469"/>
    </row>
    <row r="359" spans="1:6" x14ac:dyDescent="0.25">
      <c r="A359" s="45" t="s">
        <v>7</v>
      </c>
      <c r="B359" s="45" t="s">
        <v>8</v>
      </c>
      <c r="C359" s="328" t="s">
        <v>9</v>
      </c>
      <c r="D359" s="46" t="s">
        <v>2481</v>
      </c>
      <c r="E359" s="46"/>
      <c r="F359" s="46"/>
    </row>
    <row r="360" spans="1:6" x14ac:dyDescent="0.25">
      <c r="A360" s="329" t="str">
        <f>'[5]13'!A9</f>
        <v>MKN 100-207</v>
      </c>
      <c r="B360" s="330" t="str">
        <f>'[5]13'!B9</f>
        <v>Refill impression block thru 8" OD</v>
      </c>
      <c r="C360" s="331" t="str">
        <f>'[5]13'!C9</f>
        <v>Per run</v>
      </c>
      <c r="D360" s="332">
        <f>'[5]13'!D9</f>
        <v>3500</v>
      </c>
      <c r="E360" s="332"/>
      <c r="F360" s="332"/>
    </row>
    <row r="361" spans="1:6" x14ac:dyDescent="0.25">
      <c r="A361" s="333" t="str">
        <f>'[5]13'!A10</f>
        <v>MKN 100-208</v>
      </c>
      <c r="B361" s="334" t="str">
        <f>'[5]13'!B10</f>
        <v>Refill impression block thru 13 3/8" OD</v>
      </c>
      <c r="C361" s="335" t="str">
        <f>'[5]13'!C10</f>
        <v>Per run</v>
      </c>
      <c r="D361" s="336">
        <f>'[5]13'!D10</f>
        <v>3900</v>
      </c>
      <c r="E361" s="336"/>
      <c r="F361" s="336"/>
    </row>
    <row r="362" spans="1:6" ht="24" x14ac:dyDescent="0.25">
      <c r="A362" s="333" t="str">
        <f>'[5]13'!A11</f>
        <v>MKN 100-209</v>
      </c>
      <c r="B362" s="334" t="str">
        <f>'[5]13'!B11</f>
        <v>Redress junk basket with tungsten carbide thru 8 ¾" OD</v>
      </c>
      <c r="C362" s="335" t="str">
        <f>'[5]13'!C11</f>
        <v>Per run</v>
      </c>
      <c r="D362" s="336">
        <f>'[5]13'!D11</f>
        <v>2700</v>
      </c>
      <c r="E362" s="336"/>
      <c r="F362" s="336"/>
    </row>
    <row r="363" spans="1:6" ht="24" x14ac:dyDescent="0.25">
      <c r="A363" s="333" t="str">
        <f>'[5]13'!A12</f>
        <v>MKN 100-210</v>
      </c>
      <c r="B363" s="334" t="str">
        <f>'[5]13'!B12</f>
        <v>Redress junk basket with tungsten carbide thru 13 3/8" OD</v>
      </c>
      <c r="C363" s="335" t="str">
        <f>'[5]13'!C12</f>
        <v>Per run</v>
      </c>
      <c r="D363" s="336">
        <f>'[5]13'!D12</f>
        <v>3300</v>
      </c>
      <c r="E363" s="336"/>
      <c r="F363" s="336"/>
    </row>
    <row r="364" spans="1:6" x14ac:dyDescent="0.25">
      <c r="A364" s="337" t="str">
        <f>'[5]13'!A13</f>
        <v>MKN 100-211</v>
      </c>
      <c r="B364" s="338" t="str">
        <f>'[5]13'!B13</f>
        <v>Redress charge for washover pipe all sizes</v>
      </c>
      <c r="C364" s="339" t="str">
        <f>'[5]13'!C13</f>
        <v>.....</v>
      </c>
      <c r="D364" s="340">
        <f>'[5]13'!D13</f>
        <v>7000</v>
      </c>
      <c r="E364" s="340"/>
      <c r="F364" s="340"/>
    </row>
    <row r="365" spans="1:6" ht="6" customHeight="1" x14ac:dyDescent="0.25">
      <c r="A365" s="34"/>
      <c r="B365" s="34"/>
      <c r="C365" s="325"/>
      <c r="D365" s="326"/>
      <c r="E365" s="326"/>
      <c r="F365" s="326"/>
    </row>
    <row r="366" spans="1:6" ht="16.149999999999999" customHeight="1" x14ac:dyDescent="0.25">
      <c r="A366" s="467" t="s">
        <v>2518</v>
      </c>
      <c r="B366" s="467"/>
      <c r="C366" s="468"/>
      <c r="D366" s="469"/>
      <c r="E366" s="469"/>
      <c r="F366" s="469"/>
    </row>
    <row r="367" spans="1:6" x14ac:dyDescent="0.25">
      <c r="A367" s="45" t="s">
        <v>7</v>
      </c>
      <c r="B367" s="45" t="s">
        <v>8</v>
      </c>
      <c r="C367" s="328" t="s">
        <v>9</v>
      </c>
      <c r="D367" s="46" t="s">
        <v>2481</v>
      </c>
      <c r="E367" s="46"/>
      <c r="F367" s="46"/>
    </row>
    <row r="368" spans="1:6" x14ac:dyDescent="0.25">
      <c r="A368" s="329" t="str">
        <f>'[5]13'!A16</f>
        <v>MKN 100-212</v>
      </c>
      <c r="B368" s="330" t="str">
        <f>'[5]13'!B16</f>
        <v>Skirted mill thru 8 ¾" OD</v>
      </c>
      <c r="C368" s="331" t="str">
        <f>'[5]13'!C16</f>
        <v>Per day</v>
      </c>
      <c r="D368" s="332">
        <f>'[5]13'!D16</f>
        <v>4000</v>
      </c>
      <c r="E368" s="332"/>
      <c r="F368" s="332"/>
    </row>
    <row r="369" spans="1:6" x14ac:dyDescent="0.25">
      <c r="A369" s="333" t="str">
        <f>'[5]13'!A17</f>
        <v>MKN 100-213</v>
      </c>
      <c r="B369" s="334" t="str">
        <f>'[5]13'!B17</f>
        <v>Skirted mill thru 13 3/8" OD</v>
      </c>
      <c r="C369" s="335" t="str">
        <f>'[5]13'!C17</f>
        <v>Per day</v>
      </c>
      <c r="D369" s="336">
        <f>'[5]13'!D17</f>
        <v>4800</v>
      </c>
      <c r="E369" s="336"/>
      <c r="F369" s="336"/>
    </row>
    <row r="370" spans="1:6" ht="24" x14ac:dyDescent="0.25">
      <c r="A370" s="333" t="str">
        <f>'[5]13'!A18</f>
        <v>MKN 100-214</v>
      </c>
      <c r="B370" s="334" t="str">
        <f>'[5]13'!B18</f>
        <v>Refill washover pipe dressed with crushed carbide for skirted mill all sizes</v>
      </c>
      <c r="C370" s="335" t="str">
        <f>'[5]13'!C18</f>
        <v>Per run</v>
      </c>
      <c r="D370" s="336">
        <f>'[5]13'!D18</f>
        <v>3000</v>
      </c>
      <c r="E370" s="336"/>
      <c r="F370" s="336"/>
    </row>
    <row r="371" spans="1:6" ht="24" x14ac:dyDescent="0.25">
      <c r="A371" s="337" t="str">
        <f>'[5]13'!A19</f>
        <v>MKN 100-215</v>
      </c>
      <c r="B371" s="338" t="str">
        <f>'[5]13'!B19</f>
        <v>Refill junk mill with crushed carbide for skirted mill all sizes</v>
      </c>
      <c r="C371" s="339" t="str">
        <f>'[5]13'!C19</f>
        <v>Per run</v>
      </c>
      <c r="D371" s="340">
        <f>'[5]13'!D19</f>
        <v>3500</v>
      </c>
      <c r="E371" s="340"/>
      <c r="F371" s="340"/>
    </row>
    <row r="372" spans="1:6" ht="6" customHeight="1" x14ac:dyDescent="0.25">
      <c r="A372" s="34"/>
      <c r="B372" s="34"/>
      <c r="C372" s="325"/>
      <c r="D372" s="326"/>
      <c r="E372" s="326"/>
      <c r="F372" s="326"/>
    </row>
    <row r="373" spans="1:6" ht="16.149999999999999" customHeight="1" x14ac:dyDescent="0.25">
      <c r="A373" s="467" t="s">
        <v>2519</v>
      </c>
      <c r="B373" s="467"/>
      <c r="C373" s="468"/>
      <c r="D373" s="469"/>
      <c r="E373" s="469"/>
      <c r="F373" s="469"/>
    </row>
    <row r="374" spans="1:6" x14ac:dyDescent="0.25">
      <c r="A374" s="45" t="s">
        <v>7</v>
      </c>
      <c r="B374" s="45" t="s">
        <v>8</v>
      </c>
      <c r="C374" s="328" t="s">
        <v>9</v>
      </c>
      <c r="D374" s="46" t="s">
        <v>2481</v>
      </c>
      <c r="E374" s="46"/>
      <c r="F374" s="46"/>
    </row>
    <row r="375" spans="1:6" x14ac:dyDescent="0.25">
      <c r="A375" s="329" t="str">
        <f>'[5]13'!A22</f>
        <v>MKN 100-216</v>
      </c>
      <c r="B375" s="330" t="str">
        <f>'[5]13'!B22</f>
        <v>Cable spear thru 8 ½" OD</v>
      </c>
      <c r="C375" s="331" t="str">
        <f>'[5]13'!C22</f>
        <v>Per run</v>
      </c>
      <c r="D375" s="332">
        <f>'[5]13'!D22</f>
        <v>2900</v>
      </c>
      <c r="E375" s="332"/>
      <c r="F375" s="332"/>
    </row>
    <row r="376" spans="1:6" x14ac:dyDescent="0.25">
      <c r="A376" s="333" t="str">
        <f>'[5]13'!A23</f>
        <v>MKN 100-217</v>
      </c>
      <c r="B376" s="334" t="str">
        <f>'[5]13'!B23</f>
        <v>Cable spear thru 13 3/8" OD</v>
      </c>
      <c r="C376" s="335" t="str">
        <f>'[5]13'!C23</f>
        <v>Per run</v>
      </c>
      <c r="D376" s="336">
        <f>'[5]13'!D23</f>
        <v>3500</v>
      </c>
      <c r="E376" s="336"/>
      <c r="F376" s="336"/>
    </row>
    <row r="377" spans="1:6" x14ac:dyDescent="0.25">
      <c r="A377" s="333" t="str">
        <f>'[5]13'!A24</f>
        <v>MKN 100-218</v>
      </c>
      <c r="B377" s="334" t="str">
        <f>'[5]13'!B24</f>
        <v>Redress kit overshot wide range for all sizes</v>
      </c>
      <c r="C377" s="335"/>
      <c r="D377" s="336">
        <f>'[5]13'!D24</f>
        <v>5050</v>
      </c>
      <c r="E377" s="336"/>
      <c r="F377" s="336"/>
    </row>
    <row r="378" spans="1:6" x14ac:dyDescent="0.25">
      <c r="A378" s="337" t="str">
        <f>'[5]13'!A25</f>
        <v>MKN 100-219</v>
      </c>
      <c r="B378" s="338" t="str">
        <f>'[5]13'!B25</f>
        <v>Inspection charge for all tools</v>
      </c>
      <c r="C378" s="339" t="str">
        <f>'[5]13'!C25</f>
        <v>Per tool</v>
      </c>
      <c r="D378" s="340"/>
      <c r="E378" s="340"/>
      <c r="F378" s="340"/>
    </row>
    <row r="379" spans="1:6" ht="6" customHeight="1" x14ac:dyDescent="0.25">
      <c r="A379" s="34"/>
      <c r="B379" s="34"/>
      <c r="C379" s="325"/>
      <c r="D379" s="326"/>
      <c r="E379" s="326"/>
      <c r="F379" s="326"/>
    </row>
    <row r="380" spans="1:6" ht="16.149999999999999" customHeight="1" x14ac:dyDescent="0.25">
      <c r="A380" s="467" t="s">
        <v>2520</v>
      </c>
      <c r="B380" s="467"/>
      <c r="C380" s="468"/>
      <c r="D380" s="469"/>
      <c r="E380" s="469"/>
      <c r="F380" s="469"/>
    </row>
    <row r="381" spans="1:6" x14ac:dyDescent="0.25">
      <c r="A381" s="45" t="s">
        <v>7</v>
      </c>
      <c r="B381" s="45" t="s">
        <v>8</v>
      </c>
      <c r="C381" s="328"/>
      <c r="D381" s="46" t="s">
        <v>2482</v>
      </c>
      <c r="E381" s="46" t="s">
        <v>2483</v>
      </c>
      <c r="F381" s="46"/>
    </row>
    <row r="382" spans="1:6" x14ac:dyDescent="0.25">
      <c r="A382" s="329" t="str">
        <f>'[5]13'!A28</f>
        <v>MKN 100-220</v>
      </c>
      <c r="B382" s="330" t="str">
        <f>'[5]13'!B28</f>
        <v>Bailer or sand pump all sizes</v>
      </c>
      <c r="C382" s="331" t="str">
        <f>'[5]13'!C28</f>
        <v>Per day</v>
      </c>
      <c r="D382" s="332">
        <f>'[5]13'!D28</f>
        <v>1800</v>
      </c>
      <c r="E382" s="332">
        <f>'[5]13'!E28</f>
        <v>450</v>
      </c>
      <c r="F382" s="332"/>
    </row>
    <row r="383" spans="1:6" ht="24" x14ac:dyDescent="0.25">
      <c r="A383" s="333" t="str">
        <f>'[5]13'!A29</f>
        <v>MKN 100-221</v>
      </c>
      <c r="B383" s="334" t="str">
        <f>'[5]13'!B29</f>
        <v>Bailer or sand pump redress charge will be 30% from first day charge</v>
      </c>
      <c r="C383" s="335" t="str">
        <f>'[5]13'!C29</f>
        <v>30% F.Day</v>
      </c>
      <c r="D383" s="336"/>
      <c r="E383" s="336"/>
      <c r="F383" s="336"/>
    </row>
    <row r="384" spans="1:6" x14ac:dyDescent="0.25">
      <c r="A384" s="333" t="str">
        <f>'[5]13'!A30</f>
        <v>MKN 100-222</v>
      </c>
      <c r="B384" s="334" t="str">
        <f>'[5]13'!B30</f>
        <v>Safety clamps all sizes</v>
      </c>
      <c r="C384" s="335" t="str">
        <f>'[5]13'!C30</f>
        <v>Per run</v>
      </c>
      <c r="D384" s="336">
        <f>'[5]13'!D30</f>
        <v>105</v>
      </c>
      <c r="E384" s="336"/>
      <c r="F384" s="336"/>
    </row>
    <row r="385" spans="1:6" x14ac:dyDescent="0.25">
      <c r="A385" s="333" t="str">
        <f>'[5]13'!A31</f>
        <v>MKN 100-223</v>
      </c>
      <c r="B385" s="334" t="str">
        <f>'[5]13'!B31</f>
        <v>Elevators charge all sizes</v>
      </c>
      <c r="C385" s="335" t="str">
        <f>'[5]13'!C31</f>
        <v>Per day</v>
      </c>
      <c r="D385" s="336">
        <f>'[5]13'!D31</f>
        <v>125</v>
      </c>
      <c r="E385" s="336"/>
      <c r="F385" s="336"/>
    </row>
    <row r="386" spans="1:6" x14ac:dyDescent="0.25">
      <c r="A386" s="333" t="str">
        <f>'[5]13'!A32</f>
        <v>MKN 100-224</v>
      </c>
      <c r="B386" s="334" t="str">
        <f>'[5]13'!B32</f>
        <v>Safety joint charge all sizes</v>
      </c>
      <c r="C386" s="335" t="str">
        <f>'[5]13'!C32</f>
        <v>Per run</v>
      </c>
      <c r="D386" s="336">
        <f>'[5]13'!D32</f>
        <v>3700</v>
      </c>
      <c r="E386" s="336"/>
      <c r="F386" s="336"/>
    </row>
    <row r="387" spans="1:6" ht="24" x14ac:dyDescent="0.25">
      <c r="A387" s="337" t="str">
        <f>'[5]13'!A33</f>
        <v>MKN 100-225</v>
      </c>
      <c r="B387" s="338" t="str">
        <f>'[5]13'!B33</f>
        <v>workshop redressing technician rate(minimum 2 days)</v>
      </c>
      <c r="C387" s="339" t="str">
        <f>'[5]13'!C33</f>
        <v>Per day</v>
      </c>
      <c r="D387" s="340">
        <f>'[5]13'!D33</f>
        <v>1850</v>
      </c>
      <c r="E387" s="340"/>
      <c r="F387" s="340"/>
    </row>
    <row r="388" spans="1:6" ht="6" customHeight="1" x14ac:dyDescent="0.25">
      <c r="A388" s="34"/>
      <c r="B388" s="34"/>
      <c r="C388" s="325"/>
      <c r="D388" s="326"/>
      <c r="E388" s="326"/>
      <c r="F388" s="326"/>
    </row>
    <row r="389" spans="1:6" ht="16.149999999999999" customHeight="1" x14ac:dyDescent="0.25">
      <c r="A389" s="467" t="s">
        <v>2521</v>
      </c>
      <c r="B389" s="467"/>
      <c r="C389" s="468"/>
      <c r="D389" s="469"/>
      <c r="E389" s="469"/>
      <c r="F389" s="469"/>
    </row>
    <row r="390" spans="1:6" x14ac:dyDescent="0.25">
      <c r="A390" s="45" t="s">
        <v>7</v>
      </c>
      <c r="B390" s="45" t="s">
        <v>8</v>
      </c>
      <c r="C390" s="328" t="s">
        <v>9</v>
      </c>
      <c r="D390" s="46" t="s">
        <v>2481</v>
      </c>
      <c r="E390" s="46"/>
      <c r="F390" s="46"/>
    </row>
    <row r="391" spans="1:6" x14ac:dyDescent="0.25">
      <c r="A391" s="329" t="str">
        <f>'[5]13'!A36</f>
        <v>MKN 100-226</v>
      </c>
      <c r="B391" s="330" t="str">
        <f>'[5]13'!B36</f>
        <v>Thru 4 ½" OD</v>
      </c>
      <c r="C391" s="331" t="str">
        <f>'[5]13'!C36</f>
        <v>Per run</v>
      </c>
      <c r="D391" s="332">
        <f>'[5]13'!D36</f>
        <v>1350</v>
      </c>
      <c r="E391" s="332"/>
      <c r="F391" s="332"/>
    </row>
    <row r="392" spans="1:6" x14ac:dyDescent="0.25">
      <c r="A392" s="333" t="str">
        <f>'[5]13'!A37</f>
        <v>MKN 100-227</v>
      </c>
      <c r="B392" s="334" t="str">
        <f>'[5]13'!B37</f>
        <v>Thru 9 ½" OD</v>
      </c>
      <c r="C392" s="335" t="str">
        <f>'[5]13'!C37</f>
        <v>Per run</v>
      </c>
      <c r="D392" s="336">
        <f>'[5]13'!D37</f>
        <v>1850</v>
      </c>
      <c r="E392" s="336"/>
      <c r="F392" s="336"/>
    </row>
    <row r="393" spans="1:6" ht="24" x14ac:dyDescent="0.25">
      <c r="A393" s="337" t="str">
        <f>'[5]13'!A38</f>
        <v>MKN 100-228</v>
      </c>
      <c r="B393" s="338" t="str">
        <f>'[5]13'!B38</f>
        <v>All drappels and sonstry for all sizes charged 35% from overshot F.Day charge</v>
      </c>
      <c r="C393" s="339" t="str">
        <f>'[5]13'!C38</f>
        <v>35% F.Day</v>
      </c>
      <c r="D393" s="340"/>
      <c r="E393" s="340"/>
      <c r="F393" s="340"/>
    </row>
    <row r="394" spans="1:6" ht="6" customHeight="1" x14ac:dyDescent="0.25">
      <c r="A394" s="34"/>
      <c r="B394" s="34"/>
      <c r="C394" s="325"/>
      <c r="D394" s="326"/>
      <c r="E394" s="326"/>
      <c r="F394" s="326"/>
    </row>
    <row r="395" spans="1:6" ht="16.149999999999999" customHeight="1" x14ac:dyDescent="0.25">
      <c r="A395" s="467" t="s">
        <v>2522</v>
      </c>
      <c r="B395" s="467"/>
      <c r="C395" s="468"/>
      <c r="D395" s="469"/>
      <c r="E395" s="469"/>
      <c r="F395" s="469"/>
    </row>
    <row r="396" spans="1:6" x14ac:dyDescent="0.25">
      <c r="A396" s="45" t="s">
        <v>7</v>
      </c>
      <c r="B396" s="45" t="s">
        <v>8</v>
      </c>
      <c r="C396" s="328" t="s">
        <v>9</v>
      </c>
      <c r="D396" s="46" t="s">
        <v>2481</v>
      </c>
      <c r="E396" s="46"/>
      <c r="F396" s="46"/>
    </row>
    <row r="397" spans="1:6" x14ac:dyDescent="0.25">
      <c r="A397" s="329" t="str">
        <f>'[5]14'!A3</f>
        <v>MKN 100-229</v>
      </c>
      <c r="B397" s="330" t="str">
        <f>'[5]14'!B3</f>
        <v>Flat bottom Mill all size</v>
      </c>
      <c r="C397" s="331"/>
      <c r="D397" s="332">
        <f>'[5]14'!D3</f>
        <v>750</v>
      </c>
      <c r="E397" s="332"/>
      <c r="F397" s="332"/>
    </row>
    <row r="398" spans="1:6" x14ac:dyDescent="0.25">
      <c r="A398" s="337" t="str">
        <f>'[5]14'!A4</f>
        <v>MKN 100-230</v>
      </c>
      <c r="B398" s="338" t="str">
        <f>'[5]14'!B4</f>
        <v>Refill flat bottom mill all size</v>
      </c>
      <c r="C398" s="339"/>
      <c r="D398" s="340">
        <f>'[5]14'!D4</f>
        <v>1200</v>
      </c>
      <c r="E398" s="340"/>
      <c r="F398" s="340"/>
    </row>
    <row r="399" spans="1:6" ht="6" customHeight="1" x14ac:dyDescent="0.25">
      <c r="A399" s="34"/>
      <c r="B399" s="34"/>
      <c r="C399" s="325"/>
      <c r="D399" s="326"/>
      <c r="E399" s="326"/>
      <c r="F399" s="326"/>
    </row>
    <row r="400" spans="1:6" ht="16.149999999999999" customHeight="1" x14ac:dyDescent="0.25">
      <c r="A400" s="467" t="s">
        <v>2523</v>
      </c>
      <c r="B400" s="467"/>
      <c r="C400" s="468"/>
      <c r="D400" s="469"/>
      <c r="E400" s="469"/>
      <c r="F400" s="469"/>
    </row>
    <row r="401" spans="1:6" x14ac:dyDescent="0.25">
      <c r="A401" s="45" t="s">
        <v>7</v>
      </c>
      <c r="B401" s="45" t="s">
        <v>8</v>
      </c>
      <c r="C401" s="328" t="s">
        <v>9</v>
      </c>
      <c r="D401" s="46" t="s">
        <v>2481</v>
      </c>
      <c r="E401" s="46"/>
      <c r="F401" s="46"/>
    </row>
    <row r="402" spans="1:6" x14ac:dyDescent="0.25">
      <c r="A402" s="329" t="str">
        <f>'[5]14'!A8</f>
        <v>MKN 100-234</v>
      </c>
      <c r="B402" s="330" t="str">
        <f>'[5]14'!B8</f>
        <v>Jar intensifier all size per day</v>
      </c>
      <c r="C402" s="331" t="str">
        <f>'[5]14'!C8</f>
        <v>Per day</v>
      </c>
      <c r="D402" s="332">
        <f>'[5]14'!D8</f>
        <v>2800</v>
      </c>
      <c r="E402" s="332"/>
      <c r="F402" s="332"/>
    </row>
    <row r="403" spans="1:6" x14ac:dyDescent="0.25">
      <c r="A403" s="333" t="str">
        <f>'[5]14'!A9</f>
        <v>MKN 100-235</v>
      </c>
      <c r="B403" s="334" t="str">
        <f>'[5]14'!B9</f>
        <v>Releasing spear thru 7"</v>
      </c>
      <c r="C403" s="335" t="str">
        <f>'[5]14'!C9</f>
        <v>Per run</v>
      </c>
      <c r="D403" s="336">
        <f>'[5]14'!D9</f>
        <v>1300</v>
      </c>
      <c r="E403" s="336"/>
      <c r="F403" s="336"/>
    </row>
    <row r="404" spans="1:6" x14ac:dyDescent="0.25">
      <c r="A404" s="333" t="str">
        <f>'[5]14'!A10</f>
        <v>MKN 100-236</v>
      </c>
      <c r="B404" s="334" t="str">
        <f>'[5]14'!B10</f>
        <v>Releasing Spear thru 9 5/8"</v>
      </c>
      <c r="C404" s="335" t="str">
        <f>'[5]14'!C10</f>
        <v>Per run</v>
      </c>
      <c r="D404" s="336">
        <f>'[5]14'!D10</f>
        <v>1500</v>
      </c>
      <c r="E404" s="336"/>
      <c r="F404" s="336"/>
    </row>
    <row r="405" spans="1:6" x14ac:dyDescent="0.25">
      <c r="A405" s="333" t="str">
        <f>'[5]14'!A11</f>
        <v>MKN 100-237</v>
      </c>
      <c r="B405" s="334" t="str">
        <f>'[5]14'!B11</f>
        <v>Taper mill for thru 7"</v>
      </c>
      <c r="C405" s="335" t="str">
        <f>'[5]14'!C11</f>
        <v>Per day</v>
      </c>
      <c r="D405" s="336">
        <f>'[5]14'!D11</f>
        <v>850</v>
      </c>
      <c r="E405" s="336"/>
      <c r="F405" s="336"/>
    </row>
    <row r="406" spans="1:6" x14ac:dyDescent="0.25">
      <c r="A406" s="333" t="str">
        <f>'[5]14'!A12</f>
        <v>MKN 100-238</v>
      </c>
      <c r="B406" s="334" t="str">
        <f>'[5]14'!B12</f>
        <v>Taper mill thru 9 5/8"</v>
      </c>
      <c r="C406" s="335" t="str">
        <f>'[5]14'!C12</f>
        <v>Per day</v>
      </c>
      <c r="D406" s="336">
        <f>'[5]14'!D12</f>
        <v>950</v>
      </c>
      <c r="E406" s="336"/>
      <c r="F406" s="336"/>
    </row>
    <row r="407" spans="1:6" x14ac:dyDescent="0.25">
      <c r="A407" s="337" t="str">
        <f>'[5]14'!A13</f>
        <v>MKN 100-239</v>
      </c>
      <c r="B407" s="338" t="str">
        <f>'[5]14'!B13</f>
        <v>Refill taper mill for all size</v>
      </c>
      <c r="C407" s="339" t="str">
        <f>'[5]14'!C13</f>
        <v>Per job</v>
      </c>
      <c r="D407" s="340">
        <f>'[5]14'!D13</f>
        <v>1500</v>
      </c>
      <c r="E407" s="340"/>
      <c r="F407" s="340"/>
    </row>
    <row r="408" spans="1:6" ht="6" customHeight="1" x14ac:dyDescent="0.25">
      <c r="A408" s="34"/>
      <c r="B408" s="34"/>
      <c r="C408" s="325"/>
      <c r="D408" s="326"/>
      <c r="E408" s="326"/>
      <c r="F408" s="326"/>
    </row>
    <row r="409" spans="1:6" ht="16.149999999999999" customHeight="1" x14ac:dyDescent="0.25">
      <c r="A409" s="467" t="s">
        <v>362</v>
      </c>
      <c r="B409" s="467"/>
      <c r="C409" s="468"/>
      <c r="D409" s="469"/>
      <c r="E409" s="469"/>
      <c r="F409" s="469"/>
    </row>
    <row r="410" spans="1:6" ht="23.25" x14ac:dyDescent="0.25">
      <c r="A410" s="45" t="s">
        <v>7</v>
      </c>
      <c r="B410" s="45" t="s">
        <v>8</v>
      </c>
      <c r="C410" s="328"/>
      <c r="D410" s="46" t="s">
        <v>2524</v>
      </c>
      <c r="E410" s="46" t="s">
        <v>2525</v>
      </c>
      <c r="F410" s="46"/>
    </row>
    <row r="411" spans="1:6" x14ac:dyDescent="0.25">
      <c r="A411" s="329" t="str">
        <f>'[5]14'!A25</f>
        <v>MKN 100-268</v>
      </c>
      <c r="B411" s="330" t="str">
        <f>'[5]14'!B25</f>
        <v>12 1/4" OD</v>
      </c>
      <c r="C411" s="331"/>
      <c r="D411" s="332">
        <f>'[5]14'!C25</f>
        <v>1900</v>
      </c>
      <c r="E411" s="332">
        <f>'[5]14'!D25</f>
        <v>400</v>
      </c>
      <c r="F411" s="332"/>
    </row>
    <row r="412" spans="1:6" x14ac:dyDescent="0.25">
      <c r="A412" s="333" t="str">
        <f>'[5]14'!A26</f>
        <v>MKN 100-269</v>
      </c>
      <c r="B412" s="334" t="str">
        <f>'[5]14'!B26</f>
        <v>17 1/2" OD</v>
      </c>
      <c r="C412" s="335"/>
      <c r="D412" s="336">
        <f>'[5]14'!C26</f>
        <v>2700</v>
      </c>
      <c r="E412" s="336">
        <f>'[5]14'!D26</f>
        <v>400</v>
      </c>
      <c r="F412" s="336"/>
    </row>
    <row r="413" spans="1:6" x14ac:dyDescent="0.25">
      <c r="A413" s="333" t="str">
        <f>'[5]14'!A27</f>
        <v>MKN 100-270</v>
      </c>
      <c r="B413" s="334" t="str">
        <f>'[5]14'!B27</f>
        <v>26" OD</v>
      </c>
      <c r="C413" s="335"/>
      <c r="D413" s="336">
        <f>'[5]14'!C27</f>
        <v>3900</v>
      </c>
      <c r="E413" s="336">
        <f>'[5]14'!D27</f>
        <v>400</v>
      </c>
      <c r="F413" s="336"/>
    </row>
    <row r="414" spans="1:6" x14ac:dyDescent="0.25">
      <c r="A414" s="337" t="str">
        <f>'[5]14'!A28</f>
        <v>MKN 100-271</v>
      </c>
      <c r="B414" s="338" t="str">
        <f>'[5]14'!B28</f>
        <v>36" OD</v>
      </c>
      <c r="C414" s="339"/>
      <c r="D414" s="340">
        <f>'[5]14'!C28</f>
        <v>4000</v>
      </c>
      <c r="E414" s="340">
        <f>'[5]14'!D28</f>
        <v>400</v>
      </c>
      <c r="F414" s="340"/>
    </row>
    <row r="415" spans="1:6" ht="6" customHeight="1" x14ac:dyDescent="0.25">
      <c r="A415" s="34"/>
      <c r="B415" s="34"/>
      <c r="C415" s="325"/>
      <c r="D415" s="326"/>
      <c r="E415" s="326"/>
      <c r="F415" s="326"/>
    </row>
    <row r="416" spans="1:6" ht="22.15" customHeight="1" thickBot="1" x14ac:dyDescent="0.3">
      <c r="A416" s="470" t="s">
        <v>2526</v>
      </c>
      <c r="B416" s="470"/>
      <c r="C416" s="471"/>
      <c r="D416" s="472"/>
      <c r="E416" s="472"/>
      <c r="F416" s="472"/>
    </row>
    <row r="417" spans="1:6" ht="13.9" customHeight="1" thickTop="1" x14ac:dyDescent="0.25">
      <c r="A417" s="34"/>
      <c r="B417" s="34"/>
      <c r="C417" s="325"/>
      <c r="D417" s="326"/>
      <c r="E417" s="326"/>
      <c r="F417" s="327" t="s">
        <v>5</v>
      </c>
    </row>
    <row r="418" spans="1:6" ht="16.149999999999999" customHeight="1" x14ac:dyDescent="0.25">
      <c r="A418" s="467" t="s">
        <v>61</v>
      </c>
      <c r="B418" s="467"/>
      <c r="C418" s="468"/>
      <c r="D418" s="469"/>
      <c r="E418" s="469"/>
      <c r="F418" s="469"/>
    </row>
    <row r="419" spans="1:6" x14ac:dyDescent="0.25">
      <c r="A419" s="45" t="s">
        <v>7</v>
      </c>
      <c r="B419" s="45" t="s">
        <v>8</v>
      </c>
      <c r="C419" s="328"/>
      <c r="D419" s="46" t="s">
        <v>2481</v>
      </c>
      <c r="E419" s="46"/>
      <c r="F419" s="46"/>
    </row>
    <row r="420" spans="1:6" x14ac:dyDescent="0.25">
      <c r="A420" s="329" t="str">
        <f>'[5]1'!A5</f>
        <v>MKN-1801</v>
      </c>
      <c r="B420" s="330" t="str">
        <f>'[5]1'!B5</f>
        <v>Pick-up with tools traveling to wells, per KM.</v>
      </c>
      <c r="C420" s="331"/>
      <c r="D420" s="332"/>
      <c r="E420" s="332"/>
      <c r="F420" s="332"/>
    </row>
    <row r="421" spans="1:6" x14ac:dyDescent="0.25">
      <c r="A421" s="333" t="str">
        <f>'[5]1'!A6</f>
        <v>MKN-1802</v>
      </c>
      <c r="B421" s="334" t="str">
        <f>'[5]1'!B6</f>
        <v>Tool operator, per day or fraction</v>
      </c>
      <c r="C421" s="335"/>
      <c r="D421" s="336"/>
      <c r="E421" s="336"/>
      <c r="F421" s="336"/>
    </row>
    <row r="422" spans="1:6" x14ac:dyDescent="0.25">
      <c r="A422" s="333" t="str">
        <f>'[5]1'!A7</f>
        <v>MKN-1803</v>
      </c>
      <c r="B422" s="334" t="str">
        <f>'[5]1'!B7</f>
        <v>Assistant Tool Operator, per day or fraction</v>
      </c>
      <c r="C422" s="335"/>
      <c r="D422" s="336"/>
      <c r="E422" s="336"/>
      <c r="F422" s="336"/>
    </row>
    <row r="423" spans="1:6" x14ac:dyDescent="0.25">
      <c r="A423" s="333" t="str">
        <f>'[5]1'!A8</f>
        <v>MKN-1804</v>
      </c>
      <c r="B423" s="334" t="str">
        <f>'[5]1'!B8</f>
        <v>Supervisor or Engineer, per day or fraction</v>
      </c>
      <c r="C423" s="335"/>
      <c r="D423" s="336"/>
      <c r="E423" s="336"/>
      <c r="F423" s="336"/>
    </row>
    <row r="424" spans="1:6" x14ac:dyDescent="0.25">
      <c r="A424" s="333" t="str">
        <f>'[5]1'!A9</f>
        <v>MKN-1805</v>
      </c>
      <c r="B424" s="334" t="str">
        <f>'[5]1'!B9</f>
        <v>Helper, per day or fraction</v>
      </c>
      <c r="C424" s="335"/>
      <c r="D424" s="336"/>
      <c r="E424" s="336"/>
      <c r="F424" s="336"/>
    </row>
    <row r="425" spans="1:6" ht="48" x14ac:dyDescent="0.25">
      <c r="A425" s="337" t="str">
        <f>'[5]1'!A10</f>
        <v>MKN-1807</v>
      </c>
      <c r="B425" s="338" t="str">
        <f>'[5]1'!B10</f>
        <v>JOB CANCELATION When called to location and the job is not run, due to circumstances beyond our control. PERSONNEL CHARGES are in addition.</v>
      </c>
      <c r="C425" s="339"/>
      <c r="D425" s="340"/>
      <c r="E425" s="340"/>
      <c r="F425" s="340"/>
    </row>
    <row r="426" spans="1:6" ht="6" customHeight="1" x14ac:dyDescent="0.25">
      <c r="A426" s="34"/>
      <c r="B426" s="34"/>
      <c r="C426" s="325"/>
      <c r="D426" s="326"/>
      <c r="E426" s="326"/>
      <c r="F426" s="326"/>
    </row>
    <row r="427" spans="1:6" ht="16.149999999999999" customHeight="1" x14ac:dyDescent="0.25">
      <c r="A427" s="467" t="s">
        <v>62</v>
      </c>
      <c r="B427" s="467"/>
      <c r="C427" s="468"/>
      <c r="D427" s="469"/>
      <c r="E427" s="469"/>
      <c r="F427" s="469"/>
    </row>
    <row r="428" spans="1:6" x14ac:dyDescent="0.25">
      <c r="A428" s="473" t="str">
        <f>'[5]1'!A12</f>
        <v>Price is determined by size and depth packer set. Time of job begins when tool starts in well and time end when recovered from well.</v>
      </c>
      <c r="B428" s="473"/>
      <c r="C428" s="466"/>
      <c r="D428" s="474"/>
      <c r="E428" s="474"/>
      <c r="F428" s="474"/>
    </row>
    <row r="429" spans="1:6" x14ac:dyDescent="0.25">
      <c r="A429" s="45" t="s">
        <v>7</v>
      </c>
      <c r="B429" s="45" t="s">
        <v>8</v>
      </c>
      <c r="C429" s="328"/>
      <c r="D429" s="46" t="s">
        <v>2481</v>
      </c>
      <c r="E429" s="46"/>
      <c r="F429" s="46"/>
    </row>
    <row r="430" spans="1:6" x14ac:dyDescent="0.25">
      <c r="A430" s="329" t="str">
        <f>'[5]1'!A13</f>
        <v>MKN-1808</v>
      </c>
      <c r="B430" s="330" t="str">
        <f>'[5]1'!B13</f>
        <v>"Size thru 7 first day"</v>
      </c>
      <c r="C430" s="331"/>
      <c r="D430" s="332"/>
      <c r="E430" s="332"/>
      <c r="F430" s="332"/>
    </row>
    <row r="431" spans="1:6" x14ac:dyDescent="0.25">
      <c r="A431" s="333" t="str">
        <f>'[5]1'!A14</f>
        <v>MKN-1809</v>
      </c>
      <c r="B431" s="334" t="str">
        <f>'[5]1'!B14</f>
        <v>AFTER FIRST DAY size 7"</v>
      </c>
      <c r="C431" s="335"/>
      <c r="D431" s="336"/>
      <c r="E431" s="336"/>
      <c r="F431" s="336"/>
    </row>
    <row r="432" spans="1:6" x14ac:dyDescent="0.25">
      <c r="A432" s="333" t="str">
        <f>'[5]1'!A15</f>
        <v>MKN-1810</v>
      </c>
      <c r="B432" s="334" t="str">
        <f>'[5]1'!B15</f>
        <v>"Size thru 9 5/8."</v>
      </c>
      <c r="C432" s="335"/>
      <c r="D432" s="336"/>
      <c r="E432" s="336"/>
      <c r="F432" s="336"/>
    </row>
    <row r="433" spans="1:6" x14ac:dyDescent="0.25">
      <c r="A433" s="333" t="str">
        <f>'[5]1'!A16</f>
        <v>MKN-1811</v>
      </c>
      <c r="B433" s="334" t="str">
        <f>'[5]1'!B16</f>
        <v>AFTER FIRST DAY size 9 5/8"</v>
      </c>
      <c r="C433" s="335"/>
      <c r="D433" s="336"/>
      <c r="E433" s="336"/>
      <c r="F433" s="336"/>
    </row>
    <row r="434" spans="1:6" x14ac:dyDescent="0.25">
      <c r="A434" s="333" t="str">
        <f>'[5]1'!A17</f>
        <v>MKN-1812</v>
      </c>
      <c r="B434" s="334" t="str">
        <f>'[5]1'!B17</f>
        <v>"Size 13 3/8."</v>
      </c>
      <c r="C434" s="335"/>
      <c r="D434" s="336"/>
      <c r="E434" s="336"/>
      <c r="F434" s="336"/>
    </row>
    <row r="435" spans="1:6" x14ac:dyDescent="0.25">
      <c r="A435" s="333" t="str">
        <f>'[5]1'!A18</f>
        <v>MKN-1813</v>
      </c>
      <c r="B435" s="334" t="str">
        <f>'[5]1'!B18</f>
        <v>AFTER FIRST DAY size 13 3/8"</v>
      </c>
      <c r="C435" s="335"/>
      <c r="D435" s="336"/>
      <c r="E435" s="336"/>
      <c r="F435" s="336"/>
    </row>
    <row r="436" spans="1:6" x14ac:dyDescent="0.25">
      <c r="A436" s="337" t="str">
        <f>'[5]1'!A19</f>
        <v>MKN-1817</v>
      </c>
      <c r="B436" s="338" t="str">
        <f>'[5]1'!B19</f>
        <v>Each Reset Packer For All Sizes</v>
      </c>
      <c r="C436" s="339"/>
      <c r="D436" s="340"/>
      <c r="E436" s="340"/>
      <c r="F436" s="340"/>
    </row>
    <row r="437" spans="1:6" ht="6" customHeight="1" x14ac:dyDescent="0.25">
      <c r="A437" s="34"/>
      <c r="B437" s="34"/>
      <c r="C437" s="325"/>
      <c r="D437" s="326"/>
      <c r="E437" s="326"/>
      <c r="F437" s="326"/>
    </row>
    <row r="438" spans="1:6" ht="16.149999999999999" customHeight="1" x14ac:dyDescent="0.25">
      <c r="A438" s="467" t="s">
        <v>63</v>
      </c>
      <c r="B438" s="467"/>
      <c r="C438" s="468"/>
      <c r="D438" s="469"/>
      <c r="E438" s="469"/>
      <c r="F438" s="469"/>
    </row>
    <row r="439" spans="1:6" x14ac:dyDescent="0.25">
      <c r="A439" s="473" t="str">
        <f>'[5]1'!A21</f>
        <v>Price is determined by size and depth of packer set. Time of job begins when tool is running in well and time ends when recovered on</v>
      </c>
      <c r="B439" s="473"/>
      <c r="C439" s="466"/>
      <c r="D439" s="474"/>
      <c r="E439" s="474"/>
      <c r="F439" s="474"/>
    </row>
    <row r="440" spans="1:6" x14ac:dyDescent="0.25">
      <c r="A440" s="45" t="s">
        <v>7</v>
      </c>
      <c r="B440" s="45" t="s">
        <v>8</v>
      </c>
      <c r="C440" s="328"/>
      <c r="D440" s="46" t="s">
        <v>2481</v>
      </c>
      <c r="E440" s="46"/>
      <c r="F440" s="46"/>
    </row>
    <row r="441" spans="1:6" x14ac:dyDescent="0.25">
      <c r="A441" s="329" t="str">
        <f>'[5]1'!A22</f>
        <v>MKN-1818</v>
      </c>
      <c r="B441" s="330" t="str">
        <f>'[5]1'!B22</f>
        <v>Size thru 7": first day</v>
      </c>
      <c r="C441" s="331"/>
      <c r="D441" s="332"/>
      <c r="E441" s="332"/>
      <c r="F441" s="332"/>
    </row>
    <row r="442" spans="1:6" x14ac:dyDescent="0.25">
      <c r="A442" s="333" t="str">
        <f>'[5]1'!A23</f>
        <v>MKN-1819</v>
      </c>
      <c r="B442" s="334" t="str">
        <f>'[5]1'!B23</f>
        <v>Size thru 7": after first day</v>
      </c>
      <c r="C442" s="335"/>
      <c r="D442" s="336"/>
      <c r="E442" s="336"/>
      <c r="F442" s="336"/>
    </row>
    <row r="443" spans="1:6" x14ac:dyDescent="0.25">
      <c r="A443" s="333" t="str">
        <f>'[5]1'!A24</f>
        <v>MKN-1820</v>
      </c>
      <c r="B443" s="334" t="str">
        <f>'[5]1'!B24</f>
        <v>Size thru 95/8": first day</v>
      </c>
      <c r="C443" s="335"/>
      <c r="D443" s="336"/>
      <c r="E443" s="336"/>
      <c r="F443" s="336"/>
    </row>
    <row r="444" spans="1:6" x14ac:dyDescent="0.25">
      <c r="A444" s="333" t="str">
        <f>'[5]1'!A25</f>
        <v>MKN-1821</v>
      </c>
      <c r="B444" s="334" t="str">
        <f>'[5]1'!B25</f>
        <v>Size thru 95/8": after first day</v>
      </c>
      <c r="C444" s="335"/>
      <c r="D444" s="336"/>
      <c r="E444" s="336"/>
      <c r="F444" s="336"/>
    </row>
    <row r="445" spans="1:6" x14ac:dyDescent="0.25">
      <c r="A445" s="333" t="str">
        <f>'[5]1'!A26</f>
        <v>MKN-1822</v>
      </c>
      <c r="B445" s="334" t="str">
        <f>'[5]1'!B26</f>
        <v>Size 133/8". first day</v>
      </c>
      <c r="C445" s="335"/>
      <c r="D445" s="336"/>
      <c r="E445" s="336"/>
      <c r="F445" s="336"/>
    </row>
    <row r="446" spans="1:6" x14ac:dyDescent="0.25">
      <c r="A446" s="333" t="str">
        <f>'[5]1'!A27</f>
        <v>MKN-1823</v>
      </c>
      <c r="B446" s="334" t="str">
        <f>'[5]1'!B27</f>
        <v>Size 133/8". after first day</v>
      </c>
      <c r="C446" s="335"/>
      <c r="D446" s="336"/>
      <c r="E446" s="336"/>
      <c r="F446" s="336"/>
    </row>
    <row r="447" spans="1:6" x14ac:dyDescent="0.25">
      <c r="A447" s="337" t="str">
        <f>'[5]1'!A28</f>
        <v>MKN-1826</v>
      </c>
      <c r="B447" s="338" t="str">
        <f>'[5]1'!B28</f>
        <v>Frac Sand (M.E) 20 - 40 per pound</v>
      </c>
      <c r="C447" s="339"/>
      <c r="D447" s="340"/>
      <c r="E447" s="340"/>
      <c r="F447" s="340"/>
    </row>
    <row r="448" spans="1:6" ht="6" customHeight="1" x14ac:dyDescent="0.25">
      <c r="A448" s="34"/>
      <c r="B448" s="34"/>
      <c r="C448" s="325"/>
      <c r="D448" s="326"/>
      <c r="E448" s="326"/>
      <c r="F448" s="326"/>
    </row>
    <row r="449" spans="1:6" ht="16.149999999999999" customHeight="1" x14ac:dyDescent="0.25">
      <c r="A449" s="467" t="s">
        <v>2527</v>
      </c>
      <c r="B449" s="467"/>
      <c r="C449" s="468"/>
      <c r="D449" s="469"/>
      <c r="E449" s="469"/>
      <c r="F449" s="469"/>
    </row>
    <row r="450" spans="1:6" x14ac:dyDescent="0.25">
      <c r="A450" s="473" t="str">
        <f>'[5]1'!A30</f>
        <v>Price is determined by size and depth of packer set. Time of job begins when tool is running in well and time ends when recovered on</v>
      </c>
      <c r="B450" s="473"/>
      <c r="C450" s="466"/>
      <c r="D450" s="474"/>
      <c r="E450" s="474"/>
      <c r="F450" s="474"/>
    </row>
    <row r="451" spans="1:6" x14ac:dyDescent="0.25">
      <c r="A451" s="45" t="s">
        <v>7</v>
      </c>
      <c r="B451" s="45" t="s">
        <v>8</v>
      </c>
      <c r="C451" s="328"/>
      <c r="D451" s="46" t="s">
        <v>2481</v>
      </c>
      <c r="E451" s="46"/>
      <c r="F451" s="46"/>
    </row>
    <row r="452" spans="1:6" x14ac:dyDescent="0.25">
      <c r="A452" s="329" t="str">
        <f>'[5]1'!A31</f>
        <v>MKN-1828</v>
      </c>
      <c r="B452" s="330" t="str">
        <f>'[5]1'!B31</f>
        <v>Size thru 7": first day</v>
      </c>
      <c r="C452" s="331"/>
      <c r="D452" s="332"/>
      <c r="E452" s="332"/>
      <c r="F452" s="332"/>
    </row>
    <row r="453" spans="1:6" x14ac:dyDescent="0.25">
      <c r="A453" s="333" t="str">
        <f>'[5]1'!A32</f>
        <v>MKN-1829</v>
      </c>
      <c r="B453" s="334" t="str">
        <f>'[5]1'!B32</f>
        <v>Size thru 7": after first day</v>
      </c>
      <c r="C453" s="335"/>
      <c r="D453" s="336"/>
      <c r="E453" s="336"/>
      <c r="F453" s="336"/>
    </row>
    <row r="454" spans="1:6" x14ac:dyDescent="0.25">
      <c r="A454" s="333" t="str">
        <f>'[5]1'!A33</f>
        <v>MKN-1830</v>
      </c>
      <c r="B454" s="334" t="str">
        <f>'[5]1'!B33</f>
        <v>Size thru 9 5/8". first day</v>
      </c>
      <c r="C454" s="335"/>
      <c r="D454" s="336"/>
      <c r="E454" s="336"/>
      <c r="F454" s="336"/>
    </row>
    <row r="455" spans="1:6" x14ac:dyDescent="0.25">
      <c r="A455" s="333" t="str">
        <f>'[5]1'!A34</f>
        <v>MKN-1831</v>
      </c>
      <c r="B455" s="334" t="str">
        <f>'[5]1'!B34</f>
        <v>Size thru 9 5/8". after first day</v>
      </c>
      <c r="C455" s="335"/>
      <c r="D455" s="336"/>
      <c r="E455" s="336"/>
      <c r="F455" s="336"/>
    </row>
    <row r="456" spans="1:6" x14ac:dyDescent="0.25">
      <c r="A456" s="333" t="str">
        <f>'[5]1'!A35</f>
        <v>MKN-1832</v>
      </c>
      <c r="B456" s="334" t="str">
        <f>'[5]1'!B35</f>
        <v>Size 13 3/8". first day</v>
      </c>
      <c r="C456" s="335"/>
      <c r="D456" s="336"/>
      <c r="E456" s="336"/>
      <c r="F456" s="336"/>
    </row>
    <row r="457" spans="1:6" x14ac:dyDescent="0.25">
      <c r="A457" s="337" t="str">
        <f>'[5]1'!A36</f>
        <v>MKN-1833</v>
      </c>
      <c r="B457" s="338" t="str">
        <f>'[5]1'!B36</f>
        <v>Size 13 3/8". after first day</v>
      </c>
      <c r="C457" s="339"/>
      <c r="D457" s="340"/>
      <c r="E457" s="340"/>
      <c r="F457" s="340"/>
    </row>
    <row r="458" spans="1:6" ht="6" customHeight="1" x14ac:dyDescent="0.25">
      <c r="A458" s="34"/>
      <c r="B458" s="34"/>
      <c r="C458" s="325"/>
      <c r="D458" s="326"/>
      <c r="E458" s="326"/>
      <c r="F458" s="326"/>
    </row>
    <row r="459" spans="1:6" ht="16.149999999999999" customHeight="1" x14ac:dyDescent="0.25">
      <c r="A459" s="467" t="s">
        <v>2528</v>
      </c>
      <c r="B459" s="467"/>
      <c r="C459" s="468"/>
      <c r="D459" s="469"/>
      <c r="E459" s="469"/>
      <c r="F459" s="469"/>
    </row>
    <row r="460" spans="1:6" x14ac:dyDescent="0.25">
      <c r="A460" s="45" t="s">
        <v>7</v>
      </c>
      <c r="B460" s="45" t="s">
        <v>8</v>
      </c>
      <c r="C460" s="328"/>
      <c r="D460" s="46" t="s">
        <v>2481</v>
      </c>
      <c r="E460" s="46"/>
      <c r="F460" s="46"/>
    </row>
    <row r="461" spans="1:6" x14ac:dyDescent="0.25">
      <c r="A461" s="329" t="str">
        <f>'[5]2'!A5</f>
        <v>MKN-1839</v>
      </c>
      <c r="B461" s="330" t="str">
        <f>'[5]2'!B5</f>
        <v>MECHANICAL SETTING TOOL, per run</v>
      </c>
      <c r="C461" s="331"/>
      <c r="D461" s="332"/>
      <c r="E461" s="332"/>
      <c r="F461" s="332"/>
    </row>
    <row r="462" spans="1:6" ht="24" x14ac:dyDescent="0.25">
      <c r="A462" s="333" t="str">
        <f>'[5]2'!A6</f>
        <v>MKN-1840</v>
      </c>
      <c r="B462" s="334" t="str">
        <f>'[5]2'!B6</f>
        <v>Wire line kit for cement Retainer/Bridge plug, Per run</v>
      </c>
      <c r="C462" s="335"/>
      <c r="D462" s="336"/>
      <c r="E462" s="336"/>
      <c r="F462" s="336"/>
    </row>
    <row r="463" spans="1:6" x14ac:dyDescent="0.25">
      <c r="A463" s="333" t="str">
        <f>'[5]2'!A7</f>
        <v>MKN-1841</v>
      </c>
      <c r="B463" s="334" t="str">
        <f>'[5]2'!B7</f>
        <v>Tubing Stinger Coupling/ (SSA), Per job</v>
      </c>
      <c r="C463" s="335"/>
      <c r="D463" s="336"/>
      <c r="E463" s="336"/>
      <c r="F463" s="336"/>
    </row>
    <row r="464" spans="1:6" x14ac:dyDescent="0.25">
      <c r="A464" s="337" t="str">
        <f>'[5]2'!A8</f>
        <v>MKN-1842</v>
      </c>
      <c r="B464" s="338" t="str">
        <f>'[5]2'!B8</f>
        <v>Tubing Centralizer ,Per job</v>
      </c>
      <c r="C464" s="339"/>
      <c r="D464" s="340"/>
      <c r="E464" s="340"/>
      <c r="F464" s="340"/>
    </row>
    <row r="465" spans="1:6" ht="6" customHeight="1" x14ac:dyDescent="0.25">
      <c r="A465" s="34"/>
      <c r="B465" s="34"/>
      <c r="C465" s="325"/>
      <c r="D465" s="326"/>
      <c r="E465" s="326"/>
      <c r="F465" s="326"/>
    </row>
    <row r="466" spans="1:6" ht="16.149999999999999" customHeight="1" x14ac:dyDescent="0.25">
      <c r="A466" s="467" t="s">
        <v>2529</v>
      </c>
      <c r="B466" s="467"/>
      <c r="C466" s="468"/>
      <c r="D466" s="469"/>
      <c r="E466" s="469"/>
      <c r="F466" s="469"/>
    </row>
    <row r="467" spans="1:6" x14ac:dyDescent="0.25">
      <c r="A467" s="45" t="s">
        <v>7</v>
      </c>
      <c r="B467" s="45" t="s">
        <v>8</v>
      </c>
      <c r="C467" s="328"/>
      <c r="D467" s="46" t="s">
        <v>2481</v>
      </c>
      <c r="E467" s="46"/>
      <c r="F467" s="46"/>
    </row>
    <row r="468" spans="1:6" x14ac:dyDescent="0.25">
      <c r="A468" s="329" t="str">
        <f>'[5]2'!A12</f>
        <v>MKN-1843</v>
      </c>
      <c r="B468" s="330" t="str">
        <f>'[5]2'!B12</f>
        <v>4 1/2"</v>
      </c>
      <c r="C468" s="331"/>
      <c r="D468" s="332"/>
      <c r="E468" s="332"/>
      <c r="F468" s="332"/>
    </row>
    <row r="469" spans="1:6" x14ac:dyDescent="0.25">
      <c r="A469" s="333" t="str">
        <f>'[5]2'!A13</f>
        <v>MKN-1844</v>
      </c>
      <c r="B469" s="334" t="str">
        <f>'[5]2'!B13</f>
        <v>5"</v>
      </c>
      <c r="C469" s="335"/>
      <c r="D469" s="336"/>
      <c r="E469" s="336"/>
      <c r="F469" s="336"/>
    </row>
    <row r="470" spans="1:6" x14ac:dyDescent="0.25">
      <c r="A470" s="333" t="str">
        <f>'[5]2'!A14</f>
        <v>MKN-1845</v>
      </c>
      <c r="B470" s="334" t="str">
        <f>'[5]2'!B14</f>
        <v>5 1/2"</v>
      </c>
      <c r="C470" s="335"/>
      <c r="D470" s="336"/>
      <c r="E470" s="336"/>
      <c r="F470" s="336"/>
    </row>
    <row r="471" spans="1:6" x14ac:dyDescent="0.25">
      <c r="A471" s="333" t="str">
        <f>'[5]2'!A15</f>
        <v>MKN-1846</v>
      </c>
      <c r="B471" s="334" t="str">
        <f>'[5]2'!B15</f>
        <v>7"</v>
      </c>
      <c r="C471" s="335"/>
      <c r="D471" s="336"/>
      <c r="E471" s="336"/>
      <c r="F471" s="336"/>
    </row>
    <row r="472" spans="1:6" x14ac:dyDescent="0.25">
      <c r="A472" s="333" t="str">
        <f>'[5]2'!A16</f>
        <v>MKN-1847</v>
      </c>
      <c r="B472" s="334" t="str">
        <f>'[5]2'!B16</f>
        <v>9 5/8"</v>
      </c>
      <c r="C472" s="335"/>
      <c r="D472" s="336"/>
      <c r="E472" s="336"/>
      <c r="F472" s="336"/>
    </row>
    <row r="473" spans="1:6" x14ac:dyDescent="0.25">
      <c r="A473" s="337" t="str">
        <f>'[5]2'!A17</f>
        <v>MKN-1848</v>
      </c>
      <c r="B473" s="338" t="str">
        <f>'[5]2'!B17</f>
        <v>13 3/8"</v>
      </c>
      <c r="C473" s="339"/>
      <c r="D473" s="340"/>
      <c r="E473" s="340"/>
      <c r="F473" s="340"/>
    </row>
    <row r="474" spans="1:6" ht="6" customHeight="1" x14ac:dyDescent="0.25">
      <c r="A474" s="34"/>
      <c r="B474" s="34"/>
      <c r="C474" s="325"/>
      <c r="D474" s="326"/>
      <c r="E474" s="326"/>
      <c r="F474" s="326"/>
    </row>
    <row r="475" spans="1:6" ht="22.15" customHeight="1" thickBot="1" x14ac:dyDescent="0.3">
      <c r="A475" s="470" t="s">
        <v>2530</v>
      </c>
      <c r="B475" s="470"/>
      <c r="C475" s="471"/>
      <c r="D475" s="472"/>
      <c r="E475" s="472"/>
      <c r="F475" s="472"/>
    </row>
    <row r="476" spans="1:6" ht="13.9" customHeight="1" thickTop="1" x14ac:dyDescent="0.25">
      <c r="A476" s="34"/>
      <c r="B476" s="34"/>
      <c r="C476" s="325"/>
      <c r="D476" s="326"/>
      <c r="E476" s="326"/>
      <c r="F476" s="327" t="s">
        <v>5</v>
      </c>
    </row>
    <row r="477" spans="1:6" ht="16.149999999999999" customHeight="1" x14ac:dyDescent="0.25">
      <c r="A477" s="467" t="s">
        <v>2531</v>
      </c>
      <c r="B477" s="467"/>
      <c r="C477" s="468"/>
      <c r="D477" s="469"/>
      <c r="E477" s="469"/>
      <c r="F477" s="469"/>
    </row>
    <row r="478" spans="1:6" x14ac:dyDescent="0.25">
      <c r="A478" s="45" t="s">
        <v>7</v>
      </c>
      <c r="B478" s="45" t="s">
        <v>8</v>
      </c>
      <c r="C478" s="328"/>
      <c r="D478" s="46" t="s">
        <v>2481</v>
      </c>
      <c r="E478" s="46"/>
      <c r="F478" s="46"/>
    </row>
    <row r="479" spans="1:6" ht="120" x14ac:dyDescent="0.25">
      <c r="A479" s="329" t="str">
        <f>'[5]4'!A5</f>
        <v>MKN-300</v>
      </c>
      <c r="B479" s="330" t="str">
        <f>'[5]4'!B5</f>
        <v>Model Hydrov-II A Hydraulic-Set ESP Packer.
 Size: 7" 17-29# x 2-7/8" EUE x 1.900" NUE.
 Elements: Nitrile Durometer:80-70-80.
 Long string Connections: 2-7/8" 6.5# EUE Box Pin. Short String Connections: 
1.900" NUE Box x Pin, Material: 13Cr-80ksi, Flow-wetted.
 Setting String: Long.
 Releasing string: long. 
Shear Rating @ 49,500 lbs</v>
      </c>
      <c r="C479" s="331"/>
      <c r="D479" s="332"/>
      <c r="E479" s="332"/>
      <c r="F479" s="332"/>
    </row>
    <row r="480" spans="1:6" ht="36" x14ac:dyDescent="0.25">
      <c r="A480" s="333" t="str">
        <f>'[5]4'!A6</f>
        <v>MKN-301</v>
      </c>
      <c r="B480" s="334" t="str">
        <f>'[5]4'!B6</f>
        <v>Redress Kit for above Model Hydrov-II A Hydraulic-Set ESP Packer. Elements: Nitrile, Durometer: 80-70-80.</v>
      </c>
      <c r="C480" s="335"/>
      <c r="D480" s="336"/>
      <c r="E480" s="336"/>
      <c r="F480" s="336"/>
    </row>
    <row r="481" spans="1:6" ht="96" x14ac:dyDescent="0.25">
      <c r="A481" s="333" t="str">
        <f>'[5]4'!A7</f>
        <v>MKN-302</v>
      </c>
      <c r="B481" s="334" t="str">
        <f>'[5]4'!B7</f>
        <v>Model Adjustable Sub Rotational Lock.
 Size: 2-7/8".
 Max OD: 3.693. 
Min ID: 2.485". 
Seals: Nitrile.
 2 Feet Stroke. Connections: 2-7/8" 6.5# 8rd EUE Box x Pin.
 Material: 13Cr-80ksi</v>
      </c>
      <c r="C481" s="335"/>
      <c r="D481" s="336"/>
      <c r="E481" s="336"/>
      <c r="F481" s="336"/>
    </row>
    <row r="482" spans="1:6" ht="24" x14ac:dyDescent="0.25">
      <c r="A482" s="333" t="str">
        <f>'[5]4'!A8</f>
        <v>MKN-303</v>
      </c>
      <c r="B482" s="334" t="str">
        <f>'[5]4'!B8</f>
        <v>Redress Kit for above Model Adjustable Sub Rotational Lock, Seals: Nitrile.</v>
      </c>
      <c r="C482" s="335"/>
      <c r="D482" s="336"/>
      <c r="E482" s="336"/>
      <c r="F482" s="336"/>
    </row>
    <row r="483" spans="1:6" ht="36" x14ac:dyDescent="0.25">
      <c r="A483" s="333" t="str">
        <f>'[5]4'!A9</f>
        <v>MKN-304</v>
      </c>
      <c r="B483" s="334" t="str">
        <f>'[5]4'!B9</f>
        <v>Cross over sub connection 3. ½" 9.3# 8RD EUE Box up X 2 7/8" 6.5# 8RD EUE Pin Down. Material: 13Cr-80ksi</v>
      </c>
      <c r="C483" s="335"/>
      <c r="D483" s="336"/>
      <c r="E483" s="336"/>
      <c r="F483" s="336"/>
    </row>
    <row r="484" spans="1:6" ht="36" x14ac:dyDescent="0.25">
      <c r="A484" s="333" t="str">
        <f>'[5]4'!A10</f>
        <v>MKN-305</v>
      </c>
      <c r="B484" s="334" t="str">
        <f>'[5]4'!B10</f>
        <v>Cross over sub connection 3. ½" 9.3# 8RD EUE Pin Down X 2 7/8" 6.5# 8RD EUE Box Up. Material: 13Cr-80ksi</v>
      </c>
      <c r="C484" s="335"/>
      <c r="D484" s="336"/>
      <c r="E484" s="336"/>
      <c r="F484" s="336"/>
    </row>
    <row r="485" spans="1:6" x14ac:dyDescent="0.25">
      <c r="A485" s="333" t="str">
        <f>'[5]4'!A11</f>
        <v>MKN-306</v>
      </c>
      <c r="B485" s="334" t="str">
        <f>'[5]4'!B11</f>
        <v>Pup Joint 4 feet 3. ½" 9.3# 8RD EUE N-80 Box up</v>
      </c>
      <c r="C485" s="335"/>
      <c r="D485" s="336"/>
      <c r="E485" s="336"/>
      <c r="F485" s="336"/>
    </row>
    <row r="486" spans="1:6" x14ac:dyDescent="0.25">
      <c r="A486" s="337" t="str">
        <f>'[5]4'!A12</f>
        <v>MKN-307</v>
      </c>
      <c r="B486" s="338" t="str">
        <f>'[5]4'!B12</f>
        <v>Pup Joint 6 feet 3. ½" 9.3# 8RD EUE N-80 Box up</v>
      </c>
      <c r="C486" s="339"/>
      <c r="D486" s="340"/>
      <c r="E486" s="340"/>
      <c r="F486" s="340"/>
    </row>
    <row r="487" spans="1:6" ht="6" customHeight="1" x14ac:dyDescent="0.25">
      <c r="A487" s="34"/>
      <c r="B487" s="34"/>
      <c r="C487" s="325"/>
      <c r="D487" s="326"/>
      <c r="E487" s="326"/>
      <c r="F487" s="326"/>
    </row>
    <row r="488" spans="1:6" ht="16.149999999999999" customHeight="1" x14ac:dyDescent="0.25">
      <c r="A488" s="467" t="s">
        <v>2532</v>
      </c>
      <c r="B488" s="467"/>
      <c r="C488" s="468"/>
      <c r="D488" s="469"/>
      <c r="E488" s="469"/>
      <c r="F488" s="469"/>
    </row>
    <row r="489" spans="1:6" x14ac:dyDescent="0.25">
      <c r="A489" s="45" t="s">
        <v>7</v>
      </c>
      <c r="B489" s="45" t="s">
        <v>8</v>
      </c>
      <c r="C489" s="328"/>
      <c r="D489" s="46" t="s">
        <v>2481</v>
      </c>
      <c r="E489" s="46"/>
      <c r="F489" s="46"/>
    </row>
    <row r="490" spans="1:6" ht="96" x14ac:dyDescent="0.25">
      <c r="A490" s="329" t="str">
        <f>'[5]5'!A4</f>
        <v>MKN-308</v>
      </c>
      <c r="B490" s="330" t="str">
        <f>'[5]5'!B4</f>
        <v>RMS Bottom-Mounted (Inverted) Packer Penetrator - Harsh Environment Moulded to: TOP: 30 ft #1 AWG downhole cable, P/N: 016/04/225 (round, solid conductor, galvanised armour, 5 kV). RMS BOTTOM: 30 ft #4 AWG MLE cable, (flat, 5kV, solid (round, solid conductor, galvanised armour, 5 kV). conductor, lead barrier, monel armour).80ksi, Flow-wetted.</v>
      </c>
      <c r="C490" s="331"/>
      <c r="D490" s="332"/>
      <c r="E490" s="332"/>
      <c r="F490" s="332"/>
    </row>
    <row r="491" spans="1:6" ht="36" x14ac:dyDescent="0.25">
      <c r="A491" s="337" t="str">
        <f>'[5]5'!A5</f>
        <v>MKN-309</v>
      </c>
      <c r="B491" s="338" t="str">
        <f>'[5]5'!B5</f>
        <v>Extended Adapter: 1.9" x 10 NUE pin thread. Supplied with fix-ring, split-collets, and spare set of</v>
      </c>
      <c r="C491" s="339"/>
      <c r="D491" s="340"/>
      <c r="E491" s="340"/>
      <c r="F491" s="340"/>
    </row>
    <row r="492" spans="1:6" ht="6" customHeight="1" x14ac:dyDescent="0.25">
      <c r="A492" s="34"/>
      <c r="B492" s="34"/>
      <c r="C492" s="325"/>
      <c r="D492" s="326"/>
      <c r="E492" s="326"/>
      <c r="F492" s="326"/>
    </row>
    <row r="493" spans="1:6" ht="16.149999999999999" customHeight="1" x14ac:dyDescent="0.25">
      <c r="A493" s="467" t="s">
        <v>2533</v>
      </c>
      <c r="B493" s="467"/>
      <c r="C493" s="468"/>
      <c r="D493" s="469"/>
      <c r="E493" s="469"/>
      <c r="F493" s="469"/>
    </row>
    <row r="494" spans="1:6" x14ac:dyDescent="0.25">
      <c r="A494" s="45" t="s">
        <v>7</v>
      </c>
      <c r="B494" s="45" t="s">
        <v>8</v>
      </c>
      <c r="C494" s="328"/>
      <c r="D494" s="46" t="s">
        <v>2481</v>
      </c>
      <c r="E494" s="46"/>
      <c r="F494" s="46"/>
    </row>
    <row r="495" spans="1:6" x14ac:dyDescent="0.25">
      <c r="A495" s="329" t="str">
        <f>'[5]5'!A10</f>
        <v>MKN-310</v>
      </c>
      <c r="B495" s="330" t="str">
        <f>'[5]5'!B10</f>
        <v>UPPER SLIP.</v>
      </c>
      <c r="C495" s="331"/>
      <c r="D495" s="332"/>
      <c r="E495" s="332"/>
      <c r="F495" s="332"/>
    </row>
    <row r="496" spans="1:6" x14ac:dyDescent="0.25">
      <c r="A496" s="333" t="str">
        <f>'[5]5'!A11</f>
        <v>MKN-311</v>
      </c>
      <c r="B496" s="334" t="str">
        <f>'[5]5'!B11</f>
        <v>RUBBER SPACER.</v>
      </c>
      <c r="C496" s="335"/>
      <c r="D496" s="336"/>
      <c r="E496" s="336"/>
      <c r="F496" s="336"/>
    </row>
    <row r="497" spans="1:6" x14ac:dyDescent="0.25">
      <c r="A497" s="333" t="str">
        <f>'[5]5'!A12</f>
        <v>MKN-312</v>
      </c>
      <c r="B497" s="334" t="str">
        <f>'[5]5'!B12</f>
        <v>SETTING MANDERL.</v>
      </c>
      <c r="C497" s="335"/>
      <c r="D497" s="336"/>
      <c r="E497" s="336"/>
      <c r="F497" s="336"/>
    </row>
    <row r="498" spans="1:6" x14ac:dyDescent="0.25">
      <c r="A498" s="333" t="str">
        <f>'[5]5'!A13</f>
        <v>MKN-313</v>
      </c>
      <c r="B498" s="334" t="str">
        <f>'[5]5'!B13</f>
        <v>SETTING CYLINDER.</v>
      </c>
      <c r="C498" s="335"/>
      <c r="D498" s="336"/>
      <c r="E498" s="336"/>
      <c r="F498" s="336"/>
    </row>
    <row r="499" spans="1:6" x14ac:dyDescent="0.25">
      <c r="A499" s="333" t="str">
        <f>'[5]5'!A14</f>
        <v>MKN-314</v>
      </c>
      <c r="B499" s="334" t="str">
        <f>'[5]5'!B14</f>
        <v>LOCKING NUT.</v>
      </c>
      <c r="C499" s="335"/>
      <c r="D499" s="336"/>
      <c r="E499" s="336"/>
      <c r="F499" s="336"/>
    </row>
    <row r="500" spans="1:6" x14ac:dyDescent="0.25">
      <c r="A500" s="333" t="str">
        <f>'[5]5'!A15</f>
        <v>MKN-315</v>
      </c>
      <c r="B500" s="334" t="str">
        <f>'[5]5'!B15</f>
        <v>LOWER SLIP.</v>
      </c>
      <c r="C500" s="335"/>
      <c r="D500" s="336"/>
      <c r="E500" s="336"/>
      <c r="F500" s="336"/>
    </row>
    <row r="501" spans="1:6" x14ac:dyDescent="0.25">
      <c r="A501" s="333" t="str">
        <f>'[5]5'!A16</f>
        <v>MKN-316</v>
      </c>
      <c r="B501" s="334" t="str">
        <f>'[5]5'!B16</f>
        <v>PICK-UP RING.</v>
      </c>
      <c r="C501" s="335"/>
      <c r="D501" s="336"/>
      <c r="E501" s="336"/>
      <c r="F501" s="336"/>
    </row>
    <row r="502" spans="1:6" x14ac:dyDescent="0.25">
      <c r="A502" s="333" t="str">
        <f>'[5]5'!A17</f>
        <v>MKN-317</v>
      </c>
      <c r="B502" s="334" t="str">
        <f>'[5]5'!B17</f>
        <v>LONG STRING MANDREL.</v>
      </c>
      <c r="C502" s="335"/>
      <c r="D502" s="336"/>
      <c r="E502" s="336"/>
      <c r="F502" s="336"/>
    </row>
    <row r="503" spans="1:6" x14ac:dyDescent="0.25">
      <c r="A503" s="333" t="str">
        <f>'[5]5'!A18</f>
        <v>MKN-318</v>
      </c>
      <c r="B503" s="334" t="str">
        <f>'[5]5'!B18</f>
        <v>SHORT STRING MANDREL.</v>
      </c>
      <c r="C503" s="335"/>
      <c r="D503" s="336"/>
      <c r="E503" s="336"/>
      <c r="F503" s="336"/>
    </row>
    <row r="504" spans="1:6" x14ac:dyDescent="0.25">
      <c r="A504" s="333" t="str">
        <f>'[5]5'!A19</f>
        <v>MKN-319</v>
      </c>
      <c r="B504" s="334" t="str">
        <f>'[5]5'!B19</f>
        <v>SHORT SLEEVE</v>
      </c>
      <c r="C504" s="335"/>
      <c r="D504" s="336"/>
      <c r="E504" s="336"/>
      <c r="F504" s="336"/>
    </row>
    <row r="505" spans="1:6" x14ac:dyDescent="0.25">
      <c r="A505" s="337" t="str">
        <f>'[5]5'!A20</f>
        <v>MKN-320</v>
      </c>
      <c r="B505" s="338" t="str">
        <f>'[5]5'!B20</f>
        <v>CROSS OVER SUB.</v>
      </c>
      <c r="C505" s="339"/>
      <c r="D505" s="340"/>
      <c r="E505" s="340"/>
      <c r="F505" s="340"/>
    </row>
    <row r="506" spans="1:6" ht="6" customHeight="1" x14ac:dyDescent="0.25">
      <c r="A506" s="34"/>
      <c r="B506" s="34"/>
      <c r="C506" s="325"/>
      <c r="D506" s="326"/>
      <c r="E506" s="326"/>
      <c r="F506" s="326"/>
    </row>
    <row r="507" spans="1:6" ht="16.149999999999999" customHeight="1" x14ac:dyDescent="0.25">
      <c r="A507" s="467" t="s">
        <v>2534</v>
      </c>
      <c r="B507" s="467"/>
      <c r="C507" s="468"/>
      <c r="D507" s="469"/>
      <c r="E507" s="469"/>
      <c r="F507" s="469"/>
    </row>
    <row r="508" spans="1:6" x14ac:dyDescent="0.25">
      <c r="A508" s="45" t="s">
        <v>7</v>
      </c>
      <c r="B508" s="45" t="s">
        <v>8</v>
      </c>
      <c r="C508" s="328"/>
      <c r="D508" s="46" t="s">
        <v>2481</v>
      </c>
      <c r="E508" s="46"/>
      <c r="F508" s="46"/>
    </row>
    <row r="509" spans="1:6" x14ac:dyDescent="0.25">
      <c r="A509" s="329" t="str">
        <f>'[5]5'!A24</f>
        <v>MKN-321</v>
      </c>
      <c r="B509" s="330" t="str">
        <f>'[5]5'!B24</f>
        <v>6 ½” Shock Tool Sub.</v>
      </c>
      <c r="C509" s="331"/>
      <c r="D509" s="332"/>
      <c r="E509" s="332"/>
      <c r="F509" s="332"/>
    </row>
    <row r="510" spans="1:6" x14ac:dyDescent="0.25">
      <c r="A510" s="333" t="str">
        <f>'[5]5'!A25</f>
        <v>MKN-322</v>
      </c>
      <c r="B510" s="334" t="str">
        <f>'[5]5'!B25</f>
        <v>8” Shock Tool Sub.</v>
      </c>
      <c r="C510" s="335"/>
      <c r="D510" s="336"/>
      <c r="E510" s="336"/>
      <c r="F510" s="336"/>
    </row>
    <row r="511" spans="1:6" x14ac:dyDescent="0.25">
      <c r="A511" s="333" t="str">
        <f>'[5]5'!A26</f>
        <v>MKN-323</v>
      </c>
      <c r="B511" s="334" t="str">
        <f>'[5]5'!B26</f>
        <v>6” Hydraulic drilling Jar.</v>
      </c>
      <c r="C511" s="335"/>
      <c r="D511" s="336"/>
      <c r="E511" s="336"/>
      <c r="F511" s="336"/>
    </row>
    <row r="512" spans="1:6" x14ac:dyDescent="0.25">
      <c r="A512" s="333" t="str">
        <f>'[5]5'!A27</f>
        <v>MKN-324</v>
      </c>
      <c r="B512" s="334" t="str">
        <f>'[5]5'!B27</f>
        <v>8” Hydraulic drilling Jar.</v>
      </c>
      <c r="C512" s="335"/>
      <c r="D512" s="336"/>
      <c r="E512" s="336"/>
      <c r="F512" s="336"/>
    </row>
    <row r="513" spans="1:6" x14ac:dyDescent="0.25">
      <c r="A513" s="337" t="str">
        <f>'[5]5'!A28</f>
        <v>MKN-325</v>
      </c>
      <c r="B513" s="338" t="str">
        <f>'[5]5'!B28</f>
        <v>Throw 8 ½” Skirted Mill.</v>
      </c>
      <c r="C513" s="339"/>
      <c r="D513" s="340"/>
      <c r="E513" s="340"/>
      <c r="F513" s="340"/>
    </row>
    <row r="514" spans="1:6" ht="6" customHeight="1" x14ac:dyDescent="0.25">
      <c r="A514" s="34"/>
      <c r="B514" s="34"/>
      <c r="C514" s="325"/>
      <c r="D514" s="326"/>
      <c r="E514" s="326"/>
      <c r="F514" s="326"/>
    </row>
    <row r="515" spans="1:6" ht="22.15" customHeight="1" thickBot="1" x14ac:dyDescent="0.3">
      <c r="A515" s="470" t="s">
        <v>2535</v>
      </c>
      <c r="B515" s="470"/>
      <c r="C515" s="471"/>
      <c r="D515" s="472"/>
      <c r="E515" s="472"/>
      <c r="F515" s="472"/>
    </row>
    <row r="516" spans="1:6" ht="13.9" customHeight="1" thickTop="1" x14ac:dyDescent="0.25">
      <c r="A516" s="34"/>
      <c r="B516" s="34"/>
      <c r="C516" s="325"/>
      <c r="D516" s="326"/>
      <c r="E516" s="326"/>
      <c r="F516" s="327" t="s">
        <v>5</v>
      </c>
    </row>
    <row r="517" spans="1:6" ht="16.149999999999999" customHeight="1" x14ac:dyDescent="0.25">
      <c r="A517" s="467" t="s">
        <v>2536</v>
      </c>
      <c r="B517" s="467"/>
      <c r="C517" s="468"/>
      <c r="D517" s="469"/>
      <c r="E517" s="469"/>
      <c r="F517" s="469"/>
    </row>
    <row r="518" spans="1:6" x14ac:dyDescent="0.25">
      <c r="A518" s="45" t="s">
        <v>7</v>
      </c>
      <c r="B518" s="45" t="s">
        <v>8</v>
      </c>
      <c r="C518" s="328" t="s">
        <v>9</v>
      </c>
      <c r="D518" s="46" t="s">
        <v>2481</v>
      </c>
      <c r="E518" s="46"/>
      <c r="F518" s="46"/>
    </row>
    <row r="519" spans="1:6" x14ac:dyDescent="0.25">
      <c r="A519" s="329" t="str">
        <f>'[5]3'!A5</f>
        <v>MKN-1860</v>
      </c>
      <c r="B519" s="330" t="str">
        <f>'[5]3'!B5</f>
        <v>SERVICE SUPERVISOR FILTRATION UNIT</v>
      </c>
      <c r="C519" s="331" t="str">
        <f>'[5]3'!C5</f>
        <v>Per day</v>
      </c>
      <c r="D519" s="332">
        <f>'[5]3'!D5</f>
        <v>3120</v>
      </c>
      <c r="E519" s="332"/>
      <c r="F519" s="332"/>
    </row>
    <row r="520" spans="1:6" x14ac:dyDescent="0.25">
      <c r="A520" s="333" t="str">
        <f>'[5]3'!A6</f>
        <v>MKN-1861</v>
      </c>
      <c r="B520" s="334" t="str">
        <f>'[5]3'!B6</f>
        <v>HELPER</v>
      </c>
      <c r="C520" s="335" t="str">
        <f>'[5]3'!C6</f>
        <v>Per day</v>
      </c>
      <c r="D520" s="336">
        <f>'[5]3'!D6</f>
        <v>1200</v>
      </c>
      <c r="E520" s="336"/>
      <c r="F520" s="336"/>
    </row>
    <row r="521" spans="1:6" x14ac:dyDescent="0.25">
      <c r="A521" s="333" t="str">
        <f>'[5]3'!A7</f>
        <v>MKN-1862</v>
      </c>
      <c r="B521" s="334" t="str">
        <f>'[5]3'!B7</f>
        <v>FILTRATION UNIT AND C-PUMP TRANSPORT</v>
      </c>
      <c r="C521" s="335" t="str">
        <f>'[5]3'!C7</f>
        <v>Per day</v>
      </c>
      <c r="D521" s="336">
        <f>'[5]3'!D7</f>
        <v>1320</v>
      </c>
      <c r="E521" s="336"/>
      <c r="F521" s="336"/>
    </row>
    <row r="522" spans="1:6" x14ac:dyDescent="0.25">
      <c r="A522" s="333" t="str">
        <f>'[5]3'!A8</f>
        <v>MKN-1863</v>
      </c>
      <c r="B522" s="334" t="str">
        <f>'[5]3'!B8</f>
        <v>FRAC TANK</v>
      </c>
      <c r="C522" s="335" t="str">
        <f>'[5]3'!C8</f>
        <v>Per Job</v>
      </c>
      <c r="D522" s="336">
        <f>'[5]3'!D8</f>
        <v>1920</v>
      </c>
      <c r="E522" s="336"/>
      <c r="F522" s="336"/>
    </row>
    <row r="523" spans="1:6" x14ac:dyDescent="0.25">
      <c r="A523" s="333" t="str">
        <f>'[5]3'!A9</f>
        <v>MKN-1864</v>
      </c>
      <c r="B523" s="334" t="str">
        <f>'[5]3'!B9</f>
        <v>CENTER FUGAL PUMP</v>
      </c>
      <c r="C523" s="335" t="str">
        <f>'[5]3'!C9</f>
        <v>Per Job</v>
      </c>
      <c r="D523" s="336">
        <f>'[5]3'!D9</f>
        <v>2160</v>
      </c>
      <c r="E523" s="336"/>
      <c r="F523" s="336"/>
    </row>
    <row r="524" spans="1:6" x14ac:dyDescent="0.25">
      <c r="A524" s="333" t="str">
        <f>'[5]3'!A10</f>
        <v>MKN-1865</v>
      </c>
      <c r="B524" s="334" t="str">
        <f>'[5]3'!B10</f>
        <v>FILTRATION UNIT</v>
      </c>
      <c r="C524" s="335" t="str">
        <f>'[5]3'!C10</f>
        <v>Per day</v>
      </c>
      <c r="D524" s="336">
        <f>'[5]3'!D10</f>
        <v>912</v>
      </c>
      <c r="E524" s="336"/>
      <c r="F524" s="336"/>
    </row>
    <row r="525" spans="1:6" x14ac:dyDescent="0.25">
      <c r="A525" s="337" t="str">
        <f>'[5]3'!A11</f>
        <v>MKN-1866</v>
      </c>
      <c r="B525" s="338" t="str">
        <f>'[5]3'!B11</f>
        <v>FILTRATION CATRIDGES</v>
      </c>
      <c r="C525" s="339" t="str">
        <f>'[5]3'!C11</f>
        <v>Per Each</v>
      </c>
      <c r="D525" s="340">
        <f>'[5]3'!D11</f>
        <v>72</v>
      </c>
      <c r="E525" s="340"/>
      <c r="F525" s="340"/>
    </row>
    <row r="526" spans="1:6" ht="6" customHeight="1" x14ac:dyDescent="0.25">
      <c r="A526" s="34"/>
      <c r="B526" s="34"/>
      <c r="C526" s="325"/>
      <c r="D526" s="326"/>
      <c r="E526" s="326"/>
      <c r="F526" s="326"/>
    </row>
    <row r="527" spans="1:6" ht="22.15" customHeight="1" thickBot="1" x14ac:dyDescent="0.3">
      <c r="A527" s="470" t="s">
        <v>432</v>
      </c>
      <c r="B527" s="470"/>
      <c r="C527" s="471"/>
      <c r="D527" s="472"/>
      <c r="E527" s="472"/>
      <c r="F527" s="472"/>
    </row>
    <row r="528" spans="1:6" ht="13.9" customHeight="1" thickTop="1" x14ac:dyDescent="0.25">
      <c r="A528" s="34"/>
      <c r="B528" s="34"/>
      <c r="C528" s="325"/>
      <c r="D528" s="326"/>
      <c r="E528" s="326"/>
      <c r="F528" s="327" t="s">
        <v>5</v>
      </c>
    </row>
    <row r="529" spans="1:6" ht="16.149999999999999" customHeight="1" x14ac:dyDescent="0.25">
      <c r="A529" s="467" t="s">
        <v>2537</v>
      </c>
      <c r="B529" s="467"/>
      <c r="C529" s="468"/>
      <c r="D529" s="469"/>
      <c r="E529" s="469"/>
      <c r="F529" s="469"/>
    </row>
    <row r="530" spans="1:6" x14ac:dyDescent="0.25">
      <c r="A530" s="45" t="s">
        <v>7</v>
      </c>
      <c r="B530" s="45" t="s">
        <v>8</v>
      </c>
      <c r="C530" s="328" t="s">
        <v>9</v>
      </c>
      <c r="D530" s="46" t="s">
        <v>2481</v>
      </c>
      <c r="E530" s="46"/>
      <c r="F530" s="46"/>
    </row>
    <row r="531" spans="1:6" x14ac:dyDescent="0.25">
      <c r="A531" s="329" t="str">
        <f>'[5]18'!A4</f>
        <v>MKN100-581</v>
      </c>
      <c r="B531" s="330" t="str">
        <f>'[5]18'!B4</f>
        <v>Tubing (2-3/8" to 4-1/2") W/TRI/GRIP Backup</v>
      </c>
      <c r="C531" s="331" t="str">
        <f>'[5]18'!C4</f>
        <v>Per Job</v>
      </c>
      <c r="D531" s="332">
        <f>'[5]18'!D4</f>
        <v>6000</v>
      </c>
      <c r="E531" s="332"/>
      <c r="F531" s="332"/>
    </row>
    <row r="532" spans="1:6" x14ac:dyDescent="0.25">
      <c r="A532" s="333" t="str">
        <f>'[5]18'!A5</f>
        <v>MKN100-582</v>
      </c>
      <c r="B532" s="334" t="str">
        <f>'[5]18'!B5</f>
        <v>Casing (5" to 13-3/8")</v>
      </c>
      <c r="C532" s="335" t="str">
        <f>'[5]18'!C5</f>
        <v>Per Job</v>
      </c>
      <c r="D532" s="336">
        <f>'[5]18'!D5</f>
        <v>6336</v>
      </c>
      <c r="E532" s="336"/>
      <c r="F532" s="336"/>
    </row>
    <row r="533" spans="1:6" x14ac:dyDescent="0.25">
      <c r="A533" s="333" t="str">
        <f>'[5]18'!A6</f>
        <v>MKN100-583</v>
      </c>
      <c r="B533" s="334" t="str">
        <f>'[5]18'!B6</f>
        <v>Casing (16" to 20")</v>
      </c>
      <c r="C533" s="335" t="str">
        <f>'[5]18'!C6</f>
        <v>Per Job</v>
      </c>
      <c r="D533" s="336">
        <f>'[5]18'!D6</f>
        <v>7128</v>
      </c>
      <c r="E533" s="336"/>
      <c r="F533" s="336"/>
    </row>
    <row r="534" spans="1:6" x14ac:dyDescent="0.25">
      <c r="A534" s="333" t="str">
        <f>'[5]18'!A7</f>
        <v>MKN100-584</v>
      </c>
      <c r="B534" s="334" t="str">
        <f>'[5]18'!B7</f>
        <v>Toque Control Computer &amp; Analyzer</v>
      </c>
      <c r="C534" s="335" t="str">
        <f>'[5]18'!C7</f>
        <v>Per Job</v>
      </c>
      <c r="D534" s="336">
        <f>'[5]18'!D7</f>
        <v>8640</v>
      </c>
      <c r="E534" s="336"/>
      <c r="F534" s="336"/>
    </row>
    <row r="535" spans="1:6" x14ac:dyDescent="0.25">
      <c r="A535" s="333" t="str">
        <f>'[5]18'!A8</f>
        <v>MKN100-585</v>
      </c>
      <c r="B535" s="334" t="str">
        <f>'[5]18'!B8</f>
        <v>Pickup / Lay Down Machine</v>
      </c>
      <c r="C535" s="335" t="str">
        <f>'[5]18'!C8</f>
        <v>Per Job</v>
      </c>
      <c r="D535" s="336">
        <f>'[5]18'!D8</f>
        <v>4224</v>
      </c>
      <c r="E535" s="336"/>
      <c r="F535" s="336"/>
    </row>
    <row r="536" spans="1:6" x14ac:dyDescent="0.25">
      <c r="A536" s="333" t="str">
        <f>'[5]18'!A9</f>
        <v>MKN100-586</v>
      </c>
      <c r="B536" s="334" t="str">
        <f>'[5]18'!B9</f>
        <v>Stabbing Guides (2-3/8" to 13-3/8")</v>
      </c>
      <c r="C536" s="335" t="str">
        <f>'[5]18'!C9</f>
        <v>Per Job</v>
      </c>
      <c r="D536" s="336">
        <f>'[5]18'!D9</f>
        <v>1652</v>
      </c>
      <c r="E536" s="336"/>
      <c r="F536" s="336"/>
    </row>
    <row r="537" spans="1:6" x14ac:dyDescent="0.25">
      <c r="A537" s="333" t="str">
        <f>'[5]18'!A10</f>
        <v>MKN100-587</v>
      </c>
      <c r="B537" s="334" t="str">
        <f>'[5]18'!B10</f>
        <v>Hand Slips (2-3/8" to 13-3/8")</v>
      </c>
      <c r="C537" s="335" t="str">
        <f>'[5]18'!C10</f>
        <v>Per Job</v>
      </c>
      <c r="D537" s="336">
        <f>'[5]18'!D10</f>
        <v>955</v>
      </c>
      <c r="E537" s="336"/>
      <c r="F537" s="336"/>
    </row>
    <row r="538" spans="1:6" x14ac:dyDescent="0.25">
      <c r="A538" s="333" t="str">
        <f>'[5]18'!A11</f>
        <v>MKN100-588</v>
      </c>
      <c r="B538" s="334" t="str">
        <f>'[5]18'!B11</f>
        <v>Inflatable Thread Protectors (7" to 13-3/8")</v>
      </c>
      <c r="C538" s="335" t="str">
        <f>'[5]18'!C11</f>
        <v>Per Job</v>
      </c>
      <c r="D538" s="336">
        <f>'[5]18'!D11</f>
        <v>1652</v>
      </c>
      <c r="E538" s="336"/>
      <c r="F538" s="336"/>
    </row>
    <row r="539" spans="1:6" x14ac:dyDescent="0.25">
      <c r="A539" s="337" t="str">
        <f>'[5]18'!A12</f>
        <v>MKN100-589</v>
      </c>
      <c r="B539" s="338" t="str">
        <f>'[5]18'!B12</f>
        <v>API Thread Compound 5 GL</v>
      </c>
      <c r="C539" s="339" t="str">
        <f>'[5]18'!C12</f>
        <v>Per Job</v>
      </c>
      <c r="D539" s="340">
        <f>'[5]18'!D12</f>
        <v>1652</v>
      </c>
      <c r="E539" s="340"/>
      <c r="F539" s="340"/>
    </row>
    <row r="540" spans="1:6" ht="6" customHeight="1" x14ac:dyDescent="0.25">
      <c r="A540" s="34"/>
      <c r="B540" s="34"/>
      <c r="C540" s="325"/>
      <c r="D540" s="326"/>
      <c r="E540" s="326"/>
      <c r="F540" s="326"/>
    </row>
    <row r="541" spans="1:6" ht="16.149999999999999" customHeight="1" x14ac:dyDescent="0.25">
      <c r="A541" s="467" t="s">
        <v>2538</v>
      </c>
      <c r="B541" s="467"/>
      <c r="C541" s="468"/>
      <c r="D541" s="469"/>
      <c r="E541" s="469"/>
      <c r="F541" s="469"/>
    </row>
    <row r="542" spans="1:6" ht="23.25" x14ac:dyDescent="0.25">
      <c r="A542" s="45" t="s">
        <v>7</v>
      </c>
      <c r="B542" s="45" t="s">
        <v>8</v>
      </c>
      <c r="C542" s="328"/>
      <c r="D542" s="46" t="s">
        <v>2539</v>
      </c>
      <c r="E542" s="46" t="s">
        <v>2540</v>
      </c>
      <c r="F542" s="46"/>
    </row>
    <row r="543" spans="1:6" x14ac:dyDescent="0.25">
      <c r="A543" s="329" t="str">
        <f>'[5]18'!A16</f>
        <v>MKN100-590</v>
      </c>
      <c r="B543" s="330" t="str">
        <f>'[5]18'!B16</f>
        <v>Tubing / Singles (2-3/8" to 4-1/2")</v>
      </c>
      <c r="C543" s="331"/>
      <c r="D543" s="332">
        <f>'[5]18'!C16</f>
        <v>1.3</v>
      </c>
      <c r="E543" s="332">
        <f>'[5]18'!D16</f>
        <v>1.5</v>
      </c>
      <c r="F543" s="332"/>
    </row>
    <row r="544" spans="1:6" x14ac:dyDescent="0.25">
      <c r="A544" s="333" t="str">
        <f>'[5]18'!A17</f>
        <v>MKN100-591</v>
      </c>
      <c r="B544" s="334" t="str">
        <f>'[5]18'!B17</f>
        <v>Tubing / Triples</v>
      </c>
      <c r="C544" s="335"/>
      <c r="D544" s="336">
        <f>'[5]18'!C17</f>
        <v>1</v>
      </c>
      <c r="E544" s="336">
        <f>'[5]18'!D17</f>
        <v>1.3</v>
      </c>
      <c r="F544" s="336"/>
    </row>
    <row r="545" spans="1:6" x14ac:dyDescent="0.25">
      <c r="A545" s="333" t="str">
        <f>'[5]18'!A18</f>
        <v>MKN100-592</v>
      </c>
      <c r="B545" s="334" t="str">
        <f>'[5]18'!B18</f>
        <v>Casing (5" to 13-3/8")</v>
      </c>
      <c r="C545" s="335"/>
      <c r="D545" s="336">
        <f>'[5]18'!C18</f>
        <v>4</v>
      </c>
      <c r="E545" s="336">
        <f>'[5]18'!D18</f>
        <v>4</v>
      </c>
      <c r="F545" s="336"/>
    </row>
    <row r="546" spans="1:6" x14ac:dyDescent="0.25">
      <c r="A546" s="337" t="str">
        <f>'[5]18'!A19</f>
        <v>MKN100-593</v>
      </c>
      <c r="B546" s="338" t="str">
        <f>'[5]18'!B19</f>
        <v>Casing (16" to 20")</v>
      </c>
      <c r="C546" s="339"/>
      <c r="D546" s="340">
        <f>'[5]18'!C19</f>
        <v>4</v>
      </c>
      <c r="E546" s="340">
        <f>'[5]18'!D19</f>
        <v>5.23</v>
      </c>
      <c r="F546" s="340"/>
    </row>
    <row r="547" spans="1:6" ht="6" customHeight="1" x14ac:dyDescent="0.25">
      <c r="A547" s="34"/>
      <c r="B547" s="34"/>
      <c r="C547" s="325"/>
      <c r="D547" s="326"/>
      <c r="E547" s="326"/>
      <c r="F547" s="326"/>
    </row>
    <row r="548" spans="1:6" ht="16.149999999999999" customHeight="1" x14ac:dyDescent="0.25">
      <c r="A548" s="467" t="s">
        <v>2541</v>
      </c>
      <c r="B548" s="467"/>
      <c r="C548" s="468"/>
      <c r="D548" s="469"/>
      <c r="E548" s="469"/>
      <c r="F548" s="469"/>
    </row>
    <row r="549" spans="1:6" x14ac:dyDescent="0.25">
      <c r="A549" s="45" t="s">
        <v>7</v>
      </c>
      <c r="B549" s="45" t="s">
        <v>8</v>
      </c>
      <c r="C549" s="328" t="s">
        <v>9</v>
      </c>
      <c r="D549" s="46" t="s">
        <v>2481</v>
      </c>
      <c r="E549" s="46"/>
      <c r="F549" s="46"/>
    </row>
    <row r="550" spans="1:6" x14ac:dyDescent="0.25">
      <c r="A550" s="329" t="str">
        <f>'[5]18'!A23</f>
        <v>MKN100-596</v>
      </c>
      <c r="B550" s="330" t="str">
        <f>'[5]18'!B23</f>
        <v>Computer Operator</v>
      </c>
      <c r="C550" s="331" t="str">
        <f>'[5]18'!C23</f>
        <v>Per Day</v>
      </c>
      <c r="D550" s="332">
        <f>'[5]18'!D23</f>
        <v>3600</v>
      </c>
      <c r="E550" s="332"/>
      <c r="F550" s="332"/>
    </row>
    <row r="551" spans="1:6" x14ac:dyDescent="0.25">
      <c r="A551" s="333" t="str">
        <f>'[5]18'!A24</f>
        <v>MKN100-597</v>
      </c>
      <c r="B551" s="334" t="str">
        <f>'[5]18'!B24</f>
        <v>Tong Operator</v>
      </c>
      <c r="C551" s="335" t="str">
        <f>'[5]18'!C24</f>
        <v>Per Day</v>
      </c>
      <c r="D551" s="336">
        <f>'[5]18'!D24</f>
        <v>2736</v>
      </c>
      <c r="E551" s="336"/>
      <c r="F551" s="336"/>
    </row>
    <row r="552" spans="1:6" x14ac:dyDescent="0.25">
      <c r="A552" s="333" t="str">
        <f>'[5]18'!A25</f>
        <v>MKN100-598</v>
      </c>
      <c r="B552" s="334" t="str">
        <f>'[5]18'!B25</f>
        <v>Tong Operator Assistance</v>
      </c>
      <c r="C552" s="335" t="str">
        <f>'[5]18'!C25</f>
        <v>Per Day</v>
      </c>
      <c r="D552" s="336">
        <f>'[5]18'!D25</f>
        <v>1344</v>
      </c>
      <c r="E552" s="336"/>
      <c r="F552" s="336"/>
    </row>
    <row r="553" spans="1:6" x14ac:dyDescent="0.25">
      <c r="A553" s="337" t="str">
        <f>'[5]18'!A26</f>
        <v>MKN100-599</v>
      </c>
      <c r="B553" s="338" t="str">
        <f>'[5]18'!B26</f>
        <v>Stabber</v>
      </c>
      <c r="C553" s="339" t="str">
        <f>'[5]18'!C26</f>
        <v>Per Day</v>
      </c>
      <c r="D553" s="340">
        <f>'[5]18'!D26</f>
        <v>1632</v>
      </c>
      <c r="E553" s="340"/>
      <c r="F553" s="340"/>
    </row>
    <row r="554" spans="1:6" ht="6" customHeight="1" x14ac:dyDescent="0.25">
      <c r="A554" s="34"/>
      <c r="B554" s="34"/>
      <c r="C554" s="325"/>
      <c r="D554" s="326"/>
      <c r="E554" s="326"/>
      <c r="F554" s="326"/>
    </row>
    <row r="555" spans="1:6" ht="22.15" customHeight="1" thickBot="1" x14ac:dyDescent="0.3">
      <c r="A555" s="470" t="s">
        <v>2542</v>
      </c>
      <c r="B555" s="470"/>
      <c r="C555" s="471"/>
      <c r="D555" s="472"/>
      <c r="E555" s="472"/>
      <c r="F555" s="472"/>
    </row>
    <row r="556" spans="1:6" ht="13.9" customHeight="1" thickTop="1" x14ac:dyDescent="0.25">
      <c r="A556" s="34"/>
      <c r="B556" s="34"/>
      <c r="C556" s="325"/>
      <c r="D556" s="326"/>
      <c r="E556" s="326"/>
      <c r="F556" s="327" t="s">
        <v>5</v>
      </c>
    </row>
    <row r="557" spans="1:6" ht="16.149999999999999" customHeight="1" x14ac:dyDescent="0.25">
      <c r="A557" s="467" t="s">
        <v>2543</v>
      </c>
      <c r="B557" s="467"/>
      <c r="C557" s="468"/>
      <c r="D557" s="469"/>
      <c r="E557" s="469"/>
      <c r="F557" s="469"/>
    </row>
    <row r="558" spans="1:6" x14ac:dyDescent="0.25">
      <c r="A558" s="45" t="s">
        <v>7</v>
      </c>
      <c r="B558" s="45" t="s">
        <v>8</v>
      </c>
      <c r="C558" s="328" t="s">
        <v>9</v>
      </c>
      <c r="D558" s="46" t="s">
        <v>2481</v>
      </c>
      <c r="E558" s="46"/>
      <c r="F558" s="46"/>
    </row>
    <row r="559" spans="1:6" x14ac:dyDescent="0.25">
      <c r="A559" s="329" t="str">
        <f>'[5]15'!A7</f>
        <v>MKN 100-482</v>
      </c>
      <c r="B559" s="330" t="str">
        <f>'[5]15'!B7</f>
        <v>103A, Gialo, Nafoora, Amal</v>
      </c>
      <c r="C559" s="331" t="str">
        <f>'[5]15'!C7</f>
        <v>per cubic foot</v>
      </c>
      <c r="D559" s="332">
        <f>'[5]15'!D7</f>
        <v>135</v>
      </c>
      <c r="E559" s="332"/>
      <c r="F559" s="332"/>
    </row>
    <row r="560" spans="1:6" x14ac:dyDescent="0.25">
      <c r="A560" s="333" t="str">
        <f>'[5]15'!A8</f>
        <v>MKN 100-483</v>
      </c>
      <c r="B560" s="334" t="str">
        <f>'[5]15'!B8</f>
        <v>Waha, Samah, Sarir, Zelten, Tibesti, beda</v>
      </c>
      <c r="C560" s="335" t="str">
        <f>'[5]15'!C8</f>
        <v>per cubic foot</v>
      </c>
      <c r="D560" s="336">
        <f>'[5]15'!D8</f>
        <v>140</v>
      </c>
      <c r="E560" s="336"/>
      <c r="F560" s="336"/>
    </row>
    <row r="561" spans="1:6" x14ac:dyDescent="0.25">
      <c r="A561" s="333" t="str">
        <f>'[5]15'!A9</f>
        <v>MKN 100-484</v>
      </c>
      <c r="B561" s="334" t="str">
        <f>'[5]15'!B9</f>
        <v>Zella</v>
      </c>
      <c r="C561" s="335" t="str">
        <f>'[5]15'!C9</f>
        <v>per cubic foot</v>
      </c>
      <c r="D561" s="336">
        <f>'[5]15'!D9</f>
        <v>144</v>
      </c>
      <c r="E561" s="336"/>
      <c r="F561" s="336"/>
    </row>
    <row r="562" spans="1:6" x14ac:dyDescent="0.25">
      <c r="A562" s="333" t="str">
        <f>'[5]15'!A10</f>
        <v>MKN 100-485</v>
      </c>
      <c r="B562" s="334" t="str">
        <f>'[5]15'!B10</f>
        <v>Dahra</v>
      </c>
      <c r="C562" s="335" t="str">
        <f>'[5]15'!C10</f>
        <v>per cubic foot</v>
      </c>
      <c r="D562" s="336">
        <f>'[5]15'!D10</f>
        <v>135</v>
      </c>
      <c r="E562" s="336"/>
      <c r="F562" s="336"/>
    </row>
    <row r="563" spans="1:6" x14ac:dyDescent="0.25">
      <c r="A563" s="337" t="str">
        <f>'[5]15'!A11</f>
        <v>MKN 100-486</v>
      </c>
      <c r="B563" s="338" t="str">
        <f>'[5]15'!B11</f>
        <v>Hamada</v>
      </c>
      <c r="C563" s="339" t="str">
        <f>'[5]15'!C11</f>
        <v>per cubic foot</v>
      </c>
      <c r="D563" s="340">
        <f>'[5]15'!D11</f>
        <v>197</v>
      </c>
      <c r="E563" s="340"/>
      <c r="F563" s="340"/>
    </row>
    <row r="564" spans="1:6" ht="6" customHeight="1" x14ac:dyDescent="0.25">
      <c r="A564" s="34"/>
      <c r="B564" s="34"/>
      <c r="C564" s="325"/>
      <c r="D564" s="326"/>
      <c r="E564" s="326"/>
      <c r="F564" s="326"/>
    </row>
    <row r="565" spans="1:6" ht="16.149999999999999" customHeight="1" x14ac:dyDescent="0.25">
      <c r="A565" s="467" t="s">
        <v>2544</v>
      </c>
      <c r="B565" s="467"/>
      <c r="C565" s="468"/>
      <c r="D565" s="469"/>
      <c r="E565" s="469"/>
      <c r="F565" s="469"/>
    </row>
    <row r="566" spans="1:6" x14ac:dyDescent="0.25">
      <c r="A566" s="45" t="s">
        <v>7</v>
      </c>
      <c r="B566" s="45" t="s">
        <v>8</v>
      </c>
      <c r="C566" s="328" t="s">
        <v>9</v>
      </c>
      <c r="D566" s="46" t="s">
        <v>2481</v>
      </c>
      <c r="E566" s="46"/>
      <c r="F566" s="46"/>
    </row>
    <row r="567" spans="1:6" x14ac:dyDescent="0.25">
      <c r="A567" s="329" t="str">
        <f>'[5]15'!A16</f>
        <v>MKN 100-487</v>
      </c>
      <c r="B567" s="330" t="str">
        <f>'[5]15'!B16</f>
        <v>LightWight high CS Cement 10 - 12.5 ppg</v>
      </c>
      <c r="C567" s="331" t="str">
        <f>'[5]15'!C16</f>
        <v>per cubic foot</v>
      </c>
      <c r="D567" s="332">
        <f>'[5]15'!D16</f>
        <v>150</v>
      </c>
      <c r="E567" s="332"/>
      <c r="F567" s="332"/>
    </row>
    <row r="568" spans="1:6" x14ac:dyDescent="0.25">
      <c r="A568" s="333" t="str">
        <f>'[5]15'!A17</f>
        <v>MKN 100-488</v>
      </c>
      <c r="B568" s="334" t="str">
        <f>'[5]15'!B17</f>
        <v>Heavywight high CS Cement 17 - 22 ppg</v>
      </c>
      <c r="C568" s="335" t="str">
        <f>'[5]15'!C17</f>
        <v>per cubic foot</v>
      </c>
      <c r="D568" s="336">
        <f>'[5]15'!D17</f>
        <v>165</v>
      </c>
      <c r="E568" s="336"/>
      <c r="F568" s="336"/>
    </row>
    <row r="569" spans="1:6" x14ac:dyDescent="0.25">
      <c r="A569" s="337" t="str">
        <f>'[5]15'!A18</f>
        <v>MKN 100-489</v>
      </c>
      <c r="B569" s="338" t="str">
        <f>'[5]15'!B18</f>
        <v>Microfine Cement - Squeeze Cement</v>
      </c>
      <c r="C569" s="339" t="str">
        <f>'[5]15'!C18</f>
        <v>per cubic foot</v>
      </c>
      <c r="D569" s="340">
        <f>'[5]15'!D18</f>
        <v>150</v>
      </c>
      <c r="E569" s="340"/>
      <c r="F569" s="340"/>
    </row>
    <row r="570" spans="1:6" ht="6" customHeight="1" x14ac:dyDescent="0.25">
      <c r="A570" s="34"/>
      <c r="B570" s="34"/>
      <c r="C570" s="325"/>
      <c r="D570" s="326"/>
      <c r="E570" s="326"/>
      <c r="F570" s="326"/>
    </row>
    <row r="571" spans="1:6" ht="16.149999999999999" customHeight="1" x14ac:dyDescent="0.25">
      <c r="A571" s="467" t="s">
        <v>2545</v>
      </c>
      <c r="B571" s="467"/>
      <c r="C571" s="468"/>
      <c r="D571" s="469"/>
      <c r="E571" s="469"/>
      <c r="F571" s="469"/>
    </row>
    <row r="572" spans="1:6" x14ac:dyDescent="0.25">
      <c r="A572" s="45" t="s">
        <v>7</v>
      </c>
      <c r="B572" s="45" t="s">
        <v>8</v>
      </c>
      <c r="C572" s="328" t="s">
        <v>9</v>
      </c>
      <c r="D572" s="46" t="s">
        <v>2481</v>
      </c>
      <c r="E572" s="46"/>
      <c r="F572" s="46"/>
    </row>
    <row r="573" spans="1:6" x14ac:dyDescent="0.25">
      <c r="A573" s="329" t="str">
        <f>'[5]15'!A23</f>
        <v>MKN 100-490</v>
      </c>
      <c r="B573" s="330" t="str">
        <f>'[5]15'!B23</f>
        <v>Powder Accelerator</v>
      </c>
      <c r="C573" s="331" t="str">
        <f>'[5]15'!C23</f>
        <v>LBS</v>
      </c>
      <c r="D573" s="332">
        <f>'[5]15'!D23</f>
        <v>7</v>
      </c>
      <c r="E573" s="332"/>
      <c r="F573" s="332"/>
    </row>
    <row r="574" spans="1:6" x14ac:dyDescent="0.25">
      <c r="A574" s="337" t="str">
        <f>'[5]15'!A24</f>
        <v>MKN 100-491</v>
      </c>
      <c r="B574" s="338" t="str">
        <f>'[5]15'!B24</f>
        <v>Liquid Accelerator</v>
      </c>
      <c r="C574" s="339" t="str">
        <f>'[5]15'!C24</f>
        <v>GAL</v>
      </c>
      <c r="D574" s="340">
        <f>'[5]15'!D24</f>
        <v>70</v>
      </c>
      <c r="E574" s="340"/>
      <c r="F574" s="340"/>
    </row>
    <row r="575" spans="1:6" ht="6" customHeight="1" x14ac:dyDescent="0.25">
      <c r="A575" s="34"/>
      <c r="B575" s="34"/>
      <c r="C575" s="325"/>
      <c r="D575" s="326"/>
      <c r="E575" s="326"/>
      <c r="F575" s="326"/>
    </row>
    <row r="576" spans="1:6" ht="16.149999999999999" customHeight="1" x14ac:dyDescent="0.25">
      <c r="A576" s="467" t="s">
        <v>2546</v>
      </c>
      <c r="B576" s="467"/>
      <c r="C576" s="468"/>
      <c r="D576" s="469"/>
      <c r="E576" s="469"/>
      <c r="F576" s="469"/>
    </row>
    <row r="577" spans="1:6" x14ac:dyDescent="0.25">
      <c r="A577" s="45" t="s">
        <v>7</v>
      </c>
      <c r="B577" s="45" t="s">
        <v>8</v>
      </c>
      <c r="C577" s="328" t="s">
        <v>9</v>
      </c>
      <c r="D577" s="46" t="s">
        <v>2481</v>
      </c>
      <c r="E577" s="46"/>
      <c r="F577" s="46"/>
    </row>
    <row r="578" spans="1:6" x14ac:dyDescent="0.25">
      <c r="A578" s="329" t="str">
        <f>'[5]15'!A28</f>
        <v>MKN 100-492</v>
      </c>
      <c r="B578" s="330" t="str">
        <f>'[5]15'!B28</f>
        <v>LOW TEMPERATURE FLUID LOSS - POWDER</v>
      </c>
      <c r="C578" s="331" t="str">
        <f>'[5]15'!C28</f>
        <v>LBS</v>
      </c>
      <c r="D578" s="332">
        <f>'[5]15'!D28</f>
        <v>55</v>
      </c>
      <c r="E578" s="332"/>
      <c r="F578" s="332"/>
    </row>
    <row r="579" spans="1:6" x14ac:dyDescent="0.25">
      <c r="A579" s="333" t="str">
        <f>'[5]15'!A29</f>
        <v>MKN 100-493</v>
      </c>
      <c r="B579" s="334" t="str">
        <f>'[5]15'!B29</f>
        <v>LOW TEMPERATURE FLUID LOSS - LIQUID</v>
      </c>
      <c r="C579" s="335" t="str">
        <f>'[5]15'!C29</f>
        <v>GAL</v>
      </c>
      <c r="D579" s="336">
        <f>'[5]15'!D29</f>
        <v>53</v>
      </c>
      <c r="E579" s="336"/>
      <c r="F579" s="336"/>
    </row>
    <row r="580" spans="1:6" x14ac:dyDescent="0.25">
      <c r="A580" s="333" t="str">
        <f>'[5]15'!A30</f>
        <v>MKN 100-494</v>
      </c>
      <c r="B580" s="334" t="str">
        <f>'[5]15'!B30</f>
        <v>WIDE RANGE FLUID LOSS - POWDER</v>
      </c>
      <c r="C580" s="335" t="str">
        <f>'[5]15'!C30</f>
        <v>LBS</v>
      </c>
      <c r="D580" s="336">
        <f>'[5]15'!D30</f>
        <v>66</v>
      </c>
      <c r="E580" s="336"/>
      <c r="F580" s="336"/>
    </row>
    <row r="581" spans="1:6" x14ac:dyDescent="0.25">
      <c r="A581" s="337" t="str">
        <f>'[5]15'!A31</f>
        <v>MKN 100-495</v>
      </c>
      <c r="B581" s="338" t="str">
        <f>'[5]15'!B31</f>
        <v>WIDE RANGE FLUID LOSS - LIQUID</v>
      </c>
      <c r="C581" s="339" t="str">
        <f>'[5]15'!C31</f>
        <v>GAL</v>
      </c>
      <c r="D581" s="340">
        <f>'[5]15'!D31</f>
        <v>73</v>
      </c>
      <c r="E581" s="340"/>
      <c r="F581" s="340"/>
    </row>
    <row r="582" spans="1:6" ht="6" customHeight="1" x14ac:dyDescent="0.25">
      <c r="A582" s="34"/>
      <c r="B582" s="34"/>
      <c r="C582" s="325"/>
      <c r="D582" s="326"/>
      <c r="E582" s="326"/>
      <c r="F582" s="326"/>
    </row>
    <row r="583" spans="1:6" ht="16.149999999999999" customHeight="1" x14ac:dyDescent="0.25">
      <c r="A583" s="467" t="s">
        <v>2547</v>
      </c>
      <c r="B583" s="467"/>
      <c r="C583" s="468"/>
      <c r="D583" s="469"/>
      <c r="E583" s="469"/>
      <c r="F583" s="469"/>
    </row>
    <row r="584" spans="1:6" x14ac:dyDescent="0.25">
      <c r="A584" s="45" t="s">
        <v>7</v>
      </c>
      <c r="B584" s="45" t="s">
        <v>8</v>
      </c>
      <c r="C584" s="328" t="s">
        <v>9</v>
      </c>
      <c r="D584" s="46" t="s">
        <v>2481</v>
      </c>
      <c r="E584" s="46"/>
      <c r="F584" s="46"/>
    </row>
    <row r="585" spans="1:6" x14ac:dyDescent="0.25">
      <c r="A585" s="329" t="str">
        <f>'[5]15'!A34</f>
        <v>MKN 100-496</v>
      </c>
      <c r="B585" s="330" t="str">
        <f>'[5]15'!B34</f>
        <v>DISPERSANT - POWDER</v>
      </c>
      <c r="C585" s="331" t="str">
        <f>'[5]15'!C34</f>
        <v>LBS</v>
      </c>
      <c r="D585" s="332">
        <f>'[5]15'!D34</f>
        <v>72</v>
      </c>
      <c r="E585" s="332"/>
      <c r="F585" s="332"/>
    </row>
    <row r="586" spans="1:6" x14ac:dyDescent="0.25">
      <c r="A586" s="337" t="str">
        <f>'[5]15'!A35</f>
        <v>MKN 100-497</v>
      </c>
      <c r="B586" s="338" t="str">
        <f>'[5]15'!B35</f>
        <v>DISPERSANT - LIQUID</v>
      </c>
      <c r="C586" s="339" t="str">
        <f>'[5]15'!C35</f>
        <v>GAL</v>
      </c>
      <c r="D586" s="340">
        <f>'[5]15'!D35</f>
        <v>192</v>
      </c>
      <c r="E586" s="340"/>
      <c r="F586" s="340"/>
    </row>
    <row r="587" spans="1:6" ht="6" customHeight="1" x14ac:dyDescent="0.25">
      <c r="A587" s="34"/>
      <c r="B587" s="34"/>
      <c r="C587" s="325"/>
      <c r="D587" s="326"/>
      <c r="E587" s="326"/>
      <c r="F587" s="326"/>
    </row>
    <row r="588" spans="1:6" ht="16.149999999999999" customHeight="1" x14ac:dyDescent="0.25">
      <c r="A588" s="467" t="s">
        <v>422</v>
      </c>
      <c r="B588" s="467"/>
      <c r="C588" s="468"/>
      <c r="D588" s="469"/>
      <c r="E588" s="469"/>
      <c r="F588" s="469"/>
    </row>
    <row r="589" spans="1:6" x14ac:dyDescent="0.25">
      <c r="A589" s="45" t="s">
        <v>7</v>
      </c>
      <c r="B589" s="45" t="s">
        <v>8</v>
      </c>
      <c r="C589" s="328" t="s">
        <v>9</v>
      </c>
      <c r="D589" s="46" t="s">
        <v>2481</v>
      </c>
      <c r="E589" s="46"/>
      <c r="F589" s="46"/>
    </row>
    <row r="590" spans="1:6" x14ac:dyDescent="0.25">
      <c r="A590" s="329" t="str">
        <f>'[5]16'!A3</f>
        <v>MKN 100-554</v>
      </c>
      <c r="B590" s="330" t="str">
        <f>'[5]16'!B3</f>
        <v>HYDROXYPROPYL GUAR</v>
      </c>
      <c r="C590" s="331" t="str">
        <f>'[5]16'!C3</f>
        <v>LBS</v>
      </c>
      <c r="D590" s="332">
        <f>'[5]16'!D3</f>
        <v>58</v>
      </c>
      <c r="E590" s="332"/>
      <c r="F590" s="332"/>
    </row>
    <row r="591" spans="1:6" x14ac:dyDescent="0.25">
      <c r="A591" s="333" t="str">
        <f>'[5]16'!A4</f>
        <v>MKN 100-555</v>
      </c>
      <c r="B591" s="334" t="str">
        <f>'[5]16'!B4</f>
        <v>HYDROXYCELLOUSE</v>
      </c>
      <c r="C591" s="335" t="str">
        <f>'[5]16'!C4</f>
        <v>LBS</v>
      </c>
      <c r="D591" s="336">
        <f>'[5]16'!D4</f>
        <v>60</v>
      </c>
      <c r="E591" s="336"/>
      <c r="F591" s="336"/>
    </row>
    <row r="592" spans="1:6" x14ac:dyDescent="0.25">
      <c r="A592" s="333" t="str">
        <f>'[5]16'!A5</f>
        <v>MKN 100-556</v>
      </c>
      <c r="B592" s="334" t="str">
        <f>'[5]16'!B5</f>
        <v>XANTHIN GEL SALVESTO</v>
      </c>
      <c r="C592" s="335" t="str">
        <f>'[5]16'!C5</f>
        <v>LBS</v>
      </c>
      <c r="D592" s="336">
        <f>'[5]16'!D5</f>
        <v>72</v>
      </c>
      <c r="E592" s="336"/>
      <c r="F592" s="336"/>
    </row>
    <row r="593" spans="1:6" x14ac:dyDescent="0.25">
      <c r="A593" s="333" t="str">
        <f>'[5]16'!A6</f>
        <v>MKN 100-557</v>
      </c>
      <c r="B593" s="334" t="str">
        <f>'[5]16'!B6</f>
        <v>HYDROXYPROPYL GUAR WITH BUFFERS</v>
      </c>
      <c r="C593" s="335" t="str">
        <f>'[5]16'!C6</f>
        <v>LBS</v>
      </c>
      <c r="D593" s="336">
        <f>'[5]16'!D6</f>
        <v>111</v>
      </c>
      <c r="E593" s="336"/>
      <c r="F593" s="336"/>
    </row>
    <row r="594" spans="1:6" x14ac:dyDescent="0.25">
      <c r="A594" s="333" t="str">
        <f>'[5]16'!A7</f>
        <v>MKN 100-558</v>
      </c>
      <c r="B594" s="334" t="str">
        <f>'[5]16'!B7</f>
        <v>POLYCRYLMIDE GELLING AGENT</v>
      </c>
      <c r="C594" s="335" t="str">
        <f>'[5]16'!C7</f>
        <v>LBS</v>
      </c>
      <c r="D594" s="336">
        <f>'[5]16'!D7</f>
        <v>82</v>
      </c>
      <c r="E594" s="336"/>
      <c r="F594" s="336"/>
    </row>
    <row r="595" spans="1:6" x14ac:dyDescent="0.25">
      <c r="A595" s="333" t="str">
        <f>'[5]16'!A8</f>
        <v>MKN 100-559</v>
      </c>
      <c r="B595" s="334" t="str">
        <f>'[5]16'!B8</f>
        <v>CROSS-LINKER FOR OIL GELLANT</v>
      </c>
      <c r="C595" s="335" t="str">
        <f>'[5]16'!C8</f>
        <v>USG</v>
      </c>
      <c r="D595" s="336">
        <f>'[5]16'!D8</f>
        <v>264</v>
      </c>
      <c r="E595" s="336"/>
      <c r="F595" s="336"/>
    </row>
    <row r="596" spans="1:6" x14ac:dyDescent="0.25">
      <c r="A596" s="337" t="str">
        <f>'[5]16'!A9</f>
        <v>MKN 100-560</v>
      </c>
      <c r="B596" s="338" t="str">
        <f>'[5]16'!B9</f>
        <v>PHOSPHATE ESTER GELLING AGENT</v>
      </c>
      <c r="C596" s="339" t="str">
        <f>'[5]16'!C9</f>
        <v>USG</v>
      </c>
      <c r="D596" s="340">
        <f>'[5]16'!D9</f>
        <v>216</v>
      </c>
      <c r="E596" s="340"/>
      <c r="F596" s="340"/>
    </row>
    <row r="597" spans="1:6" ht="6" customHeight="1" x14ac:dyDescent="0.25">
      <c r="A597" s="34"/>
      <c r="B597" s="34"/>
      <c r="C597" s="325"/>
      <c r="D597" s="326"/>
      <c r="E597" s="326"/>
      <c r="F597" s="326"/>
    </row>
    <row r="598" spans="1:6" ht="16.149999999999999" customHeight="1" x14ac:dyDescent="0.25">
      <c r="A598" s="467" t="s">
        <v>2548</v>
      </c>
      <c r="B598" s="467"/>
      <c r="C598" s="468"/>
      <c r="D598" s="469"/>
      <c r="E598" s="469"/>
      <c r="F598" s="469"/>
    </row>
    <row r="599" spans="1:6" x14ac:dyDescent="0.25">
      <c r="A599" s="45" t="s">
        <v>7</v>
      </c>
      <c r="B599" s="45" t="s">
        <v>8</v>
      </c>
      <c r="C599" s="328" t="s">
        <v>9</v>
      </c>
      <c r="D599" s="46" t="s">
        <v>2481</v>
      </c>
      <c r="E599" s="46"/>
      <c r="F599" s="46"/>
    </row>
    <row r="600" spans="1:6" x14ac:dyDescent="0.25">
      <c r="A600" s="329" t="str">
        <f>'[5]16'!A13</f>
        <v>MKN 100-561</v>
      </c>
      <c r="B600" s="330" t="str">
        <f>'[5]16'!B13</f>
        <v>CORROSION INHIBITOR MT</v>
      </c>
      <c r="C600" s="331" t="str">
        <f>'[5]16'!C13</f>
        <v>USG</v>
      </c>
      <c r="D600" s="332">
        <f>'[5]16'!D13</f>
        <v>317</v>
      </c>
      <c r="E600" s="332"/>
      <c r="F600" s="332"/>
    </row>
    <row r="601" spans="1:6" x14ac:dyDescent="0.25">
      <c r="A601" s="337" t="str">
        <f>'[5]16'!A14</f>
        <v>MKN 100-562</v>
      </c>
      <c r="B601" s="338" t="str">
        <f>'[5]16'!B14</f>
        <v>CORROSION INHIBITOR HT</v>
      </c>
      <c r="C601" s="339" t="str">
        <f>'[5]16'!C14</f>
        <v>USG</v>
      </c>
      <c r="D601" s="340">
        <f>'[5]16'!D14</f>
        <v>312</v>
      </c>
      <c r="E601" s="340"/>
      <c r="F601" s="340"/>
    </row>
    <row r="602" spans="1:6" ht="6" customHeight="1" x14ac:dyDescent="0.25">
      <c r="A602" s="34"/>
      <c r="B602" s="34"/>
      <c r="C602" s="325"/>
      <c r="D602" s="326"/>
      <c r="E602" s="326"/>
      <c r="F602" s="326"/>
    </row>
    <row r="603" spans="1:6" ht="16.149999999999999" customHeight="1" x14ac:dyDescent="0.25">
      <c r="A603" s="467" t="s">
        <v>2549</v>
      </c>
      <c r="B603" s="467"/>
      <c r="C603" s="468"/>
      <c r="D603" s="469"/>
      <c r="E603" s="469"/>
      <c r="F603" s="469"/>
    </row>
    <row r="604" spans="1:6" x14ac:dyDescent="0.25">
      <c r="A604" s="45" t="s">
        <v>7</v>
      </c>
      <c r="B604" s="45" t="s">
        <v>8</v>
      </c>
      <c r="C604" s="328" t="s">
        <v>9</v>
      </c>
      <c r="D604" s="46" t="s">
        <v>2481</v>
      </c>
      <c r="E604" s="46"/>
      <c r="F604" s="46"/>
    </row>
    <row r="605" spans="1:6" x14ac:dyDescent="0.25">
      <c r="A605" s="329" t="str">
        <f>'[5]16'!A18</f>
        <v>MKN 100-563</v>
      </c>
      <c r="B605" s="330" t="str">
        <f>'[5]16'!B18</f>
        <v>INHIBITOR INTENSIFIER</v>
      </c>
      <c r="C605" s="331" t="str">
        <f>'[5]16'!C18</f>
        <v>USG</v>
      </c>
      <c r="D605" s="332">
        <f>'[5]16'!D18</f>
        <v>221</v>
      </c>
      <c r="E605" s="332"/>
      <c r="F605" s="332"/>
    </row>
    <row r="606" spans="1:6" x14ac:dyDescent="0.25">
      <c r="A606" s="337" t="str">
        <f>'[5]16'!A19</f>
        <v>MKN 100-564</v>
      </c>
      <c r="B606" s="338" t="str">
        <f>'[5]16'!B19</f>
        <v>INHIBITOR INTENSIFIER</v>
      </c>
      <c r="C606" s="339" t="str">
        <f>'[5]16'!C19</f>
        <v>LBS</v>
      </c>
      <c r="D606" s="340">
        <f>'[5]16'!D19</f>
        <v>221</v>
      </c>
      <c r="E606" s="340"/>
      <c r="F606" s="340"/>
    </row>
    <row r="607" spans="1:6" ht="6" customHeight="1" x14ac:dyDescent="0.25">
      <c r="A607" s="34"/>
      <c r="B607" s="34"/>
      <c r="C607" s="325"/>
      <c r="D607" s="326"/>
      <c r="E607" s="326"/>
      <c r="F607" s="326"/>
    </row>
    <row r="608" spans="1:6" ht="16.149999999999999" customHeight="1" x14ac:dyDescent="0.25">
      <c r="A608" s="467" t="s">
        <v>2550</v>
      </c>
      <c r="B608" s="467"/>
      <c r="C608" s="468"/>
      <c r="D608" s="469"/>
      <c r="E608" s="469"/>
      <c r="F608" s="469"/>
    </row>
    <row r="609" spans="1:6" x14ac:dyDescent="0.25">
      <c r="A609" s="45" t="s">
        <v>7</v>
      </c>
      <c r="B609" s="45" t="s">
        <v>8</v>
      </c>
      <c r="C609" s="328" t="s">
        <v>9</v>
      </c>
      <c r="D609" s="46" t="s">
        <v>2481</v>
      </c>
      <c r="E609" s="46"/>
      <c r="F609" s="46"/>
    </row>
    <row r="610" spans="1:6" x14ac:dyDescent="0.25">
      <c r="A610" s="341" t="str">
        <f>'[5]16'!A23</f>
        <v>MKN 100-565</v>
      </c>
      <c r="B610" s="342" t="str">
        <f>'[5]16'!B23</f>
        <v>SURFACTANT</v>
      </c>
      <c r="C610" s="343" t="str">
        <f>'[5]16'!C23</f>
        <v>USG</v>
      </c>
      <c r="D610" s="344">
        <f>'[5]16'!D23</f>
        <v>216</v>
      </c>
      <c r="E610" s="344"/>
      <c r="F610" s="344"/>
    </row>
    <row r="611" spans="1:6" ht="6" customHeight="1" x14ac:dyDescent="0.25">
      <c r="A611" s="34"/>
      <c r="B611" s="34"/>
      <c r="C611" s="325"/>
      <c r="D611" s="326"/>
      <c r="E611" s="326"/>
      <c r="F611" s="326"/>
    </row>
    <row r="612" spans="1:6" ht="16.149999999999999" customHeight="1" x14ac:dyDescent="0.25">
      <c r="A612" s="467" t="s">
        <v>2551</v>
      </c>
      <c r="B612" s="467"/>
      <c r="C612" s="468"/>
      <c r="D612" s="469"/>
      <c r="E612" s="469"/>
      <c r="F612" s="469"/>
    </row>
    <row r="613" spans="1:6" x14ac:dyDescent="0.25">
      <c r="A613" s="45" t="s">
        <v>7</v>
      </c>
      <c r="B613" s="45" t="s">
        <v>8</v>
      </c>
      <c r="C613" s="328" t="s">
        <v>9</v>
      </c>
      <c r="D613" s="46" t="s">
        <v>2481</v>
      </c>
      <c r="E613" s="46"/>
      <c r="F613" s="46"/>
    </row>
    <row r="614" spans="1:6" x14ac:dyDescent="0.25">
      <c r="A614" s="329" t="str">
        <f>'[5]16'!A27</f>
        <v>MKN 100-566</v>
      </c>
      <c r="B614" s="330" t="str">
        <f>'[5]16'!B27</f>
        <v>OIL SOLUBLE RESIN LIQUID</v>
      </c>
      <c r="C614" s="331" t="str">
        <f>'[5]16'!C27</f>
        <v>USG</v>
      </c>
      <c r="D614" s="332">
        <f>'[5]16'!D27</f>
        <v>176</v>
      </c>
      <c r="E614" s="332"/>
      <c r="F614" s="332"/>
    </row>
    <row r="615" spans="1:6" x14ac:dyDescent="0.25">
      <c r="A615" s="333" t="str">
        <f>'[5]16'!A28</f>
        <v>MKN 100-567</v>
      </c>
      <c r="B615" s="334" t="str">
        <f>'[5]16'!B28</f>
        <v>OIL SOLUBLE RESIN/NATURAL GUM MIXTURE</v>
      </c>
      <c r="C615" s="335" t="str">
        <f>'[5]16'!C28</f>
        <v>LBS</v>
      </c>
      <c r="D615" s="336">
        <f>'[5]16'!D28</f>
        <v>29</v>
      </c>
      <c r="E615" s="336"/>
      <c r="F615" s="336"/>
    </row>
    <row r="616" spans="1:6" x14ac:dyDescent="0.25">
      <c r="A616" s="337" t="str">
        <f>'[5]16'!A29</f>
        <v>MKN 100-568</v>
      </c>
      <c r="B616" s="338" t="str">
        <f>'[5]16'!B29</f>
        <v>PARTICULATE FLUID LOSS</v>
      </c>
      <c r="C616" s="339" t="str">
        <f>'[5]16'!C29</f>
        <v>LBS</v>
      </c>
      <c r="D616" s="340">
        <f>'[5]16'!D29</f>
        <v>96</v>
      </c>
      <c r="E616" s="340"/>
      <c r="F616" s="340"/>
    </row>
    <row r="617" spans="1:6" ht="6" customHeight="1" x14ac:dyDescent="0.25">
      <c r="A617" s="34"/>
      <c r="B617" s="34"/>
      <c r="C617" s="325"/>
      <c r="D617" s="326"/>
      <c r="E617" s="326"/>
      <c r="F617" s="326"/>
    </row>
    <row r="618" spans="1:6" ht="16.149999999999999" customHeight="1" x14ac:dyDescent="0.25">
      <c r="A618" s="467" t="s">
        <v>427</v>
      </c>
      <c r="B618" s="467"/>
      <c r="C618" s="468"/>
      <c r="D618" s="469"/>
      <c r="E618" s="469"/>
      <c r="F618" s="469"/>
    </row>
    <row r="619" spans="1:6" x14ac:dyDescent="0.25">
      <c r="A619" s="45" t="s">
        <v>7</v>
      </c>
      <c r="B619" s="45" t="s">
        <v>8</v>
      </c>
      <c r="C619" s="328" t="s">
        <v>9</v>
      </c>
      <c r="D619" s="46" t="s">
        <v>2481</v>
      </c>
      <c r="E619" s="46"/>
      <c r="F619" s="46"/>
    </row>
    <row r="620" spans="1:6" x14ac:dyDescent="0.25">
      <c r="A620" s="329" t="str">
        <f>'[5]17'!A4</f>
        <v>MKN 100-569</v>
      </c>
      <c r="B620" s="330" t="str">
        <f>'[5]17'!B4</f>
        <v>FRICTION REDUCER</v>
      </c>
      <c r="C620" s="331" t="str">
        <f>'[5]17'!C4</f>
        <v>USG</v>
      </c>
      <c r="D620" s="332">
        <f>'[5]17'!D4</f>
        <v>86</v>
      </c>
      <c r="E620" s="332"/>
      <c r="F620" s="332"/>
    </row>
    <row r="621" spans="1:6" x14ac:dyDescent="0.25">
      <c r="A621" s="333" t="str">
        <f>'[5]17'!A5</f>
        <v>MKN 100-570</v>
      </c>
      <c r="B621" s="334" t="str">
        <f>'[5]17'!B5</f>
        <v>POLYCRYALMIDE COPOLYMER</v>
      </c>
      <c r="C621" s="335" t="str">
        <f>'[5]17'!C5</f>
        <v>USG</v>
      </c>
      <c r="D621" s="336">
        <f>'[5]17'!D5</f>
        <v>370</v>
      </c>
      <c r="E621" s="336"/>
      <c r="F621" s="336"/>
    </row>
    <row r="622" spans="1:6" x14ac:dyDescent="0.25">
      <c r="A622" s="337" t="str">
        <f>'[5]17'!A6</f>
        <v>MKN 100-571</v>
      </c>
      <c r="B622" s="338" t="str">
        <f>'[5]17'!B6</f>
        <v>POLYCRYALMIDE FRICTION REDUCER FOR ACID</v>
      </c>
      <c r="C622" s="339" t="str">
        <f>'[5]17'!C6</f>
        <v>USG</v>
      </c>
      <c r="D622" s="340">
        <f>'[5]17'!D6</f>
        <v>345</v>
      </c>
      <c r="E622" s="340"/>
      <c r="F622" s="340"/>
    </row>
    <row r="623" spans="1:6" ht="6" customHeight="1" x14ac:dyDescent="0.25">
      <c r="A623" s="34"/>
      <c r="B623" s="34"/>
      <c r="C623" s="325"/>
      <c r="D623" s="326"/>
      <c r="E623" s="326"/>
      <c r="F623" s="326"/>
    </row>
    <row r="624" spans="1:6" ht="16.149999999999999" customHeight="1" x14ac:dyDescent="0.25">
      <c r="A624" s="467" t="s">
        <v>428</v>
      </c>
      <c r="B624" s="467"/>
      <c r="C624" s="468"/>
      <c r="D624" s="469"/>
      <c r="E624" s="469"/>
      <c r="F624" s="469"/>
    </row>
    <row r="625" spans="1:6" x14ac:dyDescent="0.25">
      <c r="A625" s="45" t="s">
        <v>7</v>
      </c>
      <c r="B625" s="45" t="s">
        <v>8</v>
      </c>
      <c r="C625" s="328" t="s">
        <v>9</v>
      </c>
      <c r="D625" s="46" t="s">
        <v>2481</v>
      </c>
      <c r="E625" s="46"/>
      <c r="F625" s="46"/>
    </row>
    <row r="626" spans="1:6" x14ac:dyDescent="0.25">
      <c r="A626" s="329" t="str">
        <f>'[5]17'!A9</f>
        <v>MKN 100-572</v>
      </c>
      <c r="B626" s="330" t="str">
        <f>'[5]17'!B9</f>
        <v>POWDER DIVERTING AGENT</v>
      </c>
      <c r="C626" s="331" t="str">
        <f>'[5]17'!C9</f>
        <v>LBS</v>
      </c>
      <c r="D626" s="332">
        <f>'[5]17'!D9</f>
        <v>85</v>
      </c>
      <c r="E626" s="332"/>
      <c r="F626" s="332"/>
    </row>
    <row r="627" spans="1:6" x14ac:dyDescent="0.25">
      <c r="A627" s="337" t="str">
        <f>'[5]17'!A10</f>
        <v>MKN 100-573</v>
      </c>
      <c r="B627" s="338" t="str">
        <f>'[5]17'!B10</f>
        <v>LIQUID DIVERTING AGENT</v>
      </c>
      <c r="C627" s="339" t="str">
        <f>'[5]17'!C10</f>
        <v>USG</v>
      </c>
      <c r="D627" s="340">
        <f>'[5]17'!D10</f>
        <v>275</v>
      </c>
      <c r="E627" s="340"/>
      <c r="F627" s="340"/>
    </row>
    <row r="628" spans="1:6" ht="6" customHeight="1" x14ac:dyDescent="0.25">
      <c r="A628" s="34"/>
      <c r="B628" s="34"/>
      <c r="C628" s="325"/>
      <c r="D628" s="326"/>
      <c r="E628" s="326"/>
      <c r="F628" s="326"/>
    </row>
    <row r="629" spans="1:6" ht="16.149999999999999" customHeight="1" x14ac:dyDescent="0.25">
      <c r="A629" s="467" t="s">
        <v>429</v>
      </c>
      <c r="B629" s="467"/>
      <c r="C629" s="468"/>
      <c r="D629" s="469"/>
      <c r="E629" s="469"/>
      <c r="F629" s="469"/>
    </row>
    <row r="630" spans="1:6" x14ac:dyDescent="0.25">
      <c r="A630" s="45" t="s">
        <v>7</v>
      </c>
      <c r="B630" s="45" t="s">
        <v>8</v>
      </c>
      <c r="C630" s="328" t="s">
        <v>9</v>
      </c>
      <c r="D630" s="46" t="s">
        <v>2481</v>
      </c>
      <c r="E630" s="46"/>
      <c r="F630" s="46"/>
    </row>
    <row r="631" spans="1:6" x14ac:dyDescent="0.25">
      <c r="A631" s="329" t="str">
        <f>'[5]17'!A14</f>
        <v>MKN 100-574</v>
      </c>
      <c r="B631" s="330" t="str">
        <f>'[5]17'!B14</f>
        <v>CLAY STABILIZER</v>
      </c>
      <c r="C631" s="331" t="str">
        <f>'[5]17'!C14</f>
        <v>Lb</v>
      </c>
      <c r="D631" s="332">
        <f>'[5]17'!D14</f>
        <v>101</v>
      </c>
      <c r="E631" s="332"/>
      <c r="F631" s="332"/>
    </row>
    <row r="632" spans="1:6" x14ac:dyDescent="0.25">
      <c r="A632" s="333" t="str">
        <f>'[5]17'!A15</f>
        <v>MKN 100-575</v>
      </c>
      <c r="B632" s="334" t="str">
        <f>'[5]17'!B15</f>
        <v>POLYMRT CLAY CONTROL</v>
      </c>
      <c r="C632" s="335" t="str">
        <f>'[5]17'!C15</f>
        <v>USG</v>
      </c>
      <c r="D632" s="336">
        <f>'[5]17'!D15</f>
        <v>197</v>
      </c>
      <c r="E632" s="336"/>
      <c r="F632" s="336"/>
    </row>
    <row r="633" spans="1:6" x14ac:dyDescent="0.25">
      <c r="A633" s="337" t="str">
        <f>'[5]17'!A16</f>
        <v>MKN 100-576</v>
      </c>
      <c r="B633" s="338" t="str">
        <f>'[5]17'!B16</f>
        <v>CLAY STABILIZER</v>
      </c>
      <c r="C633" s="339" t="str">
        <f>'[5]17'!C16</f>
        <v>USG</v>
      </c>
      <c r="D633" s="340">
        <f>'[5]17'!D16</f>
        <v>192</v>
      </c>
      <c r="E633" s="340"/>
      <c r="F633" s="340"/>
    </row>
    <row r="634" spans="1:6" ht="6" customHeight="1" x14ac:dyDescent="0.25">
      <c r="A634" s="34"/>
      <c r="B634" s="34"/>
      <c r="C634" s="325"/>
      <c r="D634" s="326"/>
      <c r="E634" s="326"/>
      <c r="F634" s="326"/>
    </row>
    <row r="635" spans="1:6" ht="16.149999999999999" customHeight="1" x14ac:dyDescent="0.25">
      <c r="A635" s="467" t="s">
        <v>2552</v>
      </c>
      <c r="B635" s="467"/>
      <c r="C635" s="468"/>
      <c r="D635" s="469"/>
      <c r="E635" s="469"/>
      <c r="F635" s="469"/>
    </row>
    <row r="636" spans="1:6" x14ac:dyDescent="0.25">
      <c r="A636" s="45" t="s">
        <v>7</v>
      </c>
      <c r="B636" s="45" t="s">
        <v>8</v>
      </c>
      <c r="C636" s="328" t="s">
        <v>9</v>
      </c>
      <c r="D636" s="46" t="s">
        <v>2481</v>
      </c>
      <c r="E636" s="46"/>
      <c r="F636" s="46"/>
    </row>
    <row r="637" spans="1:6" x14ac:dyDescent="0.25">
      <c r="A637" s="329" t="str">
        <f>'[5]17'!A20</f>
        <v>MKN 100-577</v>
      </c>
      <c r="B637" s="330" t="str">
        <f>'[5]17'!B20</f>
        <v>PARAFFIN SOLVENT PS1</v>
      </c>
      <c r="C637" s="331" t="str">
        <f>'[5]17'!C20</f>
        <v>USG</v>
      </c>
      <c r="D637" s="332">
        <f>'[5]17'!D20</f>
        <v>84</v>
      </c>
      <c r="E637" s="332"/>
      <c r="F637" s="332"/>
    </row>
    <row r="638" spans="1:6" x14ac:dyDescent="0.25">
      <c r="A638" s="337" t="str">
        <f>'[5]17'!A21</f>
        <v>MKN 100-578</v>
      </c>
      <c r="B638" s="338" t="str">
        <f>'[5]17'!B21</f>
        <v>ASPHALTENE SOLVENT</v>
      </c>
      <c r="C638" s="339" t="str">
        <f>'[5]17'!C21</f>
        <v>USG</v>
      </c>
      <c r="D638" s="340">
        <f>'[5]17'!D21</f>
        <v>87</v>
      </c>
      <c r="E638" s="340"/>
      <c r="F638" s="340"/>
    </row>
    <row r="639" spans="1:6" ht="6" customHeight="1" x14ac:dyDescent="0.25">
      <c r="A639" s="34"/>
      <c r="B639" s="34"/>
      <c r="C639" s="325"/>
      <c r="D639" s="326"/>
      <c r="E639" s="326"/>
      <c r="F639" s="326"/>
    </row>
    <row r="640" spans="1:6" ht="16.149999999999999" customHeight="1" x14ac:dyDescent="0.25">
      <c r="A640" s="467" t="s">
        <v>2553</v>
      </c>
      <c r="B640" s="467"/>
      <c r="C640" s="468"/>
      <c r="D640" s="469"/>
      <c r="E640" s="469"/>
      <c r="F640" s="469"/>
    </row>
    <row r="641" spans="1:6" x14ac:dyDescent="0.25">
      <c r="A641" s="45" t="s">
        <v>7</v>
      </c>
      <c r="B641" s="45" t="s">
        <v>8</v>
      </c>
      <c r="C641" s="328" t="s">
        <v>9</v>
      </c>
      <c r="D641" s="46" t="s">
        <v>2481</v>
      </c>
      <c r="E641" s="46"/>
      <c r="F641" s="46"/>
    </row>
    <row r="642" spans="1:6" x14ac:dyDescent="0.25">
      <c r="A642" s="329" t="str">
        <f>'[5]17'!A25</f>
        <v>MKN 100-579</v>
      </c>
      <c r="B642" s="330" t="str">
        <f>'[5]17'!B25</f>
        <v>NON EMULSIFIER</v>
      </c>
      <c r="C642" s="331" t="str">
        <f>'[5]17'!C25</f>
        <v>USG</v>
      </c>
      <c r="D642" s="332">
        <f>'[5]17'!D25</f>
        <v>280</v>
      </c>
      <c r="E642" s="332"/>
      <c r="F642" s="332"/>
    </row>
    <row r="643" spans="1:6" x14ac:dyDescent="0.25">
      <c r="A643" s="337" t="str">
        <f>'[5]17'!A26</f>
        <v>MKN 100-580</v>
      </c>
      <c r="B643" s="338" t="str">
        <f>'[5]17'!B26</f>
        <v>ANTI SLUDGE</v>
      </c>
      <c r="C643" s="339" t="str">
        <f>'[5]17'!C26</f>
        <v>USG</v>
      </c>
      <c r="D643" s="340">
        <f>'[5]17'!D26</f>
        <v>270</v>
      </c>
      <c r="E643" s="340"/>
      <c r="F643" s="340"/>
    </row>
    <row r="644" spans="1:6" ht="6" customHeight="1" x14ac:dyDescent="0.25">
      <c r="A644" s="34"/>
      <c r="B644" s="34"/>
      <c r="C644" s="325"/>
      <c r="D644" s="326"/>
      <c r="E644" s="326"/>
      <c r="F644" s="326"/>
    </row>
    <row r="645" spans="1:6" ht="22.15" customHeight="1" thickBot="1" x14ac:dyDescent="0.3">
      <c r="A645" s="470" t="s">
        <v>2554</v>
      </c>
      <c r="B645" s="470"/>
      <c r="C645" s="471"/>
      <c r="D645" s="472"/>
      <c r="E645" s="472"/>
      <c r="F645" s="472"/>
    </row>
    <row r="646" spans="1:6" ht="13.9" customHeight="1" thickTop="1" x14ac:dyDescent="0.25">
      <c r="A646" s="34"/>
      <c r="B646" s="34"/>
      <c r="C646" s="325"/>
      <c r="D646" s="326"/>
      <c r="E646" s="326"/>
      <c r="F646" s="327" t="s">
        <v>5</v>
      </c>
    </row>
    <row r="647" spans="1:6" ht="16.149999999999999" customHeight="1" x14ac:dyDescent="0.25">
      <c r="A647" s="467" t="s">
        <v>2555</v>
      </c>
      <c r="B647" s="467"/>
      <c r="C647" s="468"/>
      <c r="D647" s="469"/>
      <c r="E647" s="469"/>
      <c r="F647" s="469"/>
    </row>
    <row r="648" spans="1:6" x14ac:dyDescent="0.25">
      <c r="A648" s="45" t="s">
        <v>7</v>
      </c>
      <c r="B648" s="45" t="s">
        <v>8</v>
      </c>
      <c r="C648" s="328" t="s">
        <v>9</v>
      </c>
      <c r="D648" s="46" t="s">
        <v>2481</v>
      </c>
      <c r="E648" s="46"/>
      <c r="F648" s="46"/>
    </row>
    <row r="649" spans="1:6" x14ac:dyDescent="0.25">
      <c r="A649" s="329" t="str">
        <f>'[5]14'!A17</f>
        <v>MKN 100-246</v>
      </c>
      <c r="B649" s="330" t="str">
        <f>'[5]14'!B17</f>
        <v>Petroleum Engineers</v>
      </c>
      <c r="C649" s="331" t="str">
        <f>'[5]14'!C17</f>
        <v>Per Day</v>
      </c>
      <c r="D649" s="332">
        <f>'[5]14'!D17</f>
        <v>4100</v>
      </c>
      <c r="E649" s="332"/>
      <c r="F649" s="332"/>
    </row>
    <row r="650" spans="1:6" x14ac:dyDescent="0.25">
      <c r="A650" s="333" t="str">
        <f>'[5]14'!A18</f>
        <v>MKN 100-247</v>
      </c>
      <c r="B650" s="334" t="str">
        <f>'[5]14'!B18</f>
        <v>Reservoir Engineers</v>
      </c>
      <c r="C650" s="335" t="str">
        <f>'[5]14'!C18</f>
        <v>Per Day</v>
      </c>
      <c r="D650" s="336">
        <f>'[5]14'!D18</f>
        <v>4100</v>
      </c>
      <c r="E650" s="336"/>
      <c r="F650" s="336"/>
    </row>
    <row r="651" spans="1:6" x14ac:dyDescent="0.25">
      <c r="A651" s="337" t="str">
        <f>'[5]14'!A19</f>
        <v>MKN 100–252</v>
      </c>
      <c r="B651" s="338" t="str">
        <f>'[5]14'!B19</f>
        <v>Company Man</v>
      </c>
      <c r="C651" s="339" t="str">
        <f>'[5]14'!C19</f>
        <v>Per Day</v>
      </c>
      <c r="D651" s="340">
        <f>'[5]14'!D19</f>
        <v>5050</v>
      </c>
      <c r="E651" s="340"/>
      <c r="F651" s="340"/>
    </row>
    <row r="652" spans="1:6" ht="6" customHeight="1" x14ac:dyDescent="0.25">
      <c r="A652" s="34"/>
      <c r="B652" s="34"/>
      <c r="C652" s="325"/>
      <c r="D652" s="326"/>
      <c r="E652" s="326"/>
      <c r="F652" s="326"/>
    </row>
    <row r="653" spans="1:6" ht="22.15" customHeight="1" thickBot="1" x14ac:dyDescent="0.3">
      <c r="A653" s="470" t="s">
        <v>2556</v>
      </c>
      <c r="B653" s="470"/>
      <c r="C653" s="471"/>
      <c r="D653" s="472"/>
      <c r="E653" s="472"/>
      <c r="F653" s="472"/>
    </row>
    <row r="654" spans="1:6" ht="13.9" customHeight="1" thickTop="1" x14ac:dyDescent="0.25">
      <c r="A654" s="34"/>
      <c r="B654" s="34"/>
      <c r="C654" s="325"/>
      <c r="D654" s="326"/>
      <c r="E654" s="326"/>
      <c r="F654" s="327" t="s">
        <v>5</v>
      </c>
    </row>
    <row r="655" spans="1:6" ht="16.149999999999999" customHeight="1" x14ac:dyDescent="0.25">
      <c r="A655" s="467" t="s">
        <v>2557</v>
      </c>
      <c r="B655" s="467"/>
      <c r="C655" s="468"/>
      <c r="D655" s="469"/>
      <c r="E655" s="469"/>
      <c r="F655" s="469"/>
    </row>
    <row r="656" spans="1:6" x14ac:dyDescent="0.25">
      <c r="A656" s="45" t="s">
        <v>2558</v>
      </c>
      <c r="B656" s="45" t="s">
        <v>8</v>
      </c>
      <c r="C656" s="328"/>
      <c r="D656" s="46"/>
      <c r="E656" s="46"/>
      <c r="F656" s="46"/>
    </row>
    <row r="657" spans="1:6" ht="48" x14ac:dyDescent="0.25">
      <c r="A657" s="329" t="str">
        <f>'[5]19'!A7</f>
        <v>MKN-2020-01</v>
      </c>
      <c r="B657" s="330" t="str">
        <f>'[5]19'!B7</f>
        <v>In case tools are LOST or DAMAGED. Makaman Libya will be charging Sirte Oil Company a replacement fee after deducting 10% each year as a depreciation value</v>
      </c>
      <c r="C657" s="331"/>
      <c r="D657" s="332"/>
      <c r="E657" s="332"/>
      <c r="F657" s="332"/>
    </row>
    <row r="658" spans="1:6" x14ac:dyDescent="0.25">
      <c r="A658" s="333" t="str">
        <f>'[5]19'!A8</f>
        <v>MKN-2020-06</v>
      </c>
      <c r="B658" s="334" t="str">
        <f>'[5]19'!B8</f>
        <v>Payment should be 60% in USD and 40% in LYD</v>
      </c>
      <c r="C658" s="335"/>
      <c r="D658" s="336"/>
      <c r="E658" s="336"/>
      <c r="F658" s="336"/>
    </row>
    <row r="659" spans="1:6" ht="24" x14ac:dyDescent="0.25">
      <c r="A659" s="337" t="str">
        <f>'[5]19'!A9</f>
        <v>MKN-2020-07</v>
      </c>
      <c r="B659" s="338" t="str">
        <f>'[5]19'!B9</f>
        <v>Payment due within 60 days after receiving the finalized invoices</v>
      </c>
      <c r="C659" s="339"/>
      <c r="D659" s="340"/>
      <c r="E659" s="340"/>
      <c r="F659" s="340"/>
    </row>
    <row r="660" spans="1:6" ht="6" customHeight="1" x14ac:dyDescent="0.25">
      <c r="A660" s="34"/>
      <c r="B660" s="34"/>
      <c r="C660" s="325"/>
      <c r="D660" s="326"/>
      <c r="E660" s="326"/>
      <c r="F660" s="326"/>
    </row>
  </sheetData>
  <mergeCells count="99">
    <mergeCell ref="A647:F647"/>
    <mergeCell ref="A653:F653"/>
    <mergeCell ref="A655:F655"/>
    <mergeCell ref="A618:F618"/>
    <mergeCell ref="A624:F624"/>
    <mergeCell ref="A629:F629"/>
    <mergeCell ref="A635:F635"/>
    <mergeCell ref="A640:F640"/>
    <mergeCell ref="A645:F645"/>
    <mergeCell ref="A612:F612"/>
    <mergeCell ref="A548:F548"/>
    <mergeCell ref="A555:F555"/>
    <mergeCell ref="A557:F557"/>
    <mergeCell ref="A565:F565"/>
    <mergeCell ref="A571:F571"/>
    <mergeCell ref="A576:F576"/>
    <mergeCell ref="A583:F583"/>
    <mergeCell ref="A588:F588"/>
    <mergeCell ref="A598:F598"/>
    <mergeCell ref="A603:F603"/>
    <mergeCell ref="A608:F608"/>
    <mergeCell ref="A541:F541"/>
    <mergeCell ref="A459:F459"/>
    <mergeCell ref="A466:F466"/>
    <mergeCell ref="A475:F475"/>
    <mergeCell ref="A477:F477"/>
    <mergeCell ref="A488:F488"/>
    <mergeCell ref="A493:F493"/>
    <mergeCell ref="A507:F507"/>
    <mergeCell ref="A515:F515"/>
    <mergeCell ref="A517:F517"/>
    <mergeCell ref="A527:F527"/>
    <mergeCell ref="A529:F529"/>
    <mergeCell ref="A450:F450"/>
    <mergeCell ref="A389:F389"/>
    <mergeCell ref="A395:F395"/>
    <mergeCell ref="A400:F400"/>
    <mergeCell ref="A409:F409"/>
    <mergeCell ref="A416:F416"/>
    <mergeCell ref="A418:F418"/>
    <mergeCell ref="A427:F427"/>
    <mergeCell ref="A428:F428"/>
    <mergeCell ref="A438:F438"/>
    <mergeCell ref="A439:F439"/>
    <mergeCell ref="A449:F449"/>
    <mergeCell ref="A380:F380"/>
    <mergeCell ref="A298:F298"/>
    <mergeCell ref="A308:F308"/>
    <mergeCell ref="A313:F313"/>
    <mergeCell ref="A321:F321"/>
    <mergeCell ref="A327:F327"/>
    <mergeCell ref="A336:F336"/>
    <mergeCell ref="A340:F340"/>
    <mergeCell ref="A351:F351"/>
    <mergeCell ref="A358:F358"/>
    <mergeCell ref="A366:F366"/>
    <mergeCell ref="A373:F373"/>
    <mergeCell ref="A291:F291"/>
    <mergeCell ref="A206:F206"/>
    <mergeCell ref="A215:F215"/>
    <mergeCell ref="A222:F222"/>
    <mergeCell ref="A228:F228"/>
    <mergeCell ref="A234:F234"/>
    <mergeCell ref="A238:F238"/>
    <mergeCell ref="A248:F248"/>
    <mergeCell ref="A253:F253"/>
    <mergeCell ref="A263:F263"/>
    <mergeCell ref="A270:F270"/>
    <mergeCell ref="A280:F280"/>
    <mergeCell ref="A197:F197"/>
    <mergeCell ref="A112:F112"/>
    <mergeCell ref="A120:F120"/>
    <mergeCell ref="A129:F129"/>
    <mergeCell ref="A133:F133"/>
    <mergeCell ref="A141:F141"/>
    <mergeCell ref="A149:F149"/>
    <mergeCell ref="A157:F157"/>
    <mergeCell ref="A165:F165"/>
    <mergeCell ref="A176:F176"/>
    <mergeCell ref="A184:F184"/>
    <mergeCell ref="A192:F192"/>
    <mergeCell ref="A108:F108"/>
    <mergeCell ref="A43:F43"/>
    <mergeCell ref="A47:F47"/>
    <mergeCell ref="A57:F57"/>
    <mergeCell ref="A63:F63"/>
    <mergeCell ref="A68:F68"/>
    <mergeCell ref="A73:F73"/>
    <mergeCell ref="A78:F78"/>
    <mergeCell ref="A89:F89"/>
    <mergeCell ref="A94:F94"/>
    <mergeCell ref="A99:F99"/>
    <mergeCell ref="A104:F104"/>
    <mergeCell ref="A38:F38"/>
    <mergeCell ref="A6:F6"/>
    <mergeCell ref="A8:F8"/>
    <mergeCell ref="A14:F14"/>
    <mergeCell ref="A27:F27"/>
    <mergeCell ref="A32:F32"/>
  </mergeCells>
  <hyperlinks>
    <hyperlink ref="F7" location="Contents!A1" tooltip="Back to Contents" display="← Contents" xr:uid="{F77D5C44-8DA9-4A9F-ADA2-E8C093E893A1}"/>
    <hyperlink ref="F417" location="Contents!A1" tooltip="Back to Contents" display="← Contents" xr:uid="{77039C2F-1D2E-4DD3-BFFE-FA0EF6DB1FFB}"/>
    <hyperlink ref="F476" location="Contents!A1" tooltip="Back to Contents" display="← Contents" xr:uid="{164AD03F-0B68-4054-9B63-E7BC887C9B59}"/>
    <hyperlink ref="F516" location="Contents!A1" tooltip="Back to Contents" display="← Contents" xr:uid="{F381AA88-2E0B-4CAF-90AC-A40C203A0BA0}"/>
    <hyperlink ref="F528" location="Contents!A1" tooltip="Back to Contents" display="← Contents" xr:uid="{AA2D6E7A-EEF3-4778-9486-C15020DA1CCB}"/>
    <hyperlink ref="F556" location="Contents!A1" tooltip="Back to Contents" display="← Contents" xr:uid="{6BE21FB7-7FA6-4E84-A908-97A07DA8C5E6}"/>
    <hyperlink ref="F646" location="Contents!A1" tooltip="Back to Contents" display="← Contents" xr:uid="{CF131F41-D163-43C2-8972-42953DA2EC5E}"/>
    <hyperlink ref="F654" location="Contents!A1" tooltip="Back to Contents" display="← Contents" xr:uid="{13BBA192-C724-4BB1-B8B6-33F45F04CCD6}"/>
  </hyperlinks>
  <pageMargins left="0.3888888888888889" right="0.3888888888888889" top="0.5" bottom="0.5" header="0.3" footer="0.3"/>
  <pageSetup fitToHeight="0" orientation="portrait" r:id="rId1"/>
  <rowBreaks count="14" manualBreakCount="14">
    <brk id="46" max="16383" man="1"/>
    <brk id="93" max="16383" man="1"/>
    <brk id="140" max="16383" man="1"/>
    <brk id="183" max="16383" man="1"/>
    <brk id="233" max="16383" man="1"/>
    <brk id="279" max="16383" man="1"/>
    <brk id="326" max="16383" man="1"/>
    <brk id="372" max="16383" man="1"/>
    <brk id="426" max="16383" man="1"/>
    <brk id="474" max="16383" man="1"/>
    <brk id="492" max="16383" man="1"/>
    <brk id="540" max="16383" man="1"/>
    <brk id="587" max="16383" man="1"/>
    <brk id="63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5E8A4-FA81-4F32-A957-EEF72E68D062}">
  <sheetPr>
    <pageSetUpPr fitToPage="1"/>
  </sheetPr>
  <dimension ref="A1:F1508"/>
  <sheetViews>
    <sheetView zoomScale="85" zoomScaleNormal="85" workbookViewId="0">
      <selection activeCell="A2" sqref="A2"/>
    </sheetView>
  </sheetViews>
  <sheetFormatPr defaultRowHeight="15" x14ac:dyDescent="0.25"/>
  <cols>
    <col min="1" max="1" width="13.5703125" customWidth="1"/>
    <col min="2" max="2" width="64.140625" customWidth="1"/>
    <col min="3" max="3" width="35.140625" customWidth="1"/>
    <col min="4" max="4" width="23.42578125" bestFit="1" customWidth="1"/>
    <col min="5" max="5" width="15.7109375" customWidth="1"/>
    <col min="6" max="6" width="14.5703125" bestFit="1" customWidth="1"/>
  </cols>
  <sheetData>
    <row r="1" spans="1:5" ht="21" x14ac:dyDescent="0.25">
      <c r="A1" s="56" t="s">
        <v>2622</v>
      </c>
      <c r="B1" s="57"/>
      <c r="C1" s="57"/>
      <c r="D1" s="57"/>
      <c r="E1" s="57"/>
    </row>
    <row r="3" spans="1:5" ht="17.25" customHeight="1" x14ac:dyDescent="0.25">
      <c r="A3" s="487" t="s">
        <v>471</v>
      </c>
      <c r="B3" s="488"/>
      <c r="C3" s="125"/>
    </row>
    <row r="4" spans="1:5" x14ac:dyDescent="0.25">
      <c r="A4" s="126" t="s">
        <v>7</v>
      </c>
      <c r="B4" s="126" t="s">
        <v>8</v>
      </c>
      <c r="C4" s="127" t="s">
        <v>472</v>
      </c>
    </row>
    <row r="5" spans="1:5" x14ac:dyDescent="0.25">
      <c r="A5" s="128" t="s">
        <v>473</v>
      </c>
      <c r="B5" s="128" t="s">
        <v>474</v>
      </c>
      <c r="C5" s="129">
        <v>3.9</v>
      </c>
    </row>
    <row r="6" spans="1:5" x14ac:dyDescent="0.25">
      <c r="A6" s="130" t="s">
        <v>475</v>
      </c>
      <c r="B6" s="130" t="s">
        <v>476</v>
      </c>
      <c r="C6" s="131">
        <v>950</v>
      </c>
    </row>
    <row r="7" spans="1:5" x14ac:dyDescent="0.25">
      <c r="A7" s="128" t="s">
        <v>477</v>
      </c>
      <c r="B7" s="128" t="s">
        <v>478</v>
      </c>
      <c r="C7" s="129">
        <v>800</v>
      </c>
    </row>
    <row r="8" spans="1:5" x14ac:dyDescent="0.25">
      <c r="A8" s="130" t="s">
        <v>479</v>
      </c>
      <c r="B8" s="130" t="s">
        <v>480</v>
      </c>
      <c r="C8" s="131">
        <v>1050</v>
      </c>
    </row>
    <row r="9" spans="1:5" x14ac:dyDescent="0.25">
      <c r="A9" s="128" t="s">
        <v>481</v>
      </c>
      <c r="B9" s="128" t="s">
        <v>482</v>
      </c>
      <c r="C9" s="129">
        <v>500</v>
      </c>
    </row>
    <row r="10" spans="1:5" x14ac:dyDescent="0.25">
      <c r="A10" s="489" t="s">
        <v>483</v>
      </c>
      <c r="B10" s="132" t="s">
        <v>484</v>
      </c>
      <c r="C10" s="133" t="s">
        <v>485</v>
      </c>
    </row>
    <row r="11" spans="1:5" ht="25.5" customHeight="1" x14ac:dyDescent="0.25">
      <c r="A11" s="480"/>
      <c r="B11" s="132" t="s">
        <v>486</v>
      </c>
      <c r="C11" s="134">
        <v>90</v>
      </c>
    </row>
    <row r="12" spans="1:5" x14ac:dyDescent="0.25">
      <c r="A12" s="478" t="s">
        <v>487</v>
      </c>
      <c r="B12" s="135" t="s">
        <v>488</v>
      </c>
      <c r="C12" s="481">
        <v>1800</v>
      </c>
    </row>
    <row r="13" spans="1:5" x14ac:dyDescent="0.25">
      <c r="A13" s="480"/>
      <c r="B13" s="128" t="s">
        <v>489</v>
      </c>
      <c r="C13" s="480"/>
    </row>
    <row r="14" spans="1:5" x14ac:dyDescent="0.25">
      <c r="B14" s="136"/>
    </row>
    <row r="15" spans="1:5" ht="17.25" customHeight="1" x14ac:dyDescent="0.25">
      <c r="A15" s="490" t="s">
        <v>490</v>
      </c>
      <c r="B15" s="483"/>
      <c r="C15" s="138"/>
    </row>
    <row r="16" spans="1:5" x14ac:dyDescent="0.25">
      <c r="A16" s="475" t="s">
        <v>491</v>
      </c>
      <c r="B16" s="476"/>
      <c r="C16" s="477"/>
    </row>
    <row r="17" spans="1:3" x14ac:dyDescent="0.25">
      <c r="A17" s="475" t="s">
        <v>492</v>
      </c>
      <c r="B17" s="476"/>
      <c r="C17" s="477"/>
    </row>
    <row r="18" spans="1:3" x14ac:dyDescent="0.25">
      <c r="A18" s="139"/>
      <c r="B18" s="140"/>
      <c r="C18" s="141"/>
    </row>
    <row r="19" spans="1:3" x14ac:dyDescent="0.25">
      <c r="A19" s="142" t="s">
        <v>7</v>
      </c>
      <c r="B19" s="142" t="s">
        <v>8</v>
      </c>
      <c r="C19" s="143" t="s">
        <v>472</v>
      </c>
    </row>
    <row r="20" spans="1:3" x14ac:dyDescent="0.25">
      <c r="A20" s="130" t="s">
        <v>493</v>
      </c>
      <c r="B20" s="130" t="s">
        <v>494</v>
      </c>
      <c r="C20" s="131">
        <v>2200</v>
      </c>
    </row>
    <row r="21" spans="1:3" x14ac:dyDescent="0.25">
      <c r="A21" s="128" t="s">
        <v>495</v>
      </c>
      <c r="B21" s="128" t="s">
        <v>496</v>
      </c>
      <c r="C21" s="129">
        <v>800</v>
      </c>
    </row>
    <row r="22" spans="1:3" x14ac:dyDescent="0.25">
      <c r="A22" s="130" t="s">
        <v>497</v>
      </c>
      <c r="B22" s="130" t="s">
        <v>498</v>
      </c>
      <c r="C22" s="131">
        <v>2900</v>
      </c>
    </row>
    <row r="23" spans="1:3" x14ac:dyDescent="0.25">
      <c r="A23" s="128" t="s">
        <v>499</v>
      </c>
      <c r="B23" s="128" t="s">
        <v>500</v>
      </c>
      <c r="C23" s="129">
        <v>950</v>
      </c>
    </row>
    <row r="24" spans="1:3" x14ac:dyDescent="0.25">
      <c r="A24" s="144" t="s">
        <v>501</v>
      </c>
      <c r="B24" s="144" t="s">
        <v>502</v>
      </c>
      <c r="C24" s="145">
        <v>5000</v>
      </c>
    </row>
    <row r="25" spans="1:3" x14ac:dyDescent="0.25">
      <c r="A25" s="146" t="s">
        <v>503</v>
      </c>
      <c r="B25" s="146" t="s">
        <v>504</v>
      </c>
      <c r="C25" s="147">
        <v>1100</v>
      </c>
    </row>
    <row r="26" spans="1:3" x14ac:dyDescent="0.25">
      <c r="A26" s="148" t="s">
        <v>505</v>
      </c>
      <c r="B26" s="149" t="s">
        <v>506</v>
      </c>
      <c r="C26" s="150">
        <v>75</v>
      </c>
    </row>
    <row r="27" spans="1:3" x14ac:dyDescent="0.25">
      <c r="A27" s="478" t="s">
        <v>507</v>
      </c>
      <c r="B27" s="151" t="s">
        <v>508</v>
      </c>
      <c r="C27" s="481">
        <v>800</v>
      </c>
    </row>
    <row r="28" spans="1:3" x14ac:dyDescent="0.25">
      <c r="A28" s="479"/>
      <c r="B28" s="152" t="s">
        <v>509</v>
      </c>
      <c r="C28" s="479"/>
    </row>
    <row r="29" spans="1:3" x14ac:dyDescent="0.25">
      <c r="A29" s="480"/>
      <c r="B29" s="153" t="s">
        <v>510</v>
      </c>
      <c r="C29" s="480"/>
    </row>
    <row r="30" spans="1:3" x14ac:dyDescent="0.25">
      <c r="A30" s="144" t="s">
        <v>511</v>
      </c>
      <c r="B30" s="149" t="s">
        <v>512</v>
      </c>
      <c r="C30" s="145">
        <v>1100</v>
      </c>
    </row>
    <row r="31" spans="1:3" x14ac:dyDescent="0.25">
      <c r="A31" s="146" t="s">
        <v>513</v>
      </c>
      <c r="B31" s="146" t="s">
        <v>514</v>
      </c>
      <c r="C31" s="147">
        <v>200</v>
      </c>
    </row>
    <row r="34" spans="1:3" ht="17.25" customHeight="1" x14ac:dyDescent="0.3">
      <c r="A34" s="482" t="s">
        <v>515</v>
      </c>
      <c r="B34" s="483"/>
      <c r="C34" s="154"/>
    </row>
    <row r="35" spans="1:3" ht="70.5" customHeight="1" x14ac:dyDescent="0.25">
      <c r="A35" s="484" t="s">
        <v>516</v>
      </c>
      <c r="B35" s="485"/>
      <c r="C35" s="486"/>
    </row>
    <row r="36" spans="1:3" x14ac:dyDescent="0.25">
      <c r="A36" s="155" t="s">
        <v>7</v>
      </c>
      <c r="B36" s="142" t="s">
        <v>8</v>
      </c>
      <c r="C36" s="156" t="s">
        <v>472</v>
      </c>
    </row>
    <row r="37" spans="1:3" x14ac:dyDescent="0.25">
      <c r="A37" s="157" t="s">
        <v>517</v>
      </c>
      <c r="B37" s="128" t="s">
        <v>518</v>
      </c>
      <c r="C37" s="158">
        <v>2200</v>
      </c>
    </row>
    <row r="38" spans="1:3" x14ac:dyDescent="0.25">
      <c r="A38" s="132" t="s">
        <v>519</v>
      </c>
      <c r="B38" s="132" t="s">
        <v>520</v>
      </c>
      <c r="C38" s="159">
        <v>850</v>
      </c>
    </row>
    <row r="39" spans="1:3" x14ac:dyDescent="0.25">
      <c r="A39" s="135" t="s">
        <v>521</v>
      </c>
      <c r="B39" s="135" t="s">
        <v>522</v>
      </c>
      <c r="C39" s="160">
        <v>2900</v>
      </c>
    </row>
    <row r="40" spans="1:3" x14ac:dyDescent="0.25">
      <c r="A40" s="132" t="s">
        <v>523</v>
      </c>
      <c r="B40" s="132" t="s">
        <v>524</v>
      </c>
      <c r="C40" s="159">
        <v>950</v>
      </c>
    </row>
    <row r="41" spans="1:3" x14ac:dyDescent="0.25">
      <c r="A41" s="135" t="s">
        <v>525</v>
      </c>
      <c r="B41" s="135" t="s">
        <v>526</v>
      </c>
      <c r="C41" s="160">
        <v>5000</v>
      </c>
    </row>
    <row r="42" spans="1:3" x14ac:dyDescent="0.25">
      <c r="A42" s="161" t="s">
        <v>527</v>
      </c>
      <c r="B42" s="162" t="s">
        <v>528</v>
      </c>
      <c r="C42" s="163">
        <v>1100</v>
      </c>
    </row>
    <row r="43" spans="1:3" x14ac:dyDescent="0.25">
      <c r="A43" s="135" t="s">
        <v>529</v>
      </c>
      <c r="B43" s="164" t="s">
        <v>530</v>
      </c>
      <c r="C43" s="165">
        <v>75</v>
      </c>
    </row>
    <row r="44" spans="1:3" x14ac:dyDescent="0.25">
      <c r="A44" s="132" t="s">
        <v>531</v>
      </c>
      <c r="B44" s="166" t="s">
        <v>532</v>
      </c>
      <c r="C44" s="167">
        <v>1100</v>
      </c>
    </row>
    <row r="45" spans="1:3" x14ac:dyDescent="0.25">
      <c r="A45" s="135" t="s">
        <v>533</v>
      </c>
      <c r="B45" s="164" t="s">
        <v>534</v>
      </c>
      <c r="C45" s="165">
        <v>3.6</v>
      </c>
    </row>
    <row r="46" spans="1:3" x14ac:dyDescent="0.25">
      <c r="A46" s="132" t="s">
        <v>535</v>
      </c>
      <c r="B46" s="166" t="s">
        <v>536</v>
      </c>
      <c r="C46" s="167">
        <v>1100</v>
      </c>
    </row>
    <row r="47" spans="1:3" x14ac:dyDescent="0.25">
      <c r="B47" s="168"/>
      <c r="C47" s="169"/>
    </row>
    <row r="48" spans="1:3" ht="17.25" customHeight="1" x14ac:dyDescent="0.25">
      <c r="A48" s="487" t="s">
        <v>537</v>
      </c>
      <c r="B48" s="483"/>
      <c r="C48" s="488"/>
    </row>
    <row r="49" spans="1:3" x14ac:dyDescent="0.25">
      <c r="A49" s="493" t="s">
        <v>538</v>
      </c>
      <c r="B49" s="494"/>
      <c r="C49" s="495"/>
    </row>
    <row r="50" spans="1:3" x14ac:dyDescent="0.25">
      <c r="A50" s="496" t="s">
        <v>539</v>
      </c>
      <c r="B50" s="497"/>
      <c r="C50" s="498"/>
    </row>
    <row r="51" spans="1:3" x14ac:dyDescent="0.25">
      <c r="A51" s="496" t="s">
        <v>540</v>
      </c>
      <c r="B51" s="497"/>
      <c r="C51" s="498"/>
    </row>
    <row r="52" spans="1:3" x14ac:dyDescent="0.25">
      <c r="A52" s="139"/>
      <c r="B52" s="170"/>
      <c r="C52" s="141"/>
    </row>
    <row r="53" spans="1:3" x14ac:dyDescent="0.25">
      <c r="A53" s="171" t="s">
        <v>7</v>
      </c>
      <c r="B53" s="172" t="s">
        <v>8</v>
      </c>
      <c r="C53" s="173" t="s">
        <v>472</v>
      </c>
    </row>
    <row r="54" spans="1:3" x14ac:dyDescent="0.25">
      <c r="A54" s="135" t="s">
        <v>541</v>
      </c>
      <c r="B54" s="164" t="s">
        <v>518</v>
      </c>
      <c r="C54" s="165">
        <v>1900</v>
      </c>
    </row>
    <row r="55" spans="1:3" x14ac:dyDescent="0.25">
      <c r="A55" s="132" t="s">
        <v>542</v>
      </c>
      <c r="B55" s="166" t="s">
        <v>520</v>
      </c>
      <c r="C55" s="167">
        <v>800</v>
      </c>
    </row>
    <row r="56" spans="1:3" x14ac:dyDescent="0.25">
      <c r="A56" s="135" t="s">
        <v>543</v>
      </c>
      <c r="B56" s="164" t="s">
        <v>522</v>
      </c>
      <c r="C56" s="165">
        <v>2700</v>
      </c>
    </row>
    <row r="57" spans="1:3" x14ac:dyDescent="0.25">
      <c r="A57" s="132" t="s">
        <v>544</v>
      </c>
      <c r="B57" s="166" t="s">
        <v>524</v>
      </c>
      <c r="C57" s="167">
        <v>1000</v>
      </c>
    </row>
    <row r="58" spans="1:3" x14ac:dyDescent="0.25">
      <c r="A58" s="135" t="s">
        <v>545</v>
      </c>
      <c r="B58" s="164" t="s">
        <v>526</v>
      </c>
      <c r="C58" s="165">
        <v>4500</v>
      </c>
    </row>
    <row r="59" spans="1:3" x14ac:dyDescent="0.25">
      <c r="A59" s="132" t="s">
        <v>546</v>
      </c>
      <c r="B59" s="166" t="s">
        <v>528</v>
      </c>
      <c r="C59" s="167">
        <v>1200</v>
      </c>
    </row>
    <row r="60" spans="1:3" x14ac:dyDescent="0.25">
      <c r="A60" s="135" t="s">
        <v>547</v>
      </c>
      <c r="B60" s="164" t="s">
        <v>530</v>
      </c>
      <c r="C60" s="165">
        <v>70</v>
      </c>
    </row>
    <row r="61" spans="1:3" x14ac:dyDescent="0.25">
      <c r="A61" s="132" t="s">
        <v>548</v>
      </c>
      <c r="B61" s="166" t="s">
        <v>532</v>
      </c>
      <c r="C61" s="167">
        <v>800</v>
      </c>
    </row>
    <row r="62" spans="1:3" x14ac:dyDescent="0.25">
      <c r="A62" s="135" t="s">
        <v>549</v>
      </c>
      <c r="B62" s="164" t="s">
        <v>550</v>
      </c>
      <c r="C62" s="165">
        <v>700</v>
      </c>
    </row>
    <row r="63" spans="1:3" x14ac:dyDescent="0.25">
      <c r="A63" s="132" t="s">
        <v>551</v>
      </c>
      <c r="B63" s="166" t="s">
        <v>536</v>
      </c>
      <c r="C63" s="167">
        <v>1300</v>
      </c>
    </row>
    <row r="64" spans="1:3" x14ac:dyDescent="0.25">
      <c r="A64" s="135" t="s">
        <v>552</v>
      </c>
      <c r="B64" s="164" t="s">
        <v>553</v>
      </c>
      <c r="C64" s="165">
        <v>50</v>
      </c>
    </row>
    <row r="67" spans="1:3" ht="17.25" customHeight="1" x14ac:dyDescent="0.3">
      <c r="A67" s="482" t="s">
        <v>554</v>
      </c>
      <c r="B67" s="483"/>
      <c r="C67" s="154"/>
    </row>
    <row r="68" spans="1:3" x14ac:dyDescent="0.25">
      <c r="A68" s="126" t="s">
        <v>7</v>
      </c>
      <c r="B68" s="126" t="s">
        <v>8</v>
      </c>
      <c r="C68" s="174" t="s">
        <v>472</v>
      </c>
    </row>
    <row r="69" spans="1:3" x14ac:dyDescent="0.25">
      <c r="A69" s="128" t="s">
        <v>555</v>
      </c>
      <c r="B69" s="128" t="s">
        <v>556</v>
      </c>
      <c r="C69" s="129">
        <v>2500</v>
      </c>
    </row>
    <row r="70" spans="1:3" x14ac:dyDescent="0.25">
      <c r="A70" s="130" t="s">
        <v>557</v>
      </c>
      <c r="B70" s="130" t="s">
        <v>558</v>
      </c>
      <c r="C70" s="131">
        <v>300</v>
      </c>
    </row>
    <row r="71" spans="1:3" x14ac:dyDescent="0.25">
      <c r="A71" s="128" t="s">
        <v>559</v>
      </c>
      <c r="B71" s="128" t="s">
        <v>560</v>
      </c>
      <c r="C71" s="129">
        <v>600</v>
      </c>
    </row>
    <row r="72" spans="1:3" x14ac:dyDescent="0.25">
      <c r="A72" s="130" t="s">
        <v>561</v>
      </c>
      <c r="B72" s="130" t="s">
        <v>562</v>
      </c>
      <c r="C72" s="131">
        <v>300</v>
      </c>
    </row>
    <row r="73" spans="1:3" x14ac:dyDescent="0.25">
      <c r="A73" s="499"/>
      <c r="B73" s="483"/>
      <c r="C73" s="483"/>
    </row>
    <row r="74" spans="1:3" ht="17.25" customHeight="1" x14ac:dyDescent="0.25">
      <c r="A74" s="487" t="s">
        <v>563</v>
      </c>
      <c r="B74" s="483"/>
      <c r="C74" s="488"/>
    </row>
    <row r="75" spans="1:3" x14ac:dyDescent="0.25">
      <c r="A75" s="126" t="s">
        <v>7</v>
      </c>
      <c r="B75" s="126" t="s">
        <v>8</v>
      </c>
      <c r="C75" s="174" t="s">
        <v>472</v>
      </c>
    </row>
    <row r="76" spans="1:3" x14ac:dyDescent="0.25">
      <c r="A76" s="128" t="s">
        <v>564</v>
      </c>
      <c r="B76" s="128" t="s">
        <v>565</v>
      </c>
      <c r="C76" s="129">
        <v>3500</v>
      </c>
    </row>
    <row r="77" spans="1:3" x14ac:dyDescent="0.25">
      <c r="A77" s="130" t="s">
        <v>566</v>
      </c>
      <c r="B77" s="130" t="s">
        <v>567</v>
      </c>
      <c r="C77" s="131">
        <v>3560</v>
      </c>
    </row>
    <row r="78" spans="1:3" x14ac:dyDescent="0.25">
      <c r="A78" s="128" t="s">
        <v>568</v>
      </c>
      <c r="B78" s="128" t="s">
        <v>569</v>
      </c>
      <c r="C78" s="129">
        <v>3560</v>
      </c>
    </row>
    <row r="79" spans="1:3" x14ac:dyDescent="0.25">
      <c r="A79" s="130" t="s">
        <v>570</v>
      </c>
      <c r="B79" s="130" t="s">
        <v>571</v>
      </c>
      <c r="C79" s="131">
        <v>3900</v>
      </c>
    </row>
    <row r="80" spans="1:3" x14ac:dyDescent="0.25">
      <c r="A80" s="128" t="s">
        <v>572</v>
      </c>
      <c r="B80" s="128" t="s">
        <v>573</v>
      </c>
      <c r="C80" s="129">
        <v>5200</v>
      </c>
    </row>
    <row r="81" spans="1:5" x14ac:dyDescent="0.25">
      <c r="A81" s="130" t="s">
        <v>574</v>
      </c>
      <c r="B81" s="130" t="s">
        <v>575</v>
      </c>
      <c r="C81" s="131">
        <v>8200</v>
      </c>
    </row>
    <row r="84" spans="1:5" ht="17.25" customHeight="1" x14ac:dyDescent="0.3">
      <c r="A84" s="482" t="s">
        <v>576</v>
      </c>
      <c r="B84" s="483"/>
      <c r="C84" s="175"/>
      <c r="D84" s="175"/>
      <c r="E84" s="154"/>
    </row>
    <row r="85" spans="1:5" x14ac:dyDescent="0.25">
      <c r="A85" s="126" t="s">
        <v>7</v>
      </c>
      <c r="B85" s="126" t="s">
        <v>8</v>
      </c>
      <c r="C85" s="176" t="s">
        <v>577</v>
      </c>
      <c r="D85" s="177" t="s">
        <v>86</v>
      </c>
      <c r="E85" s="178" t="s">
        <v>578</v>
      </c>
    </row>
    <row r="86" spans="1:5" x14ac:dyDescent="0.25">
      <c r="A86" s="179" t="s">
        <v>579</v>
      </c>
      <c r="B86" s="179" t="s">
        <v>580</v>
      </c>
      <c r="C86" s="180">
        <v>534</v>
      </c>
      <c r="D86" s="181">
        <v>200</v>
      </c>
      <c r="E86" s="165">
        <v>110</v>
      </c>
    </row>
    <row r="87" spans="1:5" x14ac:dyDescent="0.25">
      <c r="A87" s="182" t="s">
        <v>581</v>
      </c>
      <c r="B87" s="182" t="s">
        <v>582</v>
      </c>
      <c r="C87" s="183">
        <v>607</v>
      </c>
      <c r="D87" s="167">
        <v>250</v>
      </c>
      <c r="E87" s="167">
        <v>122</v>
      </c>
    </row>
    <row r="88" spans="1:5" x14ac:dyDescent="0.25">
      <c r="A88" s="184" t="s">
        <v>583</v>
      </c>
      <c r="B88" s="184" t="s">
        <v>584</v>
      </c>
      <c r="C88" s="185">
        <v>662</v>
      </c>
      <c r="D88" s="165">
        <v>300</v>
      </c>
      <c r="E88" s="165">
        <v>133</v>
      </c>
    </row>
    <row r="89" spans="1:5" x14ac:dyDescent="0.25">
      <c r="A89" s="182" t="s">
        <v>585</v>
      </c>
      <c r="B89" s="182" t="s">
        <v>586</v>
      </c>
      <c r="C89" s="183">
        <v>772</v>
      </c>
      <c r="D89" s="167">
        <v>350</v>
      </c>
      <c r="E89" s="167">
        <v>166</v>
      </c>
    </row>
    <row r="90" spans="1:5" x14ac:dyDescent="0.25">
      <c r="A90" s="184" t="s">
        <v>587</v>
      </c>
      <c r="B90" s="184" t="s">
        <v>588</v>
      </c>
      <c r="C90" s="185">
        <v>1150</v>
      </c>
      <c r="D90" s="165">
        <v>900</v>
      </c>
      <c r="E90" s="165">
        <v>265</v>
      </c>
    </row>
    <row r="91" spans="1:5" x14ac:dyDescent="0.25">
      <c r="A91" s="182" t="s">
        <v>589</v>
      </c>
      <c r="B91" s="182" t="s">
        <v>590</v>
      </c>
      <c r="C91" s="183">
        <v>1600</v>
      </c>
      <c r="D91" s="167">
        <v>1000</v>
      </c>
      <c r="E91" s="167">
        <v>420</v>
      </c>
    </row>
    <row r="92" spans="1:5" x14ac:dyDescent="0.25">
      <c r="A92" s="184" t="s">
        <v>591</v>
      </c>
      <c r="B92" s="184" t="s">
        <v>592</v>
      </c>
      <c r="C92" s="185">
        <v>1800</v>
      </c>
      <c r="D92" s="165">
        <v>1200</v>
      </c>
      <c r="E92" s="165">
        <v>450</v>
      </c>
    </row>
    <row r="93" spans="1:5" x14ac:dyDescent="0.25">
      <c r="A93" s="182" t="s">
        <v>593</v>
      </c>
      <c r="B93" s="182" t="s">
        <v>594</v>
      </c>
      <c r="C93" s="183">
        <v>2000</v>
      </c>
      <c r="D93" s="167">
        <v>1300</v>
      </c>
      <c r="E93" s="167">
        <v>520</v>
      </c>
    </row>
    <row r="94" spans="1:5" x14ac:dyDescent="0.25">
      <c r="A94" s="184" t="s">
        <v>595</v>
      </c>
      <c r="B94" s="184" t="s">
        <v>596</v>
      </c>
      <c r="C94" s="185">
        <v>400</v>
      </c>
      <c r="D94" s="165">
        <v>200</v>
      </c>
      <c r="E94" s="165">
        <v>120</v>
      </c>
    </row>
    <row r="95" spans="1:5" x14ac:dyDescent="0.25">
      <c r="A95" s="182" t="s">
        <v>597</v>
      </c>
      <c r="B95" s="182" t="s">
        <v>598</v>
      </c>
      <c r="C95" s="183">
        <v>450</v>
      </c>
      <c r="D95" s="167">
        <v>220</v>
      </c>
      <c r="E95" s="167">
        <v>140</v>
      </c>
    </row>
    <row r="96" spans="1:5" x14ac:dyDescent="0.25">
      <c r="A96" s="184" t="s">
        <v>599</v>
      </c>
      <c r="B96" s="184" t="s">
        <v>600</v>
      </c>
      <c r="C96" s="185">
        <v>550</v>
      </c>
      <c r="D96" s="165">
        <v>250</v>
      </c>
      <c r="E96" s="165">
        <v>160</v>
      </c>
    </row>
    <row r="99" spans="1:4" ht="17.25" customHeight="1" x14ac:dyDescent="0.25">
      <c r="A99" s="490" t="s">
        <v>601</v>
      </c>
      <c r="B99" s="483"/>
      <c r="C99" s="186"/>
      <c r="D99" s="187"/>
    </row>
    <row r="100" spans="1:4" x14ac:dyDescent="0.25">
      <c r="A100" s="171" t="s">
        <v>7</v>
      </c>
      <c r="B100" s="126" t="s">
        <v>8</v>
      </c>
      <c r="C100" s="188" t="s">
        <v>9</v>
      </c>
      <c r="D100" s="127" t="s">
        <v>472</v>
      </c>
    </row>
    <row r="101" spans="1:4" x14ac:dyDescent="0.25">
      <c r="A101" s="135" t="s">
        <v>602</v>
      </c>
      <c r="B101" s="135" t="s">
        <v>603</v>
      </c>
      <c r="C101" s="135" t="s">
        <v>577</v>
      </c>
      <c r="D101" s="160">
        <v>1000</v>
      </c>
    </row>
    <row r="102" spans="1:4" x14ac:dyDescent="0.25">
      <c r="A102" s="132" t="s">
        <v>604</v>
      </c>
      <c r="B102" s="132" t="s">
        <v>605</v>
      </c>
      <c r="C102" s="132" t="s">
        <v>577</v>
      </c>
      <c r="D102" s="159">
        <v>500</v>
      </c>
    </row>
    <row r="103" spans="1:4" x14ac:dyDescent="0.25">
      <c r="A103" s="135" t="s">
        <v>606</v>
      </c>
      <c r="B103" s="135" t="s">
        <v>607</v>
      </c>
      <c r="C103" s="135" t="s">
        <v>577</v>
      </c>
      <c r="D103" s="160">
        <v>400</v>
      </c>
    </row>
    <row r="104" spans="1:4" x14ac:dyDescent="0.25">
      <c r="A104" s="132" t="s">
        <v>608</v>
      </c>
      <c r="B104" s="132" t="s">
        <v>609</v>
      </c>
      <c r="C104" s="132" t="s">
        <v>610</v>
      </c>
      <c r="D104" s="159">
        <v>900</v>
      </c>
    </row>
    <row r="105" spans="1:4" x14ac:dyDescent="0.25">
      <c r="A105" s="135" t="s">
        <v>611</v>
      </c>
      <c r="B105" s="135" t="s">
        <v>612</v>
      </c>
      <c r="C105" s="135" t="s">
        <v>610</v>
      </c>
      <c r="D105" s="160">
        <v>900</v>
      </c>
    </row>
    <row r="106" spans="1:4" x14ac:dyDescent="0.25">
      <c r="A106" s="132" t="s">
        <v>613</v>
      </c>
      <c r="B106" s="132" t="s">
        <v>614</v>
      </c>
      <c r="C106" s="132" t="s">
        <v>577</v>
      </c>
      <c r="D106" s="159">
        <v>300</v>
      </c>
    </row>
    <row r="107" spans="1:4" x14ac:dyDescent="0.25">
      <c r="A107" s="135" t="s">
        <v>615</v>
      </c>
      <c r="B107" s="135" t="s">
        <v>616</v>
      </c>
      <c r="C107" s="135" t="s">
        <v>617</v>
      </c>
      <c r="D107" s="160">
        <v>20</v>
      </c>
    </row>
    <row r="110" spans="1:4" ht="17.25" customHeight="1" x14ac:dyDescent="0.25">
      <c r="A110" s="490" t="s">
        <v>618</v>
      </c>
      <c r="B110" s="483"/>
      <c r="C110" s="189"/>
      <c r="D110" s="190"/>
    </row>
    <row r="111" spans="1:4" ht="17.25" customHeight="1" x14ac:dyDescent="0.3">
      <c r="A111" s="191"/>
      <c r="B111" s="137" t="s">
        <v>619</v>
      </c>
      <c r="C111" s="192"/>
      <c r="D111" s="193"/>
    </row>
    <row r="112" spans="1:4" x14ac:dyDescent="0.25">
      <c r="A112" s="171" t="s">
        <v>7</v>
      </c>
      <c r="B112" s="126" t="s">
        <v>8</v>
      </c>
      <c r="C112" s="171" t="s">
        <v>9</v>
      </c>
      <c r="D112" s="127" t="s">
        <v>472</v>
      </c>
    </row>
    <row r="113" spans="1:4" x14ac:dyDescent="0.25">
      <c r="A113" s="128" t="s">
        <v>620</v>
      </c>
      <c r="B113" s="128" t="s">
        <v>621</v>
      </c>
      <c r="C113" s="128" t="s">
        <v>622</v>
      </c>
      <c r="D113" s="129">
        <v>2000</v>
      </c>
    </row>
    <row r="114" spans="1:4" x14ac:dyDescent="0.25">
      <c r="A114" s="130" t="s">
        <v>623</v>
      </c>
      <c r="B114" s="130" t="s">
        <v>624</v>
      </c>
      <c r="C114" s="130" t="s">
        <v>625</v>
      </c>
      <c r="D114" s="131">
        <v>4500</v>
      </c>
    </row>
    <row r="115" spans="1:4" x14ac:dyDescent="0.25">
      <c r="A115" s="128" t="s">
        <v>626</v>
      </c>
      <c r="B115" s="128" t="s">
        <v>627</v>
      </c>
      <c r="C115" s="128" t="s">
        <v>628</v>
      </c>
      <c r="D115" s="129">
        <v>600</v>
      </c>
    </row>
    <row r="116" spans="1:4" x14ac:dyDescent="0.25">
      <c r="A116" s="130" t="s">
        <v>629</v>
      </c>
      <c r="B116" s="130" t="s">
        <v>630</v>
      </c>
      <c r="C116" s="130" t="s">
        <v>625</v>
      </c>
      <c r="D116" s="131">
        <v>5225</v>
      </c>
    </row>
    <row r="117" spans="1:4" x14ac:dyDescent="0.25">
      <c r="A117" s="128" t="s">
        <v>631</v>
      </c>
      <c r="B117" s="128" t="s">
        <v>632</v>
      </c>
      <c r="C117" s="128" t="s">
        <v>628</v>
      </c>
      <c r="D117" s="129">
        <v>1100</v>
      </c>
    </row>
    <row r="118" spans="1:4" x14ac:dyDescent="0.25">
      <c r="D118" s="169"/>
    </row>
    <row r="119" spans="1:4" ht="17.25" customHeight="1" x14ac:dyDescent="0.3">
      <c r="A119" s="194"/>
      <c r="B119" s="195" t="s">
        <v>633</v>
      </c>
      <c r="C119" s="138"/>
      <c r="D119" s="190"/>
    </row>
    <row r="120" spans="1:4" x14ac:dyDescent="0.25">
      <c r="A120" s="171" t="s">
        <v>7</v>
      </c>
      <c r="B120" s="126" t="s">
        <v>8</v>
      </c>
      <c r="C120" s="171" t="s">
        <v>9</v>
      </c>
      <c r="D120" s="127" t="s">
        <v>472</v>
      </c>
    </row>
    <row r="121" spans="1:4" x14ac:dyDescent="0.25">
      <c r="A121" s="128" t="s">
        <v>634</v>
      </c>
      <c r="B121" s="128" t="s">
        <v>635</v>
      </c>
      <c r="C121" s="128" t="s">
        <v>622</v>
      </c>
      <c r="D121" s="129">
        <v>2475</v>
      </c>
    </row>
    <row r="122" spans="1:4" x14ac:dyDescent="0.25">
      <c r="A122" s="130" t="s">
        <v>636</v>
      </c>
      <c r="B122" s="130" t="s">
        <v>637</v>
      </c>
      <c r="C122" s="130" t="s">
        <v>625</v>
      </c>
      <c r="D122" s="131">
        <v>5050</v>
      </c>
    </row>
    <row r="123" spans="1:4" x14ac:dyDescent="0.25">
      <c r="A123" s="128" t="s">
        <v>638</v>
      </c>
      <c r="B123" s="128" t="s">
        <v>639</v>
      </c>
      <c r="C123" s="128" t="s">
        <v>628</v>
      </c>
      <c r="D123" s="129">
        <v>1225</v>
      </c>
    </row>
    <row r="124" spans="1:4" x14ac:dyDescent="0.25">
      <c r="A124" s="130" t="s">
        <v>640</v>
      </c>
      <c r="B124" s="130" t="s">
        <v>641</v>
      </c>
      <c r="C124" s="130" t="s">
        <v>625</v>
      </c>
      <c r="D124" s="131">
        <v>10120</v>
      </c>
    </row>
    <row r="125" spans="1:4" x14ac:dyDescent="0.25">
      <c r="A125" s="128" t="s">
        <v>642</v>
      </c>
      <c r="B125" s="128" t="s">
        <v>643</v>
      </c>
      <c r="C125" s="128" t="s">
        <v>628</v>
      </c>
      <c r="D125" s="129">
        <v>2470</v>
      </c>
    </row>
    <row r="126" spans="1:4" x14ac:dyDescent="0.25">
      <c r="D126" s="169"/>
    </row>
    <row r="127" spans="1:4" ht="17.25" customHeight="1" x14ac:dyDescent="0.3">
      <c r="A127" s="194"/>
      <c r="B127" s="195" t="s">
        <v>644</v>
      </c>
      <c r="C127" s="138"/>
      <c r="D127" s="190"/>
    </row>
    <row r="128" spans="1:4" x14ac:dyDescent="0.25">
      <c r="A128" s="171" t="s">
        <v>7</v>
      </c>
      <c r="B128" s="126" t="s">
        <v>8</v>
      </c>
      <c r="C128" s="171" t="s">
        <v>9</v>
      </c>
      <c r="D128" s="127" t="s">
        <v>472</v>
      </c>
    </row>
    <row r="129" spans="1:4" x14ac:dyDescent="0.25">
      <c r="A129" s="128" t="s">
        <v>645</v>
      </c>
      <c r="B129" s="128" t="s">
        <v>646</v>
      </c>
      <c r="C129" s="128" t="s">
        <v>622</v>
      </c>
      <c r="D129" s="129">
        <v>4825</v>
      </c>
    </row>
    <row r="130" spans="1:4" x14ac:dyDescent="0.25">
      <c r="A130" s="130" t="s">
        <v>647</v>
      </c>
      <c r="B130" s="130" t="s">
        <v>648</v>
      </c>
      <c r="C130" s="130" t="s">
        <v>625</v>
      </c>
      <c r="D130" s="131">
        <v>9880</v>
      </c>
    </row>
    <row r="131" spans="1:4" x14ac:dyDescent="0.25">
      <c r="A131" s="128" t="s">
        <v>649</v>
      </c>
      <c r="B131" s="128" t="s">
        <v>650</v>
      </c>
      <c r="C131" s="128" t="s">
        <v>628</v>
      </c>
      <c r="D131" s="129">
        <v>2581</v>
      </c>
    </row>
    <row r="132" spans="1:4" x14ac:dyDescent="0.25">
      <c r="A132" s="130" t="s">
        <v>651</v>
      </c>
      <c r="B132" s="130" t="s">
        <v>652</v>
      </c>
      <c r="C132" s="130" t="s">
        <v>625</v>
      </c>
      <c r="D132" s="131">
        <v>14820</v>
      </c>
    </row>
    <row r="133" spans="1:4" x14ac:dyDescent="0.25">
      <c r="A133" s="128" t="s">
        <v>653</v>
      </c>
      <c r="B133" s="128" t="s">
        <v>654</v>
      </c>
      <c r="C133" s="128" t="s">
        <v>628</v>
      </c>
      <c r="D133" s="129">
        <v>3870</v>
      </c>
    </row>
    <row r="134" spans="1:4" x14ac:dyDescent="0.25">
      <c r="A134" s="130" t="s">
        <v>655</v>
      </c>
      <c r="B134" s="130" t="s">
        <v>656</v>
      </c>
      <c r="C134" s="130" t="s">
        <v>625</v>
      </c>
      <c r="D134" s="131">
        <v>19760</v>
      </c>
    </row>
    <row r="135" spans="1:4" x14ac:dyDescent="0.25">
      <c r="A135" s="128" t="s">
        <v>657</v>
      </c>
      <c r="B135" s="128" t="s">
        <v>658</v>
      </c>
      <c r="C135" s="128" t="s">
        <v>628</v>
      </c>
      <c r="D135" s="129">
        <v>5160</v>
      </c>
    </row>
    <row r="136" spans="1:4" x14ac:dyDescent="0.25">
      <c r="A136" s="130" t="s">
        <v>659</v>
      </c>
      <c r="B136" s="130" t="s">
        <v>660</v>
      </c>
      <c r="C136" s="130" t="s">
        <v>625</v>
      </c>
      <c r="D136" s="131">
        <v>24700</v>
      </c>
    </row>
    <row r="137" spans="1:4" x14ac:dyDescent="0.25">
      <c r="A137" s="128" t="s">
        <v>661</v>
      </c>
      <c r="B137" s="128" t="s">
        <v>662</v>
      </c>
      <c r="C137" s="128" t="s">
        <v>628</v>
      </c>
      <c r="D137" s="129">
        <v>6450</v>
      </c>
    </row>
    <row r="138" spans="1:4" x14ac:dyDescent="0.25">
      <c r="A138" s="130" t="s">
        <v>663</v>
      </c>
      <c r="B138" s="130" t="s">
        <v>664</v>
      </c>
      <c r="C138" s="130" t="s">
        <v>625</v>
      </c>
      <c r="D138" s="131">
        <v>29640</v>
      </c>
    </row>
    <row r="139" spans="1:4" x14ac:dyDescent="0.25">
      <c r="A139" s="128" t="s">
        <v>665</v>
      </c>
      <c r="B139" s="128" t="s">
        <v>666</v>
      </c>
      <c r="C139" s="128" t="s">
        <v>628</v>
      </c>
      <c r="D139" s="129">
        <v>7750</v>
      </c>
    </row>
    <row r="140" spans="1:4" x14ac:dyDescent="0.25">
      <c r="D140" s="169"/>
    </row>
    <row r="141" spans="1:4" ht="17.25" customHeight="1" x14ac:dyDescent="0.25">
      <c r="A141" s="490" t="s">
        <v>667</v>
      </c>
      <c r="B141" s="483"/>
      <c r="C141" s="186"/>
      <c r="D141" s="187"/>
    </row>
    <row r="142" spans="1:4" ht="17.25" customHeight="1" x14ac:dyDescent="0.25">
      <c r="A142" s="490" t="s">
        <v>668</v>
      </c>
      <c r="B142" s="483"/>
      <c r="C142" s="138"/>
      <c r="D142" s="193"/>
    </row>
    <row r="143" spans="1:4" x14ac:dyDescent="0.25">
      <c r="A143" s="171" t="s">
        <v>7</v>
      </c>
      <c r="B143" s="126" t="s">
        <v>8</v>
      </c>
      <c r="C143" s="171" t="s">
        <v>9</v>
      </c>
      <c r="D143" s="127" t="s">
        <v>472</v>
      </c>
    </row>
    <row r="144" spans="1:4" x14ac:dyDescent="0.25">
      <c r="A144" s="128" t="s">
        <v>669</v>
      </c>
      <c r="B144" s="128" t="s">
        <v>670</v>
      </c>
      <c r="C144" s="128" t="s">
        <v>671</v>
      </c>
      <c r="D144" s="129">
        <v>0.5</v>
      </c>
    </row>
    <row r="145" spans="1:5" x14ac:dyDescent="0.25">
      <c r="A145" s="130" t="s">
        <v>672</v>
      </c>
      <c r="B145" s="130" t="s">
        <v>673</v>
      </c>
      <c r="C145" s="130" t="s">
        <v>671</v>
      </c>
      <c r="D145" s="131">
        <v>0.65</v>
      </c>
    </row>
    <row r="146" spans="1:5" x14ac:dyDescent="0.25">
      <c r="D146" s="169"/>
    </row>
    <row r="147" spans="1:5" ht="17.25" customHeight="1" x14ac:dyDescent="0.25">
      <c r="A147" s="491" t="s">
        <v>674</v>
      </c>
      <c r="B147" s="492"/>
      <c r="C147" s="186"/>
      <c r="D147" s="187"/>
      <c r="E147" s="197"/>
    </row>
    <row r="148" spans="1:5" ht="17.25" customHeight="1" x14ac:dyDescent="0.25">
      <c r="A148" s="500" t="s">
        <v>675</v>
      </c>
      <c r="B148" s="486"/>
      <c r="C148" s="195"/>
      <c r="D148" s="193"/>
      <c r="E148" s="197"/>
    </row>
    <row r="149" spans="1:5" x14ac:dyDescent="0.25">
      <c r="A149" s="171" t="s">
        <v>7</v>
      </c>
      <c r="B149" s="126" t="s">
        <v>8</v>
      </c>
      <c r="C149" s="171" t="s">
        <v>9</v>
      </c>
      <c r="D149" s="127" t="s">
        <v>472</v>
      </c>
    </row>
    <row r="150" spans="1:5" x14ac:dyDescent="0.25">
      <c r="A150" s="135" t="s">
        <v>676</v>
      </c>
      <c r="B150" s="135" t="s">
        <v>677</v>
      </c>
      <c r="C150" s="128" t="s">
        <v>622</v>
      </c>
      <c r="D150" s="160">
        <v>200</v>
      </c>
    </row>
    <row r="151" spans="1:5" x14ac:dyDescent="0.25">
      <c r="A151" s="132" t="s">
        <v>678</v>
      </c>
      <c r="B151" s="132" t="s">
        <v>679</v>
      </c>
      <c r="C151" s="130" t="s">
        <v>622</v>
      </c>
      <c r="D151" s="159">
        <v>200</v>
      </c>
    </row>
    <row r="152" spans="1:5" x14ac:dyDescent="0.25">
      <c r="A152" s="135" t="s">
        <v>680</v>
      </c>
      <c r="B152" s="135" t="s">
        <v>681</v>
      </c>
      <c r="C152" s="128" t="s">
        <v>622</v>
      </c>
      <c r="D152" s="160">
        <v>20</v>
      </c>
    </row>
    <row r="153" spans="1:5" x14ac:dyDescent="0.25">
      <c r="A153" s="132" t="s">
        <v>682</v>
      </c>
      <c r="B153" s="132" t="s">
        <v>683</v>
      </c>
      <c r="C153" s="130" t="s">
        <v>622</v>
      </c>
      <c r="D153" s="159">
        <v>150</v>
      </c>
    </row>
    <row r="154" spans="1:5" x14ac:dyDescent="0.25">
      <c r="A154" s="135" t="s">
        <v>684</v>
      </c>
      <c r="B154" s="135" t="s">
        <v>685</v>
      </c>
      <c r="C154" s="128" t="s">
        <v>622</v>
      </c>
      <c r="D154" s="160">
        <v>300</v>
      </c>
    </row>
    <row r="155" spans="1:5" x14ac:dyDescent="0.25">
      <c r="A155" s="132" t="s">
        <v>686</v>
      </c>
      <c r="B155" s="132" t="s">
        <v>687</v>
      </c>
      <c r="C155" s="130" t="s">
        <v>622</v>
      </c>
      <c r="D155" s="159">
        <v>50</v>
      </c>
    </row>
    <row r="156" spans="1:5" x14ac:dyDescent="0.25">
      <c r="A156" s="135" t="s">
        <v>688</v>
      </c>
      <c r="B156" s="135" t="s">
        <v>689</v>
      </c>
      <c r="C156" s="128" t="s">
        <v>622</v>
      </c>
      <c r="D156" s="160">
        <v>70</v>
      </c>
    </row>
    <row r="157" spans="1:5" x14ac:dyDescent="0.25">
      <c r="A157" s="132" t="s">
        <v>690</v>
      </c>
      <c r="B157" s="132" t="s">
        <v>691</v>
      </c>
      <c r="C157" s="130" t="s">
        <v>622</v>
      </c>
      <c r="D157" s="159">
        <v>40</v>
      </c>
    </row>
    <row r="159" spans="1:5" ht="17.25" customHeight="1" x14ac:dyDescent="0.3">
      <c r="A159" s="487" t="s">
        <v>692</v>
      </c>
      <c r="B159" s="488"/>
      <c r="C159" s="175"/>
      <c r="D159" s="187"/>
    </row>
    <row r="160" spans="1:5" x14ac:dyDescent="0.25">
      <c r="A160" s="199" t="s">
        <v>7</v>
      </c>
      <c r="B160" s="126" t="s">
        <v>8</v>
      </c>
      <c r="C160" s="199" t="s">
        <v>9</v>
      </c>
      <c r="D160" s="200" t="s">
        <v>472</v>
      </c>
    </row>
    <row r="161" spans="1:4" x14ac:dyDescent="0.25">
      <c r="A161" s="201" t="s">
        <v>693</v>
      </c>
      <c r="B161" s="201" t="s">
        <v>694</v>
      </c>
      <c r="C161" s="201" t="s">
        <v>622</v>
      </c>
      <c r="D161" s="202">
        <v>800</v>
      </c>
    </row>
    <row r="162" spans="1:4" x14ac:dyDescent="0.25">
      <c r="A162" s="203" t="s">
        <v>695</v>
      </c>
      <c r="B162" s="203" t="s">
        <v>696</v>
      </c>
      <c r="C162" s="203" t="s">
        <v>697</v>
      </c>
      <c r="D162" s="204">
        <v>3000</v>
      </c>
    </row>
    <row r="163" spans="1:4" x14ac:dyDescent="0.25">
      <c r="A163" s="201" t="s">
        <v>698</v>
      </c>
      <c r="B163" s="201" t="s">
        <v>699</v>
      </c>
      <c r="C163" s="201" t="s">
        <v>622</v>
      </c>
      <c r="D163" s="202">
        <v>1000</v>
      </c>
    </row>
    <row r="164" spans="1:4" x14ac:dyDescent="0.25">
      <c r="A164" s="203" t="s">
        <v>700</v>
      </c>
      <c r="B164" s="203" t="s">
        <v>701</v>
      </c>
      <c r="C164" s="203" t="s">
        <v>697</v>
      </c>
      <c r="D164" s="204">
        <v>4000</v>
      </c>
    </row>
    <row r="165" spans="1:4" x14ac:dyDescent="0.25">
      <c r="A165" s="201" t="s">
        <v>702</v>
      </c>
      <c r="B165" s="201" t="s">
        <v>703</v>
      </c>
      <c r="C165" s="201" t="s">
        <v>622</v>
      </c>
      <c r="D165" s="202">
        <v>1500</v>
      </c>
    </row>
    <row r="166" spans="1:4" x14ac:dyDescent="0.25">
      <c r="A166" s="203" t="s">
        <v>704</v>
      </c>
      <c r="B166" s="203" t="s">
        <v>705</v>
      </c>
      <c r="C166" s="203" t="s">
        <v>697</v>
      </c>
      <c r="D166" s="204">
        <v>6000</v>
      </c>
    </row>
    <row r="167" spans="1:4" x14ac:dyDescent="0.25">
      <c r="A167" s="201" t="s">
        <v>706</v>
      </c>
      <c r="B167" s="201" t="s">
        <v>707</v>
      </c>
      <c r="C167" s="201" t="s">
        <v>622</v>
      </c>
      <c r="D167" s="202">
        <v>1000</v>
      </c>
    </row>
    <row r="168" spans="1:4" x14ac:dyDescent="0.25">
      <c r="A168" s="203" t="s">
        <v>708</v>
      </c>
      <c r="B168" s="203" t="s">
        <v>709</v>
      </c>
      <c r="C168" s="203" t="s">
        <v>697</v>
      </c>
      <c r="D168" s="204">
        <v>4000</v>
      </c>
    </row>
    <row r="169" spans="1:4" x14ac:dyDescent="0.25">
      <c r="D169" s="205"/>
    </row>
    <row r="170" spans="1:4" ht="17.25" customHeight="1" x14ac:dyDescent="0.25">
      <c r="A170" s="487" t="s">
        <v>710</v>
      </c>
      <c r="B170" s="488"/>
      <c r="C170" s="206"/>
      <c r="D170" s="207"/>
    </row>
    <row r="171" spans="1:4" ht="17.25" customHeight="1" x14ac:dyDescent="0.25">
      <c r="A171" s="487" t="s">
        <v>711</v>
      </c>
      <c r="B171" s="488"/>
      <c r="C171" s="206"/>
      <c r="D171" s="208"/>
    </row>
    <row r="172" spans="1:4" x14ac:dyDescent="0.25">
      <c r="A172" s="199" t="s">
        <v>7</v>
      </c>
      <c r="B172" s="126" t="s">
        <v>8</v>
      </c>
      <c r="C172" s="199" t="s">
        <v>9</v>
      </c>
      <c r="D172" s="200" t="s">
        <v>472</v>
      </c>
    </row>
    <row r="173" spans="1:4" x14ac:dyDescent="0.25">
      <c r="A173" s="201" t="s">
        <v>712</v>
      </c>
      <c r="B173" s="201" t="s">
        <v>713</v>
      </c>
      <c r="C173" s="201" t="s">
        <v>622</v>
      </c>
      <c r="D173" s="202">
        <v>200</v>
      </c>
    </row>
    <row r="174" spans="1:4" x14ac:dyDescent="0.25">
      <c r="A174" s="203" t="s">
        <v>714</v>
      </c>
      <c r="B174" s="203" t="s">
        <v>715</v>
      </c>
      <c r="C174" s="203" t="s">
        <v>697</v>
      </c>
      <c r="D174" s="204">
        <v>1000</v>
      </c>
    </row>
    <row r="175" spans="1:4" x14ac:dyDescent="0.25">
      <c r="A175" s="201" t="s">
        <v>716</v>
      </c>
      <c r="B175" s="201" t="s">
        <v>717</v>
      </c>
      <c r="C175" s="201" t="s">
        <v>622</v>
      </c>
      <c r="D175" s="202">
        <v>325</v>
      </c>
    </row>
    <row r="176" spans="1:4" x14ac:dyDescent="0.25">
      <c r="A176" s="203" t="s">
        <v>718</v>
      </c>
      <c r="B176" s="203" t="s">
        <v>719</v>
      </c>
      <c r="C176" s="203" t="s">
        <v>697</v>
      </c>
      <c r="D176" s="204">
        <v>1700</v>
      </c>
    </row>
    <row r="177" spans="1:4" x14ac:dyDescent="0.25">
      <c r="A177" s="201" t="s">
        <v>720</v>
      </c>
      <c r="B177" s="201" t="s">
        <v>721</v>
      </c>
      <c r="C177" s="201" t="s">
        <v>622</v>
      </c>
      <c r="D177" s="202">
        <v>400</v>
      </c>
    </row>
    <row r="178" spans="1:4" x14ac:dyDescent="0.25">
      <c r="A178" s="203" t="s">
        <v>722</v>
      </c>
      <c r="B178" s="203" t="s">
        <v>723</v>
      </c>
      <c r="C178" s="203" t="s">
        <v>697</v>
      </c>
      <c r="D178" s="204">
        <v>200</v>
      </c>
    </row>
    <row r="179" spans="1:4" x14ac:dyDescent="0.25">
      <c r="D179" s="205"/>
    </row>
    <row r="180" spans="1:4" ht="17.25" customHeight="1" x14ac:dyDescent="0.25">
      <c r="A180" s="490" t="s">
        <v>724</v>
      </c>
      <c r="B180" s="483"/>
      <c r="C180" s="138"/>
      <c r="D180" s="187"/>
    </row>
    <row r="181" spans="1:4" x14ac:dyDescent="0.25">
      <c r="A181" s="199" t="s">
        <v>7</v>
      </c>
      <c r="B181" s="126" t="s">
        <v>8</v>
      </c>
      <c r="C181" s="199" t="s">
        <v>9</v>
      </c>
      <c r="D181" s="200" t="s">
        <v>472</v>
      </c>
    </row>
    <row r="182" spans="1:4" x14ac:dyDescent="0.25">
      <c r="A182" s="201" t="s">
        <v>725</v>
      </c>
      <c r="B182" s="201" t="s">
        <v>726</v>
      </c>
      <c r="C182" s="201" t="s">
        <v>622</v>
      </c>
      <c r="D182" s="202">
        <v>150</v>
      </c>
    </row>
    <row r="183" spans="1:4" x14ac:dyDescent="0.25">
      <c r="A183" s="203" t="s">
        <v>727</v>
      </c>
      <c r="B183" s="203" t="s">
        <v>728</v>
      </c>
      <c r="C183" s="203" t="s">
        <v>697</v>
      </c>
      <c r="D183" s="204">
        <v>300</v>
      </c>
    </row>
    <row r="184" spans="1:4" x14ac:dyDescent="0.25">
      <c r="A184" s="201" t="s">
        <v>729</v>
      </c>
      <c r="B184" s="201" t="s">
        <v>730</v>
      </c>
      <c r="C184" s="201" t="s">
        <v>622</v>
      </c>
      <c r="D184" s="202">
        <v>300</v>
      </c>
    </row>
    <row r="185" spans="1:4" x14ac:dyDescent="0.25">
      <c r="A185" s="203" t="s">
        <v>731</v>
      </c>
      <c r="B185" s="203" t="s">
        <v>732</v>
      </c>
      <c r="C185" s="203" t="s">
        <v>697</v>
      </c>
      <c r="D185" s="204">
        <v>600</v>
      </c>
    </row>
    <row r="186" spans="1:4" x14ac:dyDescent="0.25">
      <c r="A186" s="201" t="s">
        <v>733</v>
      </c>
      <c r="B186" s="201" t="s">
        <v>734</v>
      </c>
      <c r="C186" s="201" t="s">
        <v>622</v>
      </c>
      <c r="D186" s="202">
        <v>450</v>
      </c>
    </row>
    <row r="187" spans="1:4" x14ac:dyDescent="0.25">
      <c r="A187" s="203" t="s">
        <v>735</v>
      </c>
      <c r="B187" s="203" t="s">
        <v>736</v>
      </c>
      <c r="C187" s="203" t="s">
        <v>697</v>
      </c>
      <c r="D187" s="204">
        <v>1000</v>
      </c>
    </row>
    <row r="188" spans="1:4" x14ac:dyDescent="0.25">
      <c r="D188" s="205"/>
    </row>
    <row r="189" spans="1:4" ht="17.25" customHeight="1" x14ac:dyDescent="0.25">
      <c r="A189" s="490" t="s">
        <v>737</v>
      </c>
      <c r="B189" s="483"/>
      <c r="C189" s="138"/>
      <c r="D189" s="187"/>
    </row>
    <row r="190" spans="1:4" x14ac:dyDescent="0.25">
      <c r="A190" s="199" t="s">
        <v>7</v>
      </c>
      <c r="B190" s="126" t="s">
        <v>8</v>
      </c>
      <c r="C190" s="199" t="s">
        <v>9</v>
      </c>
      <c r="D190" s="200" t="s">
        <v>472</v>
      </c>
    </row>
    <row r="191" spans="1:4" x14ac:dyDescent="0.25">
      <c r="A191" s="201" t="s">
        <v>738</v>
      </c>
      <c r="B191" s="201" t="s">
        <v>739</v>
      </c>
      <c r="C191" s="201" t="s">
        <v>622</v>
      </c>
      <c r="D191" s="202">
        <v>1500</v>
      </c>
    </row>
    <row r="192" spans="1:4" x14ac:dyDescent="0.25">
      <c r="A192" s="203" t="s">
        <v>740</v>
      </c>
      <c r="B192" s="203" t="s">
        <v>741</v>
      </c>
      <c r="C192" s="203" t="s">
        <v>622</v>
      </c>
      <c r="D192" s="204">
        <v>3000</v>
      </c>
    </row>
    <row r="193" spans="1:4" x14ac:dyDescent="0.25">
      <c r="D193" s="205"/>
    </row>
    <row r="194" spans="1:4" ht="17.25" customHeight="1" x14ac:dyDescent="0.25">
      <c r="A194" s="490" t="s">
        <v>742</v>
      </c>
      <c r="B194" s="483"/>
      <c r="C194" s="138"/>
      <c r="D194" s="187"/>
    </row>
    <row r="195" spans="1:4" x14ac:dyDescent="0.25">
      <c r="A195" s="199" t="s">
        <v>7</v>
      </c>
      <c r="B195" s="126" t="s">
        <v>8</v>
      </c>
      <c r="C195" s="199" t="s">
        <v>9</v>
      </c>
      <c r="D195" s="200" t="s">
        <v>472</v>
      </c>
    </row>
    <row r="196" spans="1:4" x14ac:dyDescent="0.25">
      <c r="A196" s="201" t="s">
        <v>743</v>
      </c>
      <c r="B196" s="201" t="s">
        <v>744</v>
      </c>
      <c r="C196" s="201" t="s">
        <v>622</v>
      </c>
      <c r="D196" s="202">
        <v>250</v>
      </c>
    </row>
    <row r="197" spans="1:4" x14ac:dyDescent="0.25">
      <c r="A197" s="203" t="s">
        <v>745</v>
      </c>
      <c r="B197" s="203" t="s">
        <v>746</v>
      </c>
      <c r="C197" s="203" t="s">
        <v>697</v>
      </c>
      <c r="D197" s="204">
        <v>450</v>
      </c>
    </row>
    <row r="198" spans="1:4" x14ac:dyDescent="0.25">
      <c r="A198" s="201" t="s">
        <v>747</v>
      </c>
      <c r="B198" s="201" t="s">
        <v>748</v>
      </c>
      <c r="C198" s="201" t="s">
        <v>622</v>
      </c>
      <c r="D198" s="202">
        <v>400</v>
      </c>
    </row>
    <row r="199" spans="1:4" x14ac:dyDescent="0.25">
      <c r="A199" s="203" t="s">
        <v>749</v>
      </c>
      <c r="B199" s="203" t="s">
        <v>750</v>
      </c>
      <c r="C199" s="203" t="s">
        <v>697</v>
      </c>
      <c r="D199" s="204">
        <v>1150</v>
      </c>
    </row>
    <row r="200" spans="1:4" x14ac:dyDescent="0.25">
      <c r="A200" s="201" t="s">
        <v>751</v>
      </c>
      <c r="B200" s="201" t="s">
        <v>752</v>
      </c>
      <c r="C200" s="201" t="s">
        <v>622</v>
      </c>
      <c r="D200" s="202">
        <v>500</v>
      </c>
    </row>
    <row r="201" spans="1:4" x14ac:dyDescent="0.25">
      <c r="A201" s="203" t="s">
        <v>753</v>
      </c>
      <c r="B201" s="203" t="s">
        <v>754</v>
      </c>
      <c r="C201" s="203" t="s">
        <v>697</v>
      </c>
      <c r="D201" s="204">
        <v>2500</v>
      </c>
    </row>
    <row r="202" spans="1:4" x14ac:dyDescent="0.25">
      <c r="A202" s="201" t="s">
        <v>755</v>
      </c>
      <c r="B202" s="201" t="s">
        <v>756</v>
      </c>
      <c r="C202" s="201" t="s">
        <v>622</v>
      </c>
      <c r="D202" s="202">
        <v>750</v>
      </c>
    </row>
    <row r="203" spans="1:4" x14ac:dyDescent="0.25">
      <c r="A203" s="203" t="s">
        <v>757</v>
      </c>
      <c r="B203" s="203" t="s">
        <v>758</v>
      </c>
      <c r="C203" s="203" t="s">
        <v>697</v>
      </c>
      <c r="D203" s="204">
        <v>3750</v>
      </c>
    </row>
    <row r="205" spans="1:4" ht="17.25" customHeight="1" x14ac:dyDescent="0.25">
      <c r="A205" s="490" t="s">
        <v>759</v>
      </c>
      <c r="B205" s="483"/>
      <c r="C205" s="192"/>
      <c r="D205" s="190"/>
    </row>
    <row r="206" spans="1:4" x14ac:dyDescent="0.25">
      <c r="A206" s="209" t="s">
        <v>7</v>
      </c>
      <c r="B206" s="142" t="s">
        <v>8</v>
      </c>
      <c r="C206" s="209" t="s">
        <v>9</v>
      </c>
      <c r="D206" s="143" t="s">
        <v>472</v>
      </c>
    </row>
    <row r="207" spans="1:4" x14ac:dyDescent="0.25">
      <c r="A207" s="128" t="s">
        <v>760</v>
      </c>
      <c r="B207" s="128" t="s">
        <v>761</v>
      </c>
      <c r="C207" s="128" t="s">
        <v>622</v>
      </c>
      <c r="D207" s="129">
        <v>1000</v>
      </c>
    </row>
    <row r="208" spans="1:4" x14ac:dyDescent="0.25">
      <c r="A208" s="130" t="s">
        <v>762</v>
      </c>
      <c r="B208" s="130" t="s">
        <v>763</v>
      </c>
      <c r="C208" s="130" t="s">
        <v>697</v>
      </c>
      <c r="D208" s="131">
        <v>4500</v>
      </c>
    </row>
    <row r="209" spans="1:4" x14ac:dyDescent="0.25">
      <c r="D209" s="169"/>
    </row>
    <row r="210" spans="1:4" ht="17.25" customHeight="1" x14ac:dyDescent="0.25">
      <c r="A210" s="490" t="s">
        <v>764</v>
      </c>
      <c r="B210" s="483"/>
      <c r="C210" s="192"/>
      <c r="D210" s="190"/>
    </row>
    <row r="211" spans="1:4" x14ac:dyDescent="0.25">
      <c r="A211" s="209" t="s">
        <v>7</v>
      </c>
      <c r="B211" s="142" t="s">
        <v>8</v>
      </c>
      <c r="C211" s="209" t="s">
        <v>9</v>
      </c>
      <c r="D211" s="143" t="s">
        <v>472</v>
      </c>
    </row>
    <row r="212" spans="1:4" x14ac:dyDescent="0.25">
      <c r="A212" s="128" t="s">
        <v>765</v>
      </c>
      <c r="B212" s="128" t="s">
        <v>766</v>
      </c>
      <c r="C212" s="128" t="s">
        <v>622</v>
      </c>
      <c r="D212" s="129">
        <v>500</v>
      </c>
    </row>
    <row r="213" spans="1:4" x14ac:dyDescent="0.25">
      <c r="A213" s="130" t="s">
        <v>767</v>
      </c>
      <c r="B213" s="130" t="s">
        <v>768</v>
      </c>
      <c r="C213" s="130" t="s">
        <v>769</v>
      </c>
      <c r="D213" s="131">
        <v>2300</v>
      </c>
    </row>
    <row r="214" spans="1:4" x14ac:dyDescent="0.25">
      <c r="A214" s="128" t="s">
        <v>770</v>
      </c>
      <c r="B214" s="128" t="s">
        <v>771</v>
      </c>
      <c r="C214" s="128" t="s">
        <v>628</v>
      </c>
      <c r="D214" s="129">
        <v>400</v>
      </c>
    </row>
    <row r="215" spans="1:4" x14ac:dyDescent="0.25">
      <c r="A215" s="130" t="s">
        <v>772</v>
      </c>
      <c r="B215" s="130" t="s">
        <v>773</v>
      </c>
      <c r="C215" s="130" t="s">
        <v>622</v>
      </c>
      <c r="D215" s="131">
        <v>700</v>
      </c>
    </row>
    <row r="216" spans="1:4" x14ac:dyDescent="0.25">
      <c r="A216" s="128" t="s">
        <v>774</v>
      </c>
      <c r="B216" s="128" t="s">
        <v>775</v>
      </c>
      <c r="C216" s="128" t="s">
        <v>769</v>
      </c>
      <c r="D216" s="129">
        <v>3000</v>
      </c>
    </row>
    <row r="217" spans="1:4" x14ac:dyDescent="0.25">
      <c r="A217" s="130" t="s">
        <v>776</v>
      </c>
      <c r="B217" s="130" t="s">
        <v>777</v>
      </c>
      <c r="C217" s="130" t="s">
        <v>628</v>
      </c>
      <c r="D217" s="131">
        <v>500</v>
      </c>
    </row>
    <row r="218" spans="1:4" x14ac:dyDescent="0.25">
      <c r="D218" s="169"/>
    </row>
    <row r="219" spans="1:4" ht="17.25" customHeight="1" x14ac:dyDescent="0.25">
      <c r="A219" s="490" t="s">
        <v>778</v>
      </c>
      <c r="B219" s="483"/>
      <c r="C219" s="189"/>
      <c r="D219" s="190"/>
    </row>
    <row r="220" spans="1:4" ht="17.25" customHeight="1" x14ac:dyDescent="0.25">
      <c r="A220" s="490" t="s">
        <v>779</v>
      </c>
      <c r="B220" s="483"/>
      <c r="C220" s="192"/>
      <c r="D220" s="193"/>
    </row>
    <row r="221" spans="1:4" x14ac:dyDescent="0.25">
      <c r="A221" s="209" t="s">
        <v>7</v>
      </c>
      <c r="B221" s="142" t="s">
        <v>8</v>
      </c>
      <c r="C221" s="209" t="s">
        <v>9</v>
      </c>
      <c r="D221" s="143" t="s">
        <v>472</v>
      </c>
    </row>
    <row r="222" spans="1:4" x14ac:dyDescent="0.25">
      <c r="A222" s="128" t="s">
        <v>780</v>
      </c>
      <c r="B222" s="128" t="s">
        <v>781</v>
      </c>
      <c r="C222" s="128" t="s">
        <v>622</v>
      </c>
      <c r="D222" s="129">
        <v>600</v>
      </c>
    </row>
    <row r="223" spans="1:4" x14ac:dyDescent="0.25">
      <c r="A223" s="130" t="s">
        <v>782</v>
      </c>
      <c r="B223" s="130" t="s">
        <v>783</v>
      </c>
      <c r="C223" s="130" t="s">
        <v>697</v>
      </c>
      <c r="D223" s="131">
        <v>1000</v>
      </c>
    </row>
    <row r="224" spans="1:4" x14ac:dyDescent="0.25">
      <c r="A224" s="128" t="s">
        <v>784</v>
      </c>
      <c r="B224" s="128" t="s">
        <v>785</v>
      </c>
      <c r="C224" s="128" t="s">
        <v>622</v>
      </c>
      <c r="D224" s="129">
        <v>400</v>
      </c>
    </row>
    <row r="225" spans="1:4" x14ac:dyDescent="0.25">
      <c r="A225" s="130" t="s">
        <v>786</v>
      </c>
      <c r="B225" s="130" t="s">
        <v>787</v>
      </c>
      <c r="C225" s="130" t="s">
        <v>697</v>
      </c>
      <c r="D225" s="131">
        <v>800</v>
      </c>
    </row>
    <row r="226" spans="1:4" x14ac:dyDescent="0.25">
      <c r="D226" s="169"/>
    </row>
    <row r="227" spans="1:4" ht="17.25" customHeight="1" x14ac:dyDescent="0.25">
      <c r="A227" s="490" t="s">
        <v>788</v>
      </c>
      <c r="B227" s="483"/>
      <c r="C227" s="192"/>
      <c r="D227" s="190"/>
    </row>
    <row r="228" spans="1:4" x14ac:dyDescent="0.25">
      <c r="A228" s="209" t="s">
        <v>7</v>
      </c>
      <c r="B228" s="142" t="s">
        <v>8</v>
      </c>
      <c r="C228" s="209" t="s">
        <v>9</v>
      </c>
      <c r="D228" s="143" t="s">
        <v>472</v>
      </c>
    </row>
    <row r="229" spans="1:4" x14ac:dyDescent="0.25">
      <c r="A229" s="128" t="s">
        <v>789</v>
      </c>
      <c r="B229" s="128" t="s">
        <v>790</v>
      </c>
      <c r="C229" s="128" t="s">
        <v>622</v>
      </c>
      <c r="D229" s="129">
        <v>90</v>
      </c>
    </row>
    <row r="230" spans="1:4" x14ac:dyDescent="0.25">
      <c r="A230" s="130" t="s">
        <v>791</v>
      </c>
      <c r="B230" s="130" t="s">
        <v>792</v>
      </c>
      <c r="C230" s="130" t="s">
        <v>622</v>
      </c>
      <c r="D230" s="131">
        <v>120</v>
      </c>
    </row>
    <row r="231" spans="1:4" x14ac:dyDescent="0.25">
      <c r="A231" s="128" t="s">
        <v>793</v>
      </c>
      <c r="B231" s="128" t="s">
        <v>794</v>
      </c>
      <c r="C231" s="128" t="s">
        <v>622</v>
      </c>
      <c r="D231" s="129">
        <v>200</v>
      </c>
    </row>
    <row r="232" spans="1:4" x14ac:dyDescent="0.25">
      <c r="D232" s="169"/>
    </row>
    <row r="233" spans="1:4" ht="17.25" customHeight="1" x14ac:dyDescent="0.25">
      <c r="A233" s="490" t="s">
        <v>795</v>
      </c>
      <c r="B233" s="483"/>
      <c r="C233" s="192"/>
      <c r="D233" s="190"/>
    </row>
    <row r="234" spans="1:4" x14ac:dyDescent="0.25">
      <c r="A234" s="209" t="s">
        <v>7</v>
      </c>
      <c r="B234" s="142" t="s">
        <v>8</v>
      </c>
      <c r="C234" s="209" t="s">
        <v>9</v>
      </c>
      <c r="D234" s="143" t="s">
        <v>472</v>
      </c>
    </row>
    <row r="235" spans="1:4" ht="29.25" customHeight="1" x14ac:dyDescent="0.25">
      <c r="A235" s="128" t="s">
        <v>796</v>
      </c>
      <c r="B235" s="135" t="s">
        <v>797</v>
      </c>
      <c r="C235" s="128" t="s">
        <v>671</v>
      </c>
      <c r="D235" s="129">
        <v>2.5</v>
      </c>
    </row>
    <row r="236" spans="1:4" x14ac:dyDescent="0.25">
      <c r="A236" s="130" t="s">
        <v>798</v>
      </c>
      <c r="B236" s="130" t="s">
        <v>799</v>
      </c>
      <c r="C236" s="130" t="s">
        <v>671</v>
      </c>
      <c r="D236" s="131">
        <v>2</v>
      </c>
    </row>
    <row r="239" spans="1:4" x14ac:dyDescent="0.25">
      <c r="A239" s="503" t="s">
        <v>800</v>
      </c>
      <c r="B239" s="504"/>
      <c r="C239" s="504"/>
      <c r="D239" s="492"/>
    </row>
    <row r="240" spans="1:4" x14ac:dyDescent="0.25">
      <c r="A240" s="502" t="s">
        <v>801</v>
      </c>
      <c r="B240" s="476"/>
      <c r="C240" s="476"/>
      <c r="D240" s="477"/>
    </row>
    <row r="241" spans="1:4" x14ac:dyDescent="0.25">
      <c r="A241" s="502" t="s">
        <v>802</v>
      </c>
      <c r="B241" s="476"/>
      <c r="C241" s="476"/>
      <c r="D241" s="477"/>
    </row>
    <row r="242" spans="1:4" x14ac:dyDescent="0.25">
      <c r="A242" s="502" t="s">
        <v>803</v>
      </c>
      <c r="B242" s="476"/>
      <c r="C242" s="476"/>
      <c r="D242" s="477"/>
    </row>
    <row r="243" spans="1:4" x14ac:dyDescent="0.25">
      <c r="A243" s="502" t="s">
        <v>804</v>
      </c>
      <c r="B243" s="476"/>
      <c r="C243" s="476"/>
      <c r="D243" s="477"/>
    </row>
    <row r="244" spans="1:4" x14ac:dyDescent="0.25">
      <c r="A244" s="501"/>
      <c r="B244" s="476"/>
      <c r="C244" s="476"/>
      <c r="D244" s="477"/>
    </row>
    <row r="245" spans="1:4" x14ac:dyDescent="0.25">
      <c r="A245" s="502" t="s">
        <v>805</v>
      </c>
      <c r="B245" s="476"/>
      <c r="C245" s="476"/>
      <c r="D245" s="477"/>
    </row>
    <row r="246" spans="1:4" x14ac:dyDescent="0.25">
      <c r="A246" s="502" t="s">
        <v>806</v>
      </c>
      <c r="B246" s="476"/>
      <c r="C246" s="476"/>
      <c r="D246" s="477"/>
    </row>
    <row r="247" spans="1:4" x14ac:dyDescent="0.25">
      <c r="A247" s="502" t="s">
        <v>807</v>
      </c>
      <c r="B247" s="476"/>
      <c r="C247" s="476"/>
      <c r="D247" s="477"/>
    </row>
    <row r="248" spans="1:4" x14ac:dyDescent="0.25">
      <c r="A248" s="502" t="s">
        <v>808</v>
      </c>
      <c r="B248" s="476"/>
      <c r="C248" s="476"/>
      <c r="D248" s="477"/>
    </row>
    <row r="249" spans="1:4" x14ac:dyDescent="0.25">
      <c r="A249" s="501"/>
      <c r="B249" s="476"/>
      <c r="C249" s="476"/>
      <c r="D249" s="477"/>
    </row>
    <row r="250" spans="1:4" x14ac:dyDescent="0.25">
      <c r="A250" s="502" t="s">
        <v>809</v>
      </c>
      <c r="B250" s="476"/>
      <c r="C250" s="476"/>
      <c r="D250" s="477"/>
    </row>
    <row r="251" spans="1:4" x14ac:dyDescent="0.25">
      <c r="A251" s="502" t="s">
        <v>810</v>
      </c>
      <c r="B251" s="476"/>
      <c r="C251" s="476"/>
      <c r="D251" s="477"/>
    </row>
    <row r="252" spans="1:4" x14ac:dyDescent="0.25">
      <c r="A252" s="501"/>
      <c r="B252" s="476"/>
      <c r="C252" s="476"/>
      <c r="D252" s="477"/>
    </row>
    <row r="253" spans="1:4" x14ac:dyDescent="0.25">
      <c r="A253" s="502" t="s">
        <v>811</v>
      </c>
      <c r="B253" s="476"/>
      <c r="C253" s="476"/>
      <c r="D253" s="477"/>
    </row>
    <row r="254" spans="1:4" x14ac:dyDescent="0.25">
      <c r="A254" s="506" t="s">
        <v>812</v>
      </c>
      <c r="B254" s="485"/>
      <c r="C254" s="485"/>
      <c r="D254" s="486"/>
    </row>
    <row r="255" spans="1:4" x14ac:dyDescent="0.25">
      <c r="C255" s="169"/>
    </row>
    <row r="256" spans="1:4" x14ac:dyDescent="0.25">
      <c r="C256" s="169"/>
    </row>
    <row r="257" spans="1:6" ht="17.25" customHeight="1" x14ac:dyDescent="0.25">
      <c r="A257" s="508" t="s">
        <v>813</v>
      </c>
      <c r="B257" s="504"/>
      <c r="C257" s="210"/>
      <c r="D257" s="211"/>
      <c r="E257" s="211"/>
      <c r="F257" s="211"/>
    </row>
    <row r="258" spans="1:6" ht="17.25" customHeight="1" x14ac:dyDescent="0.25">
      <c r="A258" s="505" t="s">
        <v>814</v>
      </c>
      <c r="B258" s="485"/>
      <c r="C258" s="193"/>
      <c r="D258" s="211"/>
      <c r="E258" s="211"/>
      <c r="F258" s="211"/>
    </row>
    <row r="259" spans="1:6" x14ac:dyDescent="0.25">
      <c r="A259" s="503" t="s">
        <v>815</v>
      </c>
      <c r="B259" s="504"/>
      <c r="C259" s="492"/>
    </row>
    <row r="260" spans="1:6" x14ac:dyDescent="0.25">
      <c r="A260" s="506" t="s">
        <v>816</v>
      </c>
      <c r="B260" s="485"/>
      <c r="C260" s="486"/>
    </row>
    <row r="261" spans="1:6" ht="17.25" customHeight="1" x14ac:dyDescent="0.25">
      <c r="A261" s="487" t="s">
        <v>817</v>
      </c>
      <c r="B261" s="488"/>
      <c r="C261" s="125"/>
    </row>
    <row r="262" spans="1:6" x14ac:dyDescent="0.25">
      <c r="A262" s="209" t="s">
        <v>7</v>
      </c>
      <c r="B262" s="142" t="s">
        <v>8</v>
      </c>
      <c r="C262" s="143" t="s">
        <v>472</v>
      </c>
    </row>
    <row r="263" spans="1:6" x14ac:dyDescent="0.25">
      <c r="A263" s="128" t="s">
        <v>818</v>
      </c>
      <c r="B263" s="128" t="s">
        <v>819</v>
      </c>
      <c r="C263" s="129">
        <v>17621</v>
      </c>
    </row>
    <row r="264" spans="1:6" x14ac:dyDescent="0.25">
      <c r="A264" s="130" t="s">
        <v>820</v>
      </c>
      <c r="B264" s="130" t="s">
        <v>821</v>
      </c>
      <c r="C264" s="131">
        <v>17795</v>
      </c>
    </row>
    <row r="265" spans="1:6" x14ac:dyDescent="0.25">
      <c r="A265" s="128" t="s">
        <v>822</v>
      </c>
      <c r="B265" s="128" t="s">
        <v>823</v>
      </c>
      <c r="C265" s="129">
        <v>17966</v>
      </c>
    </row>
    <row r="266" spans="1:6" x14ac:dyDescent="0.25">
      <c r="A266" s="130" t="s">
        <v>824</v>
      </c>
      <c r="B266" s="130" t="s">
        <v>825</v>
      </c>
      <c r="C266" s="131">
        <v>18137</v>
      </c>
    </row>
    <row r="267" spans="1:6" x14ac:dyDescent="0.25">
      <c r="A267" s="128" t="s">
        <v>826</v>
      </c>
      <c r="B267" s="128" t="s">
        <v>827</v>
      </c>
      <c r="C267" s="129">
        <v>18313</v>
      </c>
    </row>
    <row r="268" spans="1:6" x14ac:dyDescent="0.25">
      <c r="A268" s="130" t="s">
        <v>828</v>
      </c>
      <c r="B268" s="130" t="s">
        <v>829</v>
      </c>
      <c r="C268" s="131">
        <v>18487</v>
      </c>
    </row>
    <row r="269" spans="1:6" x14ac:dyDescent="0.25">
      <c r="A269" s="128" t="s">
        <v>830</v>
      </c>
      <c r="B269" s="128" t="s">
        <v>831</v>
      </c>
      <c r="C269" s="129">
        <v>18659</v>
      </c>
    </row>
    <row r="270" spans="1:6" x14ac:dyDescent="0.25">
      <c r="A270" s="130" t="s">
        <v>832</v>
      </c>
      <c r="B270" s="130" t="s">
        <v>833</v>
      </c>
      <c r="C270" s="131">
        <v>18833</v>
      </c>
    </row>
    <row r="271" spans="1:6" x14ac:dyDescent="0.25">
      <c r="A271" s="128" t="s">
        <v>834</v>
      </c>
      <c r="B271" s="128" t="s">
        <v>835</v>
      </c>
      <c r="C271" s="129">
        <v>19008</v>
      </c>
    </row>
    <row r="272" spans="1:6" x14ac:dyDescent="0.25">
      <c r="A272" s="130" t="s">
        <v>836</v>
      </c>
      <c r="B272" s="130" t="s">
        <v>837</v>
      </c>
      <c r="C272" s="131">
        <v>19183</v>
      </c>
    </row>
    <row r="273" spans="1:3" x14ac:dyDescent="0.25">
      <c r="A273" s="128" t="s">
        <v>838</v>
      </c>
      <c r="B273" s="128" t="s">
        <v>839</v>
      </c>
      <c r="C273" s="129">
        <v>243</v>
      </c>
    </row>
    <row r="276" spans="1:3" ht="17.25" customHeight="1" x14ac:dyDescent="0.25">
      <c r="A276" s="507" t="s">
        <v>840</v>
      </c>
      <c r="B276" s="483"/>
      <c r="C276" s="488"/>
    </row>
    <row r="277" spans="1:3" ht="17.25" customHeight="1" x14ac:dyDescent="0.25">
      <c r="A277" s="487" t="s">
        <v>841</v>
      </c>
      <c r="B277" s="483"/>
      <c r="C277" s="488"/>
    </row>
    <row r="278" spans="1:3" x14ac:dyDescent="0.25">
      <c r="A278" s="213" t="s">
        <v>842</v>
      </c>
      <c r="B278" s="214"/>
      <c r="C278" s="215" t="s">
        <v>843</v>
      </c>
    </row>
    <row r="279" spans="1:3" x14ac:dyDescent="0.25">
      <c r="A279" s="216" t="s">
        <v>844</v>
      </c>
      <c r="B279" s="217"/>
      <c r="C279" s="218" t="s">
        <v>845</v>
      </c>
    </row>
    <row r="280" spans="1:3" x14ac:dyDescent="0.25">
      <c r="A280" s="219" t="s">
        <v>846</v>
      </c>
      <c r="B280" s="220"/>
      <c r="C280" s="215" t="s">
        <v>847</v>
      </c>
    </row>
    <row r="281" spans="1:3" x14ac:dyDescent="0.25">
      <c r="A281" s="216" t="s">
        <v>848</v>
      </c>
      <c r="B281" s="220"/>
      <c r="C281" s="218" t="s">
        <v>849</v>
      </c>
    </row>
    <row r="282" spans="1:3" x14ac:dyDescent="0.25">
      <c r="A282" s="221" t="s">
        <v>850</v>
      </c>
      <c r="B282" s="220"/>
      <c r="C282" s="222" t="s">
        <v>851</v>
      </c>
    </row>
    <row r="283" spans="1:3" x14ac:dyDescent="0.25">
      <c r="A283" s="223" t="s">
        <v>852</v>
      </c>
      <c r="B283" s="220"/>
      <c r="C283" s="215" t="s">
        <v>853</v>
      </c>
    </row>
    <row r="284" spans="1:3" x14ac:dyDescent="0.25">
      <c r="A284" s="223" t="s">
        <v>854</v>
      </c>
      <c r="B284" s="220"/>
      <c r="C284" s="218" t="s">
        <v>855</v>
      </c>
    </row>
    <row r="285" spans="1:3" x14ac:dyDescent="0.25">
      <c r="A285" s="223" t="s">
        <v>856</v>
      </c>
      <c r="B285" s="220"/>
      <c r="C285" s="222"/>
    </row>
    <row r="286" spans="1:3" ht="15.75" thickBot="1" x14ac:dyDescent="0.3">
      <c r="A286" s="224" t="s">
        <v>857</v>
      </c>
      <c r="B286" s="225"/>
      <c r="C286" s="226"/>
    </row>
    <row r="287" spans="1:3" x14ac:dyDescent="0.25">
      <c r="C287" s="169"/>
    </row>
    <row r="288" spans="1:3" x14ac:dyDescent="0.25">
      <c r="C288" s="169"/>
    </row>
    <row r="289" spans="1:3" ht="17.25" customHeight="1" x14ac:dyDescent="0.25">
      <c r="A289" s="490" t="s">
        <v>858</v>
      </c>
      <c r="B289" s="483"/>
      <c r="C289" s="187"/>
    </row>
    <row r="290" spans="1:3" x14ac:dyDescent="0.25">
      <c r="A290" s="171" t="s">
        <v>7</v>
      </c>
      <c r="B290" s="126" t="s">
        <v>8</v>
      </c>
      <c r="C290" s="127" t="s">
        <v>472</v>
      </c>
    </row>
    <row r="291" spans="1:3" x14ac:dyDescent="0.25">
      <c r="A291" s="227" t="s">
        <v>859</v>
      </c>
      <c r="B291" s="128" t="s">
        <v>860</v>
      </c>
      <c r="C291" s="129">
        <v>107</v>
      </c>
    </row>
    <row r="292" spans="1:3" x14ac:dyDescent="0.25">
      <c r="A292" s="130" t="s">
        <v>861</v>
      </c>
      <c r="B292" s="130" t="s">
        <v>862</v>
      </c>
      <c r="C292" s="131">
        <v>3.9</v>
      </c>
    </row>
    <row r="293" spans="1:3" x14ac:dyDescent="0.25">
      <c r="A293" s="128" t="s">
        <v>863</v>
      </c>
      <c r="B293" s="128" t="s">
        <v>864</v>
      </c>
      <c r="C293" s="129">
        <v>4.5</v>
      </c>
    </row>
    <row r="294" spans="1:3" x14ac:dyDescent="0.25">
      <c r="A294" s="130" t="s">
        <v>865</v>
      </c>
      <c r="B294" s="130" t="s">
        <v>866</v>
      </c>
      <c r="C294" s="131">
        <v>447</v>
      </c>
    </row>
    <row r="295" spans="1:3" x14ac:dyDescent="0.25">
      <c r="A295" s="128" t="s">
        <v>867</v>
      </c>
      <c r="B295" s="128" t="s">
        <v>868</v>
      </c>
      <c r="C295" s="129">
        <v>1850</v>
      </c>
    </row>
    <row r="296" spans="1:3" x14ac:dyDescent="0.25">
      <c r="A296" s="130" t="s">
        <v>869</v>
      </c>
      <c r="B296" s="130" t="s">
        <v>870</v>
      </c>
      <c r="C296" s="131">
        <v>2260</v>
      </c>
    </row>
    <row r="297" spans="1:3" x14ac:dyDescent="0.25">
      <c r="A297" s="128" t="s">
        <v>871</v>
      </c>
      <c r="B297" s="128" t="s">
        <v>872</v>
      </c>
      <c r="C297" s="129">
        <v>64</v>
      </c>
    </row>
    <row r="298" spans="1:3" x14ac:dyDescent="0.25">
      <c r="A298" s="130" t="s">
        <v>873</v>
      </c>
      <c r="B298" s="130" t="s">
        <v>874</v>
      </c>
      <c r="C298" s="131">
        <v>1300</v>
      </c>
    </row>
    <row r="299" spans="1:3" x14ac:dyDescent="0.25">
      <c r="A299" s="228" t="s">
        <v>875</v>
      </c>
      <c r="B299" s="228" t="s">
        <v>876</v>
      </c>
      <c r="C299" s="229">
        <v>740</v>
      </c>
    </row>
    <row r="300" spans="1:3" x14ac:dyDescent="0.25">
      <c r="A300" s="228"/>
      <c r="B300" s="230" t="s">
        <v>877</v>
      </c>
      <c r="C300" s="229"/>
    </row>
    <row r="301" spans="1:3" x14ac:dyDescent="0.25">
      <c r="A301" s="231" t="s">
        <v>878</v>
      </c>
      <c r="B301" s="232" t="s">
        <v>879</v>
      </c>
      <c r="C301" s="233" t="s">
        <v>880</v>
      </c>
    </row>
    <row r="302" spans="1:3" x14ac:dyDescent="0.25">
      <c r="A302" s="234"/>
      <c r="B302" s="235" t="s">
        <v>881</v>
      </c>
      <c r="C302" s="236"/>
    </row>
    <row r="303" spans="1:3" x14ac:dyDescent="0.25">
      <c r="A303" s="227" t="s">
        <v>882</v>
      </c>
      <c r="B303" s="227" t="s">
        <v>883</v>
      </c>
      <c r="C303" s="158" t="s">
        <v>880</v>
      </c>
    </row>
    <row r="306" spans="1:3" ht="17.25" customHeight="1" x14ac:dyDescent="0.25">
      <c r="A306" s="490" t="s">
        <v>884</v>
      </c>
      <c r="B306" s="483"/>
      <c r="C306" s="190"/>
    </row>
    <row r="307" spans="1:3" x14ac:dyDescent="0.25">
      <c r="A307" s="171" t="s">
        <v>7</v>
      </c>
      <c r="B307" s="126" t="s">
        <v>8</v>
      </c>
      <c r="C307" s="127" t="s">
        <v>472</v>
      </c>
    </row>
    <row r="308" spans="1:3" x14ac:dyDescent="0.25">
      <c r="A308" s="227" t="s">
        <v>885</v>
      </c>
      <c r="B308" s="227" t="s">
        <v>886</v>
      </c>
      <c r="C308" s="158">
        <v>375</v>
      </c>
    </row>
    <row r="309" spans="1:3" x14ac:dyDescent="0.25">
      <c r="A309" s="130" t="s">
        <v>887</v>
      </c>
      <c r="B309" s="130" t="s">
        <v>888</v>
      </c>
      <c r="C309" s="131">
        <v>107</v>
      </c>
    </row>
    <row r="310" spans="1:3" x14ac:dyDescent="0.25">
      <c r="A310" s="128" t="s">
        <v>889</v>
      </c>
      <c r="B310" s="128" t="s">
        <v>890</v>
      </c>
      <c r="C310" s="129">
        <v>321</v>
      </c>
    </row>
    <row r="311" spans="1:3" x14ac:dyDescent="0.25">
      <c r="A311" s="130" t="s">
        <v>891</v>
      </c>
      <c r="B311" s="130" t="s">
        <v>892</v>
      </c>
      <c r="C311" s="131">
        <v>95</v>
      </c>
    </row>
    <row r="312" spans="1:3" x14ac:dyDescent="0.25">
      <c r="A312" s="128" t="s">
        <v>893</v>
      </c>
      <c r="B312" s="128" t="s">
        <v>894</v>
      </c>
      <c r="C312" s="129">
        <v>737</v>
      </c>
    </row>
    <row r="313" spans="1:3" x14ac:dyDescent="0.25">
      <c r="A313" s="130" t="s">
        <v>895</v>
      </c>
      <c r="B313" s="130" t="s">
        <v>896</v>
      </c>
      <c r="C313" s="131">
        <v>416</v>
      </c>
    </row>
    <row r="314" spans="1:3" x14ac:dyDescent="0.25">
      <c r="A314" s="128" t="s">
        <v>897</v>
      </c>
      <c r="B314" s="128" t="s">
        <v>898</v>
      </c>
      <c r="C314" s="129">
        <v>243</v>
      </c>
    </row>
    <row r="315" spans="1:3" x14ac:dyDescent="0.25">
      <c r="A315" s="130" t="s">
        <v>899</v>
      </c>
      <c r="B315" s="130" t="s">
        <v>900</v>
      </c>
      <c r="C315" s="131">
        <v>977</v>
      </c>
    </row>
    <row r="316" spans="1:3" x14ac:dyDescent="0.25">
      <c r="A316" s="128" t="s">
        <v>901</v>
      </c>
      <c r="B316" s="128" t="s">
        <v>902</v>
      </c>
      <c r="C316" s="129">
        <v>161</v>
      </c>
    </row>
    <row r="317" spans="1:3" x14ac:dyDescent="0.25">
      <c r="A317" s="130" t="s">
        <v>903</v>
      </c>
      <c r="B317" s="130" t="s">
        <v>904</v>
      </c>
      <c r="C317" s="131">
        <v>65</v>
      </c>
    </row>
    <row r="318" spans="1:3" x14ac:dyDescent="0.25">
      <c r="A318" s="128" t="s">
        <v>905</v>
      </c>
      <c r="B318" s="128" t="s">
        <v>906</v>
      </c>
      <c r="C318" s="129">
        <v>33</v>
      </c>
    </row>
    <row r="319" spans="1:3" x14ac:dyDescent="0.25">
      <c r="A319" s="130" t="s">
        <v>907</v>
      </c>
      <c r="B319" s="130" t="s">
        <v>908</v>
      </c>
      <c r="C319" s="131">
        <v>81</v>
      </c>
    </row>
    <row r="320" spans="1:3" x14ac:dyDescent="0.25">
      <c r="A320" s="128" t="s">
        <v>909</v>
      </c>
      <c r="B320" s="128" t="s">
        <v>910</v>
      </c>
      <c r="C320" s="129">
        <v>174</v>
      </c>
    </row>
    <row r="321" spans="1:3" x14ac:dyDescent="0.25">
      <c r="A321" s="130" t="s">
        <v>911</v>
      </c>
      <c r="B321" s="130" t="s">
        <v>912</v>
      </c>
      <c r="C321" s="131">
        <v>696</v>
      </c>
    </row>
    <row r="322" spans="1:3" ht="25.5" customHeight="1" x14ac:dyDescent="0.25">
      <c r="A322" s="128" t="s">
        <v>913</v>
      </c>
      <c r="B322" s="135" t="s">
        <v>914</v>
      </c>
      <c r="C322" s="129">
        <v>1260</v>
      </c>
    </row>
    <row r="323" spans="1:3" x14ac:dyDescent="0.25">
      <c r="A323" s="130" t="s">
        <v>915</v>
      </c>
      <c r="B323" s="130" t="s">
        <v>916</v>
      </c>
      <c r="C323" s="131">
        <v>1526</v>
      </c>
    </row>
    <row r="324" spans="1:3" x14ac:dyDescent="0.25">
      <c r="C324" s="169"/>
    </row>
    <row r="325" spans="1:3" ht="17.25" customHeight="1" x14ac:dyDescent="0.25">
      <c r="A325" s="490" t="s">
        <v>917</v>
      </c>
      <c r="B325" s="483"/>
      <c r="C325" s="190"/>
    </row>
    <row r="326" spans="1:3" x14ac:dyDescent="0.25">
      <c r="A326" s="171" t="s">
        <v>7</v>
      </c>
      <c r="B326" s="126" t="s">
        <v>8</v>
      </c>
      <c r="C326" s="127" t="s">
        <v>472</v>
      </c>
    </row>
    <row r="327" spans="1:3" x14ac:dyDescent="0.25">
      <c r="A327" s="227" t="s">
        <v>918</v>
      </c>
      <c r="B327" s="128" t="s">
        <v>919</v>
      </c>
      <c r="C327" s="129">
        <v>500</v>
      </c>
    </row>
    <row r="328" spans="1:3" x14ac:dyDescent="0.25">
      <c r="A328" s="130" t="s">
        <v>920</v>
      </c>
      <c r="B328" s="130" t="s">
        <v>921</v>
      </c>
      <c r="C328" s="131">
        <v>500</v>
      </c>
    </row>
    <row r="329" spans="1:3" x14ac:dyDescent="0.25">
      <c r="A329" s="128" t="s">
        <v>922</v>
      </c>
      <c r="B329" s="128" t="s">
        <v>923</v>
      </c>
      <c r="C329" s="129">
        <v>1100</v>
      </c>
    </row>
    <row r="330" spans="1:3" x14ac:dyDescent="0.25">
      <c r="A330" s="130" t="s">
        <v>924</v>
      </c>
      <c r="B330" s="130" t="s">
        <v>925</v>
      </c>
      <c r="C330" s="131">
        <v>150</v>
      </c>
    </row>
    <row r="331" spans="1:3" ht="25.5" customHeight="1" x14ac:dyDescent="0.25">
      <c r="A331" s="128" t="s">
        <v>926</v>
      </c>
      <c r="B331" s="135" t="s">
        <v>927</v>
      </c>
      <c r="C331" s="129">
        <v>850</v>
      </c>
    </row>
    <row r="333" spans="1:3" x14ac:dyDescent="0.25">
      <c r="C333" s="169"/>
    </row>
    <row r="334" spans="1:3" ht="17.25" customHeight="1" x14ac:dyDescent="0.25">
      <c r="A334" s="490" t="s">
        <v>917</v>
      </c>
      <c r="B334" s="483"/>
      <c r="C334" s="190"/>
    </row>
    <row r="335" spans="1:3" x14ac:dyDescent="0.25">
      <c r="A335" s="171" t="s">
        <v>7</v>
      </c>
      <c r="B335" s="126" t="s">
        <v>8</v>
      </c>
      <c r="C335" s="127" t="s">
        <v>472</v>
      </c>
    </row>
    <row r="336" spans="1:3" x14ac:dyDescent="0.25">
      <c r="A336" s="128" t="s">
        <v>928</v>
      </c>
      <c r="B336" s="136" t="s">
        <v>929</v>
      </c>
      <c r="C336" s="129">
        <v>345</v>
      </c>
    </row>
    <row r="337" spans="1:3" x14ac:dyDescent="0.25">
      <c r="A337" s="130" t="s">
        <v>930</v>
      </c>
      <c r="B337" s="130" t="s">
        <v>931</v>
      </c>
      <c r="C337" s="131">
        <v>44</v>
      </c>
    </row>
    <row r="338" spans="1:3" x14ac:dyDescent="0.25">
      <c r="A338" s="128" t="s">
        <v>932</v>
      </c>
      <c r="B338" s="128" t="s">
        <v>933</v>
      </c>
      <c r="C338" s="129">
        <v>51</v>
      </c>
    </row>
    <row r="339" spans="1:3" ht="25.5" customHeight="1" x14ac:dyDescent="0.25">
      <c r="A339" s="130" t="s">
        <v>934</v>
      </c>
      <c r="B339" s="132" t="s">
        <v>935</v>
      </c>
      <c r="C339" s="131">
        <v>948</v>
      </c>
    </row>
    <row r="340" spans="1:3" x14ac:dyDescent="0.25">
      <c r="A340" s="128" t="s">
        <v>936</v>
      </c>
      <c r="B340" s="128" t="s">
        <v>937</v>
      </c>
      <c r="C340" s="129">
        <v>350</v>
      </c>
    </row>
    <row r="341" spans="1:3" ht="51" customHeight="1" x14ac:dyDescent="0.25">
      <c r="A341" s="130" t="s">
        <v>938</v>
      </c>
      <c r="B341" s="132" t="s">
        <v>939</v>
      </c>
      <c r="C341" s="131">
        <v>215</v>
      </c>
    </row>
    <row r="342" spans="1:3" ht="17.25" customHeight="1" x14ac:dyDescent="0.25">
      <c r="A342" s="490" t="s">
        <v>940</v>
      </c>
      <c r="B342" s="483"/>
      <c r="C342" s="190"/>
    </row>
    <row r="343" spans="1:3" x14ac:dyDescent="0.25">
      <c r="A343" s="171" t="s">
        <v>7</v>
      </c>
      <c r="B343" s="126" t="s">
        <v>8</v>
      </c>
      <c r="C343" s="127" t="s">
        <v>472</v>
      </c>
    </row>
    <row r="344" spans="1:3" x14ac:dyDescent="0.25">
      <c r="A344" s="128" t="s">
        <v>941</v>
      </c>
      <c r="B344" s="128" t="s">
        <v>942</v>
      </c>
      <c r="C344" s="129">
        <v>4467</v>
      </c>
    </row>
    <row r="345" spans="1:3" x14ac:dyDescent="0.25">
      <c r="A345" s="130" t="s">
        <v>943</v>
      </c>
      <c r="B345" s="130" t="s">
        <v>944</v>
      </c>
      <c r="C345" s="131">
        <v>5790</v>
      </c>
    </row>
    <row r="346" spans="1:3" x14ac:dyDescent="0.25">
      <c r="A346" s="128" t="s">
        <v>945</v>
      </c>
      <c r="B346" s="128" t="s">
        <v>946</v>
      </c>
      <c r="C346" s="129">
        <v>1865</v>
      </c>
    </row>
    <row r="347" spans="1:3" x14ac:dyDescent="0.25">
      <c r="A347" s="130" t="s">
        <v>947</v>
      </c>
      <c r="B347" s="130" t="s">
        <v>948</v>
      </c>
      <c r="C347" s="131">
        <v>1985</v>
      </c>
    </row>
    <row r="348" spans="1:3" x14ac:dyDescent="0.25">
      <c r="A348" s="128" t="s">
        <v>949</v>
      </c>
      <c r="B348" s="128" t="s">
        <v>950</v>
      </c>
      <c r="C348" s="129">
        <v>7405</v>
      </c>
    </row>
    <row r="349" spans="1:3" x14ac:dyDescent="0.25">
      <c r="A349" s="130" t="s">
        <v>951</v>
      </c>
      <c r="B349" s="130" t="s">
        <v>952</v>
      </c>
      <c r="C349" s="131">
        <v>2036</v>
      </c>
    </row>
    <row r="350" spans="1:3" x14ac:dyDescent="0.25">
      <c r="A350" s="128" t="s">
        <v>953</v>
      </c>
      <c r="B350" s="128" t="s">
        <v>954</v>
      </c>
      <c r="C350" s="129">
        <v>2366</v>
      </c>
    </row>
    <row r="351" spans="1:3" x14ac:dyDescent="0.25">
      <c r="A351" s="130" t="s">
        <v>955</v>
      </c>
      <c r="B351" s="130" t="s">
        <v>956</v>
      </c>
      <c r="C351" s="131">
        <v>2697</v>
      </c>
    </row>
    <row r="352" spans="1:3" x14ac:dyDescent="0.25">
      <c r="A352" s="128" t="s">
        <v>957</v>
      </c>
      <c r="B352" s="128" t="s">
        <v>958</v>
      </c>
      <c r="C352" s="129">
        <v>3027</v>
      </c>
    </row>
    <row r="353" spans="1:3" x14ac:dyDescent="0.25">
      <c r="A353" s="130" t="s">
        <v>959</v>
      </c>
      <c r="B353" s="130" t="s">
        <v>960</v>
      </c>
      <c r="C353" s="131">
        <v>3969</v>
      </c>
    </row>
    <row r="354" spans="1:3" ht="17.25" customHeight="1" x14ac:dyDescent="0.25">
      <c r="A354" s="490" t="s">
        <v>961</v>
      </c>
      <c r="B354" s="483"/>
      <c r="C354" s="190"/>
    </row>
    <row r="355" spans="1:3" x14ac:dyDescent="0.25">
      <c r="A355" s="171" t="s">
        <v>7</v>
      </c>
      <c r="B355" s="126" t="s">
        <v>8</v>
      </c>
      <c r="C355" s="127" t="s">
        <v>472</v>
      </c>
    </row>
    <row r="356" spans="1:3" x14ac:dyDescent="0.25">
      <c r="A356" s="128" t="s">
        <v>962</v>
      </c>
      <c r="B356" s="136" t="s">
        <v>567</v>
      </c>
      <c r="C356" s="129">
        <v>3720</v>
      </c>
    </row>
    <row r="357" spans="1:3" x14ac:dyDescent="0.25">
      <c r="A357" s="130" t="s">
        <v>963</v>
      </c>
      <c r="B357" s="130" t="s">
        <v>964</v>
      </c>
      <c r="C357" s="131">
        <v>3969</v>
      </c>
    </row>
    <row r="358" spans="1:3" x14ac:dyDescent="0.25">
      <c r="A358" s="128" t="s">
        <v>965</v>
      </c>
      <c r="B358" s="128" t="s">
        <v>966</v>
      </c>
      <c r="C358" s="129">
        <v>6947</v>
      </c>
    </row>
    <row r="359" spans="1:3" x14ac:dyDescent="0.25">
      <c r="A359" s="130" t="s">
        <v>967</v>
      </c>
      <c r="B359" s="130" t="s">
        <v>571</v>
      </c>
      <c r="C359" s="131">
        <v>4136</v>
      </c>
    </row>
    <row r="360" spans="1:3" x14ac:dyDescent="0.25">
      <c r="A360" s="128" t="s">
        <v>968</v>
      </c>
      <c r="B360" s="128" t="s">
        <v>969</v>
      </c>
      <c r="C360" s="129">
        <v>5954</v>
      </c>
    </row>
    <row r="361" spans="1:3" x14ac:dyDescent="0.25">
      <c r="A361" s="130" t="s">
        <v>970</v>
      </c>
      <c r="B361" s="130" t="s">
        <v>573</v>
      </c>
      <c r="C361" s="131">
        <v>4548</v>
      </c>
    </row>
    <row r="363" spans="1:3" x14ac:dyDescent="0.25">
      <c r="C363" s="169"/>
    </row>
    <row r="364" spans="1:3" ht="17.25" customHeight="1" x14ac:dyDescent="0.25">
      <c r="A364" s="490" t="s">
        <v>971</v>
      </c>
      <c r="B364" s="483"/>
      <c r="C364" s="190"/>
    </row>
    <row r="365" spans="1:3" x14ac:dyDescent="0.25">
      <c r="A365" s="171" t="s">
        <v>7</v>
      </c>
      <c r="B365" s="126" t="s">
        <v>8</v>
      </c>
      <c r="C365" s="127" t="s">
        <v>472</v>
      </c>
    </row>
    <row r="366" spans="1:3" x14ac:dyDescent="0.25">
      <c r="A366" s="128" t="s">
        <v>972</v>
      </c>
      <c r="B366" s="128" t="s">
        <v>942</v>
      </c>
      <c r="C366" s="129">
        <v>447</v>
      </c>
    </row>
    <row r="367" spans="1:3" x14ac:dyDescent="0.25">
      <c r="A367" s="130" t="s">
        <v>973</v>
      </c>
      <c r="B367" s="130" t="s">
        <v>944</v>
      </c>
      <c r="C367" s="131">
        <v>579</v>
      </c>
    </row>
    <row r="368" spans="1:3" x14ac:dyDescent="0.25">
      <c r="A368" s="128" t="s">
        <v>974</v>
      </c>
      <c r="B368" s="128" t="s">
        <v>975</v>
      </c>
      <c r="C368" s="129">
        <v>186</v>
      </c>
    </row>
    <row r="369" spans="1:6" x14ac:dyDescent="0.25">
      <c r="A369" s="130" t="s">
        <v>976</v>
      </c>
      <c r="B369" s="130" t="s">
        <v>977</v>
      </c>
      <c r="C369" s="131">
        <v>198</v>
      </c>
    </row>
    <row r="370" spans="1:6" x14ac:dyDescent="0.25">
      <c r="A370" s="128" t="s">
        <v>978</v>
      </c>
      <c r="B370" s="128" t="s">
        <v>979</v>
      </c>
      <c r="C370" s="129">
        <v>1241</v>
      </c>
    </row>
    <row r="371" spans="1:6" x14ac:dyDescent="0.25">
      <c r="A371" s="130" t="s">
        <v>980</v>
      </c>
      <c r="B371" s="130" t="s">
        <v>981</v>
      </c>
      <c r="C371" s="131">
        <v>233</v>
      </c>
    </row>
    <row r="372" spans="1:6" x14ac:dyDescent="0.25">
      <c r="A372" s="128" t="s">
        <v>982</v>
      </c>
      <c r="B372" s="128" t="s">
        <v>983</v>
      </c>
      <c r="C372" s="129">
        <v>347</v>
      </c>
    </row>
    <row r="373" spans="1:6" x14ac:dyDescent="0.25">
      <c r="A373" s="130" t="s">
        <v>984</v>
      </c>
      <c r="B373" s="130" t="s">
        <v>985</v>
      </c>
      <c r="C373" s="131">
        <v>347</v>
      </c>
    </row>
    <row r="374" spans="1:6" x14ac:dyDescent="0.25">
      <c r="A374" s="128" t="s">
        <v>986</v>
      </c>
      <c r="B374" s="128" t="s">
        <v>987</v>
      </c>
      <c r="C374" s="129">
        <v>413</v>
      </c>
    </row>
    <row r="375" spans="1:6" x14ac:dyDescent="0.25">
      <c r="A375" s="130" t="s">
        <v>988</v>
      </c>
      <c r="B375" s="130" t="s">
        <v>989</v>
      </c>
      <c r="C375" s="131">
        <v>794</v>
      </c>
    </row>
    <row r="377" spans="1:6" ht="18.75" customHeight="1" x14ac:dyDescent="0.25">
      <c r="A377" s="509" t="s">
        <v>990</v>
      </c>
      <c r="B377" s="483"/>
      <c r="C377" s="483"/>
      <c r="D377" s="483"/>
      <c r="E377" s="488"/>
      <c r="F377" s="237"/>
    </row>
    <row r="378" spans="1:6" x14ac:dyDescent="0.25">
      <c r="D378" s="169"/>
      <c r="E378" s="169"/>
      <c r="F378" s="237"/>
    </row>
    <row r="379" spans="1:6" x14ac:dyDescent="0.25">
      <c r="A379" s="209" t="s">
        <v>7</v>
      </c>
      <c r="B379" s="142" t="s">
        <v>8</v>
      </c>
      <c r="C379" s="209" t="s">
        <v>9</v>
      </c>
      <c r="D379" s="510" t="s">
        <v>472</v>
      </c>
      <c r="E379" s="488"/>
      <c r="F379" s="237"/>
    </row>
    <row r="380" spans="1:6" x14ac:dyDescent="0.25">
      <c r="A380" s="128" t="s">
        <v>991</v>
      </c>
      <c r="B380" s="128" t="s">
        <v>992</v>
      </c>
      <c r="C380" s="128" t="s">
        <v>178</v>
      </c>
      <c r="D380" s="481">
        <v>1050</v>
      </c>
      <c r="E380" s="488"/>
      <c r="F380" s="237"/>
    </row>
    <row r="381" spans="1:6" x14ac:dyDescent="0.25">
      <c r="A381" s="130" t="s">
        <v>993</v>
      </c>
      <c r="B381" s="130" t="s">
        <v>994</v>
      </c>
      <c r="C381" s="130" t="s">
        <v>178</v>
      </c>
      <c r="D381" s="511">
        <v>3.9</v>
      </c>
      <c r="E381" s="488"/>
      <c r="F381" s="237"/>
    </row>
    <row r="382" spans="1:6" x14ac:dyDescent="0.25">
      <c r="A382" s="128" t="s">
        <v>995</v>
      </c>
      <c r="B382" s="128" t="s">
        <v>996</v>
      </c>
      <c r="C382" s="128" t="s">
        <v>997</v>
      </c>
      <c r="D382" s="481">
        <v>4.5</v>
      </c>
      <c r="E382" s="488"/>
      <c r="F382" s="237"/>
    </row>
    <row r="383" spans="1:6" x14ac:dyDescent="0.25">
      <c r="D383" s="169"/>
      <c r="E383" s="169"/>
      <c r="F383" s="237"/>
    </row>
    <row r="384" spans="1:6" ht="17.25" customHeight="1" x14ac:dyDescent="0.25">
      <c r="A384" s="487" t="s">
        <v>998</v>
      </c>
      <c r="B384" s="483"/>
      <c r="C384" s="483"/>
      <c r="D384" s="483"/>
      <c r="E384" s="488"/>
      <c r="F384" s="237"/>
    </row>
    <row r="385" spans="1:6" x14ac:dyDescent="0.25">
      <c r="A385" s="512" t="s">
        <v>7</v>
      </c>
      <c r="B385" s="513" t="s">
        <v>8</v>
      </c>
      <c r="C385" s="514" t="s">
        <v>9</v>
      </c>
      <c r="D385" s="515" t="s">
        <v>472</v>
      </c>
      <c r="E385" s="486"/>
      <c r="F385" s="237"/>
    </row>
    <row r="386" spans="1:6" x14ac:dyDescent="0.25">
      <c r="A386" s="480"/>
      <c r="B386" s="480"/>
      <c r="C386" s="480"/>
      <c r="D386" s="209" t="s">
        <v>999</v>
      </c>
      <c r="E386" s="209" t="s">
        <v>1000</v>
      </c>
      <c r="F386" s="237"/>
    </row>
    <row r="387" spans="1:6" x14ac:dyDescent="0.25">
      <c r="A387" s="128" t="s">
        <v>1001</v>
      </c>
      <c r="B387" s="128" t="s">
        <v>1002</v>
      </c>
      <c r="C387" s="128" t="s">
        <v>178</v>
      </c>
      <c r="D387" s="129">
        <v>270</v>
      </c>
      <c r="E387" s="129">
        <v>25</v>
      </c>
      <c r="F387" s="237"/>
    </row>
    <row r="388" spans="1:6" x14ac:dyDescent="0.25">
      <c r="A388" s="130" t="s">
        <v>1003</v>
      </c>
      <c r="B388" s="130" t="s">
        <v>1004</v>
      </c>
      <c r="C388" s="130" t="s">
        <v>178</v>
      </c>
      <c r="D388" s="131">
        <v>280</v>
      </c>
      <c r="E388" s="131">
        <v>25</v>
      </c>
      <c r="F388" s="237"/>
    </row>
    <row r="389" spans="1:6" x14ac:dyDescent="0.25">
      <c r="A389" s="128" t="s">
        <v>1005</v>
      </c>
      <c r="B389" s="128" t="s">
        <v>1006</v>
      </c>
      <c r="C389" s="128" t="s">
        <v>178</v>
      </c>
      <c r="D389" s="129">
        <v>360</v>
      </c>
      <c r="E389" s="129">
        <v>35</v>
      </c>
      <c r="F389" s="237"/>
    </row>
    <row r="390" spans="1:6" x14ac:dyDescent="0.25">
      <c r="A390" s="130" t="s">
        <v>1007</v>
      </c>
      <c r="B390" s="130" t="s">
        <v>1008</v>
      </c>
      <c r="C390" s="130" t="s">
        <v>178</v>
      </c>
      <c r="D390" s="131">
        <v>400</v>
      </c>
      <c r="E390" s="131">
        <v>40</v>
      </c>
      <c r="F390" s="237"/>
    </row>
    <row r="391" spans="1:6" x14ac:dyDescent="0.25">
      <c r="A391" s="128" t="s">
        <v>1009</v>
      </c>
      <c r="B391" s="128" t="s">
        <v>1010</v>
      </c>
      <c r="C391" s="128" t="s">
        <v>178</v>
      </c>
      <c r="D391" s="129">
        <v>420</v>
      </c>
      <c r="E391" s="129">
        <v>40</v>
      </c>
      <c r="F391" s="237"/>
    </row>
    <row r="392" spans="1:6" x14ac:dyDescent="0.25">
      <c r="A392" s="130" t="s">
        <v>1011</v>
      </c>
      <c r="B392" s="130" t="s">
        <v>1012</v>
      </c>
      <c r="C392" s="130" t="s">
        <v>178</v>
      </c>
      <c r="D392" s="131">
        <v>470</v>
      </c>
      <c r="E392" s="131">
        <v>45</v>
      </c>
      <c r="F392" s="237"/>
    </row>
    <row r="393" spans="1:6" x14ac:dyDescent="0.25">
      <c r="A393" s="128" t="s">
        <v>1013</v>
      </c>
      <c r="B393" s="128" t="s">
        <v>1014</v>
      </c>
      <c r="C393" s="128" t="s">
        <v>178</v>
      </c>
      <c r="D393" s="129">
        <v>490</v>
      </c>
      <c r="E393" s="129">
        <v>50</v>
      </c>
      <c r="F393" s="237"/>
    </row>
    <row r="394" spans="1:6" x14ac:dyDescent="0.25">
      <c r="A394" s="130" t="s">
        <v>1015</v>
      </c>
      <c r="B394" s="130" t="s">
        <v>1016</v>
      </c>
      <c r="C394" s="130" t="s">
        <v>178</v>
      </c>
      <c r="D394" s="131">
        <v>552.5</v>
      </c>
      <c r="E394" s="131">
        <v>65</v>
      </c>
      <c r="F394" s="237"/>
    </row>
    <row r="395" spans="1:6" x14ac:dyDescent="0.25">
      <c r="A395" s="128" t="s">
        <v>1017</v>
      </c>
      <c r="B395" s="128" t="s">
        <v>1018</v>
      </c>
      <c r="C395" s="128" t="s">
        <v>178</v>
      </c>
      <c r="D395" s="129">
        <v>800</v>
      </c>
      <c r="E395" s="129">
        <v>85</v>
      </c>
      <c r="F395" s="237"/>
    </row>
    <row r="396" spans="1:6" x14ac:dyDescent="0.25">
      <c r="A396" s="130" t="s">
        <v>1019</v>
      </c>
      <c r="B396" s="130" t="s">
        <v>1020</v>
      </c>
      <c r="C396" s="130" t="s">
        <v>178</v>
      </c>
      <c r="D396" s="131">
        <v>1050</v>
      </c>
      <c r="E396" s="131">
        <v>100</v>
      </c>
      <c r="F396" s="237"/>
    </row>
    <row r="397" spans="1:6" x14ac:dyDescent="0.25">
      <c r="D397" s="169"/>
      <c r="E397" s="169"/>
      <c r="F397" s="237"/>
    </row>
    <row r="398" spans="1:6" ht="17.25" customHeight="1" x14ac:dyDescent="0.25">
      <c r="A398" s="487" t="s">
        <v>1021</v>
      </c>
      <c r="B398" s="483"/>
      <c r="C398" s="483"/>
      <c r="D398" s="483"/>
      <c r="E398" s="488"/>
      <c r="F398" s="237"/>
    </row>
    <row r="399" spans="1:6" x14ac:dyDescent="0.25">
      <c r="A399" s="209" t="s">
        <v>7</v>
      </c>
      <c r="B399" s="142" t="s">
        <v>8</v>
      </c>
      <c r="C399" s="209" t="s">
        <v>9</v>
      </c>
      <c r="D399" s="510" t="s">
        <v>472</v>
      </c>
      <c r="E399" s="488"/>
      <c r="F399" s="237"/>
    </row>
    <row r="400" spans="1:6" x14ac:dyDescent="0.25">
      <c r="A400" s="128" t="s">
        <v>1022</v>
      </c>
      <c r="B400" s="128" t="s">
        <v>1023</v>
      </c>
      <c r="C400" s="128" t="s">
        <v>1024</v>
      </c>
      <c r="D400" s="481">
        <v>280</v>
      </c>
      <c r="E400" s="488"/>
      <c r="F400" s="237"/>
    </row>
    <row r="401" spans="1:6" x14ac:dyDescent="0.25">
      <c r="A401" s="130" t="s">
        <v>1025</v>
      </c>
      <c r="B401" s="130" t="s">
        <v>1026</v>
      </c>
      <c r="C401" s="130" t="s">
        <v>1024</v>
      </c>
      <c r="D401" s="511">
        <v>300</v>
      </c>
      <c r="E401" s="488"/>
      <c r="F401" s="237"/>
    </row>
    <row r="402" spans="1:6" x14ac:dyDescent="0.25">
      <c r="A402" s="238"/>
      <c r="B402" s="238"/>
      <c r="C402" s="238"/>
      <c r="D402" s="239"/>
      <c r="F402" s="237"/>
    </row>
    <row r="403" spans="1:6" ht="17.25" customHeight="1" x14ac:dyDescent="0.25">
      <c r="A403" s="487" t="s">
        <v>1027</v>
      </c>
      <c r="B403" s="483"/>
      <c r="C403" s="483"/>
      <c r="D403" s="483"/>
      <c r="E403" s="488"/>
      <c r="F403" s="237"/>
    </row>
    <row r="404" spans="1:6" x14ac:dyDescent="0.25">
      <c r="A404" s="128" t="s">
        <v>1028</v>
      </c>
      <c r="B404" s="128" t="s">
        <v>1029</v>
      </c>
      <c r="C404" s="128" t="s">
        <v>121</v>
      </c>
      <c r="D404" s="481">
        <v>520</v>
      </c>
      <c r="E404" s="488"/>
      <c r="F404" s="237"/>
    </row>
    <row r="405" spans="1:6" x14ac:dyDescent="0.25">
      <c r="A405" s="130" t="s">
        <v>1030</v>
      </c>
      <c r="B405" s="130" t="s">
        <v>1018</v>
      </c>
      <c r="C405" s="130" t="s">
        <v>121</v>
      </c>
      <c r="D405" s="511">
        <v>530</v>
      </c>
      <c r="E405" s="488"/>
      <c r="F405" s="237"/>
    </row>
    <row r="406" spans="1:6" x14ac:dyDescent="0.25">
      <c r="A406" s="128" t="s">
        <v>1031</v>
      </c>
      <c r="B406" s="128" t="s">
        <v>1032</v>
      </c>
      <c r="C406" s="128" t="s">
        <v>121</v>
      </c>
      <c r="D406" s="481">
        <v>1030</v>
      </c>
      <c r="E406" s="488"/>
      <c r="F406" s="237"/>
    </row>
    <row r="407" spans="1:6" x14ac:dyDescent="0.25">
      <c r="A407" s="136"/>
      <c r="B407" s="136"/>
      <c r="C407" s="136"/>
      <c r="D407" s="240"/>
      <c r="F407" s="237"/>
    </row>
    <row r="408" spans="1:6" ht="17.25" customHeight="1" x14ac:dyDescent="0.25">
      <c r="A408" s="487" t="s">
        <v>16</v>
      </c>
      <c r="B408" s="483"/>
      <c r="C408" s="483"/>
      <c r="D408" s="483"/>
      <c r="E408" s="488"/>
      <c r="F408" s="237"/>
    </row>
    <row r="409" spans="1:6" x14ac:dyDescent="0.25">
      <c r="A409" s="241" t="s">
        <v>7</v>
      </c>
      <c r="B409" s="242" t="s">
        <v>8</v>
      </c>
      <c r="C409" s="241" t="s">
        <v>9</v>
      </c>
      <c r="D409" s="517" t="s">
        <v>472</v>
      </c>
      <c r="E409" s="488"/>
      <c r="F409" s="237"/>
    </row>
    <row r="410" spans="1:6" x14ac:dyDescent="0.25">
      <c r="A410" s="227" t="s">
        <v>1033</v>
      </c>
      <c r="B410" s="227" t="s">
        <v>1034</v>
      </c>
      <c r="C410" s="128" t="s">
        <v>1035</v>
      </c>
      <c r="D410" s="481">
        <v>85</v>
      </c>
      <c r="E410" s="488"/>
      <c r="F410" s="237"/>
    </row>
    <row r="411" spans="1:6" x14ac:dyDescent="0.25">
      <c r="A411" s="130" t="s">
        <v>1036</v>
      </c>
      <c r="B411" s="130" t="s">
        <v>1037</v>
      </c>
      <c r="C411" s="130" t="s">
        <v>1035</v>
      </c>
      <c r="D411" s="511">
        <v>100</v>
      </c>
      <c r="E411" s="488"/>
      <c r="F411" s="237"/>
    </row>
    <row r="412" spans="1:6" x14ac:dyDescent="0.25">
      <c r="A412" s="238"/>
      <c r="B412" s="238"/>
      <c r="C412" s="238"/>
      <c r="D412" s="239"/>
      <c r="F412" s="237"/>
    </row>
    <row r="413" spans="1:6" ht="17.25" customHeight="1" x14ac:dyDescent="0.25">
      <c r="A413" s="487" t="s">
        <v>1038</v>
      </c>
      <c r="B413" s="483"/>
      <c r="C413" s="483"/>
      <c r="D413" s="483"/>
      <c r="E413" s="488"/>
      <c r="F413" s="237"/>
    </row>
    <row r="414" spans="1:6" x14ac:dyDescent="0.25">
      <c r="A414" s="128" t="s">
        <v>1039</v>
      </c>
      <c r="B414" s="128" t="s">
        <v>1040</v>
      </c>
      <c r="C414" s="128" t="s">
        <v>150</v>
      </c>
      <c r="D414" s="481">
        <v>95</v>
      </c>
      <c r="E414" s="488"/>
      <c r="F414" s="237"/>
    </row>
    <row r="415" spans="1:6" x14ac:dyDescent="0.25">
      <c r="A415" s="136"/>
      <c r="B415" s="136"/>
      <c r="C415" s="136"/>
      <c r="D415" s="240"/>
      <c r="F415" s="237"/>
    </row>
    <row r="416" spans="1:6" ht="17.25" customHeight="1" x14ac:dyDescent="0.25">
      <c r="A416" s="487" t="s">
        <v>1041</v>
      </c>
      <c r="B416" s="483"/>
      <c r="C416" s="483"/>
      <c r="D416" s="483"/>
      <c r="E416" s="488"/>
      <c r="F416" s="237"/>
    </row>
    <row r="417" spans="1:6" x14ac:dyDescent="0.25">
      <c r="A417" s="516" t="s">
        <v>7</v>
      </c>
      <c r="B417" s="516" t="s">
        <v>8</v>
      </c>
      <c r="C417" s="516" t="s">
        <v>9</v>
      </c>
      <c r="D417" s="510" t="s">
        <v>472</v>
      </c>
      <c r="E417" s="488"/>
      <c r="F417" s="237"/>
    </row>
    <row r="418" spans="1:6" x14ac:dyDescent="0.25">
      <c r="A418" s="480"/>
      <c r="B418" s="480"/>
      <c r="C418" s="480"/>
      <c r="D418" s="209" t="s">
        <v>1042</v>
      </c>
      <c r="E418" s="209" t="s">
        <v>1043</v>
      </c>
      <c r="F418" s="237"/>
    </row>
    <row r="419" spans="1:6" x14ac:dyDescent="0.25">
      <c r="A419" s="128" t="s">
        <v>1044</v>
      </c>
      <c r="B419" s="128" t="s">
        <v>1045</v>
      </c>
      <c r="C419" s="128" t="s">
        <v>178</v>
      </c>
      <c r="D419" s="129">
        <v>300</v>
      </c>
      <c r="E419" s="129">
        <v>165</v>
      </c>
      <c r="F419" s="237"/>
    </row>
    <row r="420" spans="1:6" x14ac:dyDescent="0.25">
      <c r="A420" s="130" t="s">
        <v>1046</v>
      </c>
      <c r="B420" s="130" t="s">
        <v>1047</v>
      </c>
      <c r="C420" s="130" t="s">
        <v>178</v>
      </c>
      <c r="D420" s="131">
        <v>360</v>
      </c>
      <c r="E420" s="131">
        <v>185</v>
      </c>
      <c r="F420" s="237"/>
    </row>
    <row r="421" spans="1:6" x14ac:dyDescent="0.25">
      <c r="A421" s="128" t="s">
        <v>1048</v>
      </c>
      <c r="B421" s="128" t="s">
        <v>1049</v>
      </c>
      <c r="C421" s="128" t="s">
        <v>178</v>
      </c>
      <c r="D421" s="129">
        <v>391</v>
      </c>
      <c r="E421" s="129">
        <v>250</v>
      </c>
      <c r="F421" s="237"/>
    </row>
    <row r="422" spans="1:6" x14ac:dyDescent="0.25">
      <c r="A422" s="130" t="s">
        <v>1050</v>
      </c>
      <c r="B422" s="130" t="s">
        <v>1051</v>
      </c>
      <c r="C422" s="130" t="s">
        <v>178</v>
      </c>
      <c r="D422" s="131">
        <v>490</v>
      </c>
      <c r="E422" s="131">
        <v>265</v>
      </c>
      <c r="F422" s="237"/>
    </row>
    <row r="423" spans="1:6" x14ac:dyDescent="0.25">
      <c r="A423" s="128" t="s">
        <v>1052</v>
      </c>
      <c r="B423" s="128" t="s">
        <v>1053</v>
      </c>
      <c r="C423" s="128" t="s">
        <v>178</v>
      </c>
      <c r="D423" s="129">
        <v>680</v>
      </c>
      <c r="E423" s="129">
        <v>370</v>
      </c>
      <c r="F423" s="237"/>
    </row>
    <row r="424" spans="1:6" x14ac:dyDescent="0.25">
      <c r="A424" s="130" t="s">
        <v>1054</v>
      </c>
      <c r="B424" s="130" t="s">
        <v>1055</v>
      </c>
      <c r="C424" s="130" t="s">
        <v>178</v>
      </c>
      <c r="D424" s="131">
        <v>760</v>
      </c>
      <c r="E424" s="131">
        <v>440</v>
      </c>
      <c r="F424" s="237"/>
    </row>
    <row r="425" spans="1:6" x14ac:dyDescent="0.25">
      <c r="A425" s="128" t="s">
        <v>1056</v>
      </c>
      <c r="B425" s="128" t="s">
        <v>1057</v>
      </c>
      <c r="C425" s="128" t="s">
        <v>178</v>
      </c>
      <c r="D425" s="129">
        <v>850</v>
      </c>
      <c r="E425" s="129">
        <v>475</v>
      </c>
      <c r="F425" s="237"/>
    </row>
    <row r="426" spans="1:6" x14ac:dyDescent="0.25">
      <c r="D426" s="169"/>
      <c r="E426" s="169"/>
      <c r="F426" s="237"/>
    </row>
    <row r="427" spans="1:6" ht="17.25" customHeight="1" x14ac:dyDescent="0.25">
      <c r="A427" s="505" t="s">
        <v>1058</v>
      </c>
      <c r="B427" s="485"/>
      <c r="C427" s="485"/>
      <c r="D427" s="485"/>
      <c r="E427" s="485"/>
      <c r="F427" s="237"/>
    </row>
    <row r="428" spans="1:6" x14ac:dyDescent="0.25">
      <c r="A428" s="244" t="s">
        <v>7</v>
      </c>
      <c r="B428" s="142" t="s">
        <v>8</v>
      </c>
      <c r="C428" s="244" t="s">
        <v>9</v>
      </c>
      <c r="D428" s="517" t="s">
        <v>472</v>
      </c>
      <c r="E428" s="488"/>
      <c r="F428" s="237"/>
    </row>
    <row r="429" spans="1:6" x14ac:dyDescent="0.25">
      <c r="A429" s="128" t="s">
        <v>1059</v>
      </c>
      <c r="B429" s="128" t="s">
        <v>1060</v>
      </c>
      <c r="C429" s="128" t="s">
        <v>85</v>
      </c>
      <c r="D429" s="518">
        <v>165</v>
      </c>
      <c r="E429" s="488"/>
      <c r="F429" s="237"/>
    </row>
    <row r="430" spans="1:6" x14ac:dyDescent="0.25">
      <c r="A430" s="130" t="s">
        <v>1061</v>
      </c>
      <c r="B430" s="130" t="s">
        <v>1062</v>
      </c>
      <c r="C430" s="130" t="s">
        <v>85</v>
      </c>
      <c r="D430" s="519">
        <v>260</v>
      </c>
      <c r="E430" s="488"/>
      <c r="F430" s="237"/>
    </row>
    <row r="431" spans="1:6" x14ac:dyDescent="0.25">
      <c r="A431" s="128" t="s">
        <v>1063</v>
      </c>
      <c r="B431" s="128" t="s">
        <v>1064</v>
      </c>
      <c r="C431" s="128" t="s">
        <v>85</v>
      </c>
      <c r="D431" s="518">
        <v>300</v>
      </c>
      <c r="E431" s="488"/>
      <c r="F431" s="237"/>
    </row>
    <row r="432" spans="1:6" x14ac:dyDescent="0.25">
      <c r="D432" s="169"/>
      <c r="E432" s="169"/>
      <c r="F432" s="237"/>
    </row>
    <row r="433" spans="1:6" ht="17.25" customHeight="1" x14ac:dyDescent="0.25">
      <c r="A433" s="520" t="s">
        <v>1065</v>
      </c>
      <c r="B433" s="485"/>
      <c r="C433" s="485"/>
      <c r="D433" s="485"/>
      <c r="E433" s="486"/>
      <c r="F433" s="237"/>
    </row>
    <row r="434" spans="1:6" x14ac:dyDescent="0.25">
      <c r="A434" s="516" t="s">
        <v>7</v>
      </c>
      <c r="B434" s="516" t="s">
        <v>8</v>
      </c>
      <c r="C434" s="516" t="s">
        <v>9</v>
      </c>
      <c r="D434" s="510" t="s">
        <v>1066</v>
      </c>
      <c r="E434" s="488"/>
      <c r="F434" s="237"/>
    </row>
    <row r="435" spans="1:6" x14ac:dyDescent="0.25">
      <c r="A435" s="480"/>
      <c r="B435" s="480"/>
      <c r="C435" s="480"/>
      <c r="D435" s="209" t="s">
        <v>1042</v>
      </c>
      <c r="E435" s="209" t="s">
        <v>1043</v>
      </c>
      <c r="F435" s="237"/>
    </row>
    <row r="436" spans="1:6" x14ac:dyDescent="0.25">
      <c r="A436" s="128" t="s">
        <v>1067</v>
      </c>
      <c r="B436" s="128" t="s">
        <v>1068</v>
      </c>
      <c r="C436" s="128" t="s">
        <v>178</v>
      </c>
      <c r="D436" s="129">
        <v>150</v>
      </c>
      <c r="E436" s="129">
        <v>15</v>
      </c>
      <c r="F436" s="237"/>
    </row>
    <row r="437" spans="1:6" x14ac:dyDescent="0.25">
      <c r="A437" s="130" t="s">
        <v>1069</v>
      </c>
      <c r="B437" s="130" t="s">
        <v>1070</v>
      </c>
      <c r="C437" s="130" t="s">
        <v>178</v>
      </c>
      <c r="D437" s="131">
        <v>190</v>
      </c>
      <c r="E437" s="131">
        <v>25</v>
      </c>
      <c r="F437" s="237"/>
    </row>
    <row r="439" spans="1:6" ht="17.25" customHeight="1" x14ac:dyDescent="0.25">
      <c r="A439" s="487" t="s">
        <v>1071</v>
      </c>
      <c r="B439" s="488"/>
      <c r="C439" s="248"/>
      <c r="D439" s="249"/>
      <c r="E439" s="250"/>
      <c r="F439" s="250"/>
    </row>
    <row r="440" spans="1:6" x14ac:dyDescent="0.25">
      <c r="A440" s="142" t="s">
        <v>7</v>
      </c>
      <c r="B440" s="142" t="s">
        <v>8</v>
      </c>
      <c r="C440" s="142" t="s">
        <v>9</v>
      </c>
      <c r="D440" s="243" t="s">
        <v>472</v>
      </c>
      <c r="E440" s="251"/>
      <c r="F440" s="250"/>
    </row>
    <row r="441" spans="1:6" x14ac:dyDescent="0.25">
      <c r="A441" s="252" t="s">
        <v>1072</v>
      </c>
      <c r="B441" s="252" t="s">
        <v>1073</v>
      </c>
      <c r="C441" s="252" t="s">
        <v>1074</v>
      </c>
      <c r="D441" s="245">
        <v>1050</v>
      </c>
      <c r="E441" s="250"/>
      <c r="F441" s="250"/>
    </row>
    <row r="442" spans="1:6" x14ac:dyDescent="0.25">
      <c r="A442" s="253" t="s">
        <v>1075</v>
      </c>
      <c r="B442" s="253" t="s">
        <v>1076</v>
      </c>
      <c r="C442" s="253" t="s">
        <v>1074</v>
      </c>
      <c r="D442" s="246">
        <v>1400</v>
      </c>
      <c r="E442" s="250"/>
      <c r="F442" s="250"/>
    </row>
    <row r="443" spans="1:6" ht="17.25" customHeight="1" x14ac:dyDescent="0.25">
      <c r="A443" s="487" t="s">
        <v>1077</v>
      </c>
      <c r="B443" s="488"/>
      <c r="C443" s="248"/>
      <c r="D443" s="249"/>
      <c r="E443" s="250"/>
      <c r="F443" s="250"/>
    </row>
    <row r="444" spans="1:6" x14ac:dyDescent="0.25">
      <c r="A444" s="142" t="s">
        <v>7</v>
      </c>
      <c r="B444" s="142" t="s">
        <v>8</v>
      </c>
      <c r="C444" s="142" t="s">
        <v>9</v>
      </c>
      <c r="D444" s="243" t="s">
        <v>472</v>
      </c>
      <c r="E444" s="251"/>
      <c r="F444" s="250"/>
    </row>
    <row r="445" spans="1:6" x14ac:dyDescent="0.25">
      <c r="A445" s="252" t="s">
        <v>1078</v>
      </c>
      <c r="B445" s="252" t="s">
        <v>1079</v>
      </c>
      <c r="C445" s="252" t="s">
        <v>1074</v>
      </c>
      <c r="D445" s="245">
        <v>1850</v>
      </c>
      <c r="E445" s="250"/>
      <c r="F445" s="250"/>
    </row>
    <row r="446" spans="1:6" x14ac:dyDescent="0.25">
      <c r="A446" s="253" t="s">
        <v>1080</v>
      </c>
      <c r="B446" s="253" t="s">
        <v>1081</v>
      </c>
      <c r="C446" s="253" t="s">
        <v>1074</v>
      </c>
      <c r="D446" s="246">
        <v>2250</v>
      </c>
      <c r="E446" s="250"/>
      <c r="F446" s="250"/>
    </row>
    <row r="447" spans="1:6" x14ac:dyDescent="0.25">
      <c r="D447" s="250"/>
      <c r="E447" s="250"/>
      <c r="F447" s="250"/>
    </row>
    <row r="448" spans="1:6" ht="17.25" customHeight="1" x14ac:dyDescent="0.3">
      <c r="A448" s="521" t="s">
        <v>1082</v>
      </c>
      <c r="B448" s="485"/>
      <c r="C448" s="254"/>
      <c r="D448" s="254"/>
    </row>
    <row r="449" spans="1:6" x14ac:dyDescent="0.25">
      <c r="A449" s="142" t="s">
        <v>7</v>
      </c>
      <c r="B449" s="142" t="s">
        <v>8</v>
      </c>
      <c r="C449" s="142" t="s">
        <v>9</v>
      </c>
      <c r="D449" s="243" t="s">
        <v>472</v>
      </c>
      <c r="E449" s="250"/>
      <c r="F449" s="250"/>
    </row>
    <row r="450" spans="1:6" x14ac:dyDescent="0.25">
      <c r="A450" s="252" t="s">
        <v>1083</v>
      </c>
      <c r="B450" s="252" t="s">
        <v>1084</v>
      </c>
      <c r="C450" s="252" t="s">
        <v>1074</v>
      </c>
      <c r="D450" s="245">
        <v>1800</v>
      </c>
      <c r="E450" s="250"/>
      <c r="F450" s="250"/>
    </row>
    <row r="451" spans="1:6" x14ac:dyDescent="0.25">
      <c r="A451" s="253" t="s">
        <v>1085</v>
      </c>
      <c r="B451" s="253" t="s">
        <v>1086</v>
      </c>
      <c r="C451" s="253" t="s">
        <v>1074</v>
      </c>
      <c r="D451" s="246">
        <v>2000</v>
      </c>
      <c r="E451" s="250"/>
      <c r="F451" s="250"/>
    </row>
    <row r="452" spans="1:6" x14ac:dyDescent="0.25">
      <c r="A452" s="252" t="s">
        <v>1087</v>
      </c>
      <c r="B452" s="252" t="s">
        <v>1018</v>
      </c>
      <c r="C452" s="252" t="s">
        <v>1074</v>
      </c>
      <c r="D452" s="245">
        <v>2500</v>
      </c>
      <c r="E452" s="250"/>
      <c r="F452" s="250"/>
    </row>
    <row r="453" spans="1:6" x14ac:dyDescent="0.25">
      <c r="A453" s="253" t="s">
        <v>1088</v>
      </c>
      <c r="B453" s="253" t="s">
        <v>1032</v>
      </c>
      <c r="C453" s="253" t="s">
        <v>1074</v>
      </c>
      <c r="D453" s="246">
        <v>2750</v>
      </c>
      <c r="E453" s="250"/>
      <c r="F453" s="250"/>
    </row>
    <row r="454" spans="1:6" x14ac:dyDescent="0.25">
      <c r="A454" s="252" t="s">
        <v>1089</v>
      </c>
      <c r="B454" s="252" t="s">
        <v>1090</v>
      </c>
      <c r="C454" s="252" t="s">
        <v>1074</v>
      </c>
      <c r="D454" s="245">
        <v>2600</v>
      </c>
      <c r="E454" s="250"/>
      <c r="F454" s="250"/>
    </row>
    <row r="455" spans="1:6" x14ac:dyDescent="0.25">
      <c r="A455" s="253" t="s">
        <v>1091</v>
      </c>
      <c r="B455" s="253" t="s">
        <v>1092</v>
      </c>
      <c r="C455" s="253" t="s">
        <v>1074</v>
      </c>
      <c r="D455" s="246">
        <v>3700</v>
      </c>
      <c r="E455" s="250"/>
      <c r="F455" s="250"/>
    </row>
    <row r="456" spans="1:6" x14ac:dyDescent="0.25">
      <c r="A456" s="252" t="s">
        <v>1093</v>
      </c>
      <c r="B456" s="252" t="s">
        <v>1094</v>
      </c>
      <c r="C456" s="252" t="s">
        <v>1074</v>
      </c>
      <c r="D456" s="245">
        <v>3700</v>
      </c>
      <c r="E456" s="250"/>
      <c r="F456" s="250"/>
    </row>
    <row r="457" spans="1:6" x14ac:dyDescent="0.25">
      <c r="A457" s="253" t="s">
        <v>1095</v>
      </c>
      <c r="B457" s="253" t="s">
        <v>1096</v>
      </c>
      <c r="C457" s="253" t="s">
        <v>1074</v>
      </c>
      <c r="D457" s="246">
        <v>5500</v>
      </c>
      <c r="E457" s="250"/>
      <c r="F457" s="250"/>
    </row>
    <row r="458" spans="1:6" x14ac:dyDescent="0.25">
      <c r="D458" s="250"/>
      <c r="E458" s="250"/>
      <c r="F458" s="250"/>
    </row>
    <row r="459" spans="1:6" ht="17.25" customHeight="1" x14ac:dyDescent="0.25">
      <c r="A459" s="491" t="s">
        <v>1097</v>
      </c>
      <c r="B459" s="492"/>
      <c r="C459" s="255"/>
      <c r="D459" s="256"/>
      <c r="E459" s="256"/>
      <c r="F459" s="256"/>
    </row>
    <row r="460" spans="1:6" ht="17.25" customHeight="1" x14ac:dyDescent="0.25">
      <c r="A460" s="520" t="s">
        <v>1098</v>
      </c>
      <c r="B460" s="486"/>
      <c r="C460" s="198"/>
      <c r="D460" s="257"/>
      <c r="E460" s="257"/>
      <c r="F460" s="257"/>
    </row>
    <row r="461" spans="1:6" x14ac:dyDescent="0.25">
      <c r="A461" s="516" t="s">
        <v>7</v>
      </c>
      <c r="B461" s="516" t="s">
        <v>8</v>
      </c>
      <c r="C461" s="516" t="s">
        <v>9</v>
      </c>
      <c r="D461" s="522" t="s">
        <v>472</v>
      </c>
      <c r="E461" s="483"/>
      <c r="F461" s="488"/>
    </row>
    <row r="462" spans="1:6" x14ac:dyDescent="0.25">
      <c r="A462" s="480"/>
      <c r="B462" s="480"/>
      <c r="C462" s="480"/>
      <c r="D462" s="258" t="s">
        <v>1099</v>
      </c>
      <c r="E462" s="258" t="s">
        <v>1100</v>
      </c>
      <c r="F462" s="258" t="s">
        <v>1101</v>
      </c>
    </row>
    <row r="463" spans="1:6" x14ac:dyDescent="0.25">
      <c r="A463" s="523" t="s">
        <v>1102</v>
      </c>
      <c r="B463" s="483"/>
      <c r="C463" s="483"/>
      <c r="D463" s="483"/>
      <c r="E463" s="483"/>
      <c r="F463" s="488"/>
    </row>
    <row r="464" spans="1:6" x14ac:dyDescent="0.25">
      <c r="A464" s="252" t="s">
        <v>1103</v>
      </c>
      <c r="B464" s="252" t="s">
        <v>1104</v>
      </c>
      <c r="C464" s="252" t="s">
        <v>85</v>
      </c>
      <c r="D464" s="245">
        <v>1150</v>
      </c>
      <c r="E464" s="245">
        <v>600</v>
      </c>
      <c r="F464" s="245">
        <v>120</v>
      </c>
    </row>
    <row r="465" spans="1:6" x14ac:dyDescent="0.25">
      <c r="A465" s="253" t="s">
        <v>1105</v>
      </c>
      <c r="B465" s="253" t="s">
        <v>1106</v>
      </c>
      <c r="C465" s="253" t="s">
        <v>85</v>
      </c>
      <c r="D465" s="246">
        <v>1350</v>
      </c>
      <c r="E465" s="246">
        <v>600</v>
      </c>
      <c r="F465" s="246">
        <v>120</v>
      </c>
    </row>
    <row r="466" spans="1:6" ht="17.25" customHeight="1" x14ac:dyDescent="0.25">
      <c r="A466" s="487" t="s">
        <v>1107</v>
      </c>
      <c r="B466" s="488"/>
      <c r="C466" s="248"/>
      <c r="D466" s="249"/>
      <c r="E466" s="249"/>
      <c r="F466" s="249"/>
    </row>
    <row r="467" spans="1:6" x14ac:dyDescent="0.25">
      <c r="A467" s="252" t="s">
        <v>1108</v>
      </c>
      <c r="B467" s="252" t="s">
        <v>1109</v>
      </c>
      <c r="C467" s="252" t="s">
        <v>85</v>
      </c>
      <c r="D467" s="245">
        <v>400</v>
      </c>
      <c r="E467" s="245">
        <v>240</v>
      </c>
      <c r="F467" s="245">
        <v>95</v>
      </c>
    </row>
    <row r="468" spans="1:6" x14ac:dyDescent="0.25">
      <c r="A468" s="253" t="s">
        <v>1110</v>
      </c>
      <c r="B468" s="253" t="s">
        <v>1111</v>
      </c>
      <c r="C468" s="253" t="s">
        <v>85</v>
      </c>
      <c r="D468" s="246">
        <v>680</v>
      </c>
      <c r="E468" s="246">
        <v>330</v>
      </c>
      <c r="F468" s="246">
        <v>100</v>
      </c>
    </row>
    <row r="469" spans="1:6" x14ac:dyDescent="0.25">
      <c r="D469" s="250"/>
      <c r="E469" s="250"/>
      <c r="F469" s="250"/>
    </row>
    <row r="470" spans="1:6" ht="17.25" customHeight="1" x14ac:dyDescent="0.25">
      <c r="A470" s="487" t="s">
        <v>1112</v>
      </c>
      <c r="B470" s="488"/>
      <c r="C470" s="248"/>
      <c r="D470" s="249"/>
      <c r="E470" s="249"/>
      <c r="F470" s="250"/>
    </row>
    <row r="471" spans="1:6" x14ac:dyDescent="0.25">
      <c r="A471" s="516" t="s">
        <v>7</v>
      </c>
      <c r="B471" s="516" t="s">
        <v>8</v>
      </c>
      <c r="C471" s="516" t="s">
        <v>9</v>
      </c>
      <c r="D471" s="517" t="s">
        <v>472</v>
      </c>
      <c r="E471" s="488"/>
      <c r="F471" s="250"/>
    </row>
    <row r="472" spans="1:6" x14ac:dyDescent="0.25">
      <c r="A472" s="480"/>
      <c r="B472" s="480"/>
      <c r="C472" s="480"/>
      <c r="D472" s="258" t="s">
        <v>1099</v>
      </c>
      <c r="E472" s="258" t="s">
        <v>1100</v>
      </c>
      <c r="F472" s="250"/>
    </row>
    <row r="473" spans="1:6" x14ac:dyDescent="0.25">
      <c r="A473" s="252" t="s">
        <v>1113</v>
      </c>
      <c r="B473" s="252" t="s">
        <v>1114</v>
      </c>
      <c r="C473" s="252" t="s">
        <v>85</v>
      </c>
      <c r="D473" s="245">
        <v>200</v>
      </c>
      <c r="E473" s="245">
        <v>90</v>
      </c>
      <c r="F473" s="250"/>
    </row>
    <row r="474" spans="1:6" x14ac:dyDescent="0.25">
      <c r="A474" s="253" t="s">
        <v>1115</v>
      </c>
      <c r="B474" s="253" t="s">
        <v>1116</v>
      </c>
      <c r="C474" s="253" t="s">
        <v>85</v>
      </c>
      <c r="D474" s="246">
        <v>280</v>
      </c>
      <c r="E474" s="246">
        <v>130</v>
      </c>
      <c r="F474" s="250"/>
    </row>
    <row r="475" spans="1:6" ht="17.25" customHeight="1" x14ac:dyDescent="0.25">
      <c r="A475" s="487" t="s">
        <v>1117</v>
      </c>
      <c r="B475" s="488"/>
      <c r="C475" s="248"/>
      <c r="D475" s="249"/>
      <c r="E475" s="249"/>
      <c r="F475" s="250"/>
    </row>
    <row r="476" spans="1:6" x14ac:dyDescent="0.25">
      <c r="A476" s="252" t="s">
        <v>1118</v>
      </c>
      <c r="B476" s="252" t="s">
        <v>1116</v>
      </c>
      <c r="C476" s="252" t="s">
        <v>85</v>
      </c>
      <c r="D476" s="245">
        <v>690</v>
      </c>
      <c r="E476" s="245">
        <v>300</v>
      </c>
      <c r="F476" s="250"/>
    </row>
    <row r="477" spans="1:6" ht="17.25" customHeight="1" x14ac:dyDescent="0.25">
      <c r="A477" s="487" t="s">
        <v>1119</v>
      </c>
      <c r="B477" s="488"/>
      <c r="C477" s="248"/>
      <c r="D477" s="249"/>
      <c r="E477" s="249"/>
      <c r="F477" s="250"/>
    </row>
    <row r="478" spans="1:6" x14ac:dyDescent="0.25">
      <c r="A478" s="259" t="s">
        <v>1120</v>
      </c>
      <c r="B478" s="259" t="s">
        <v>1121</v>
      </c>
      <c r="C478" s="259" t="s">
        <v>85</v>
      </c>
      <c r="D478" s="260">
        <v>500</v>
      </c>
      <c r="E478" s="260">
        <v>50</v>
      </c>
      <c r="F478" s="250"/>
    </row>
    <row r="479" spans="1:6" ht="17.25" customHeight="1" x14ac:dyDescent="0.25">
      <c r="A479" s="487" t="s">
        <v>1122</v>
      </c>
      <c r="B479" s="488"/>
      <c r="C479" s="248"/>
      <c r="D479" s="249"/>
      <c r="E479" s="249"/>
      <c r="F479" s="250"/>
    </row>
    <row r="480" spans="1:6" x14ac:dyDescent="0.25">
      <c r="A480" s="253" t="s">
        <v>1123</v>
      </c>
      <c r="B480" s="253" t="s">
        <v>1124</v>
      </c>
      <c r="C480" s="253" t="s">
        <v>85</v>
      </c>
      <c r="D480" s="246">
        <v>330</v>
      </c>
      <c r="E480" s="246">
        <v>220</v>
      </c>
      <c r="F480" s="250"/>
    </row>
    <row r="481" spans="1:6" x14ac:dyDescent="0.25">
      <c r="A481" s="252" t="s">
        <v>1125</v>
      </c>
      <c r="B481" s="252" t="s">
        <v>1126</v>
      </c>
      <c r="C481" s="252" t="s">
        <v>85</v>
      </c>
      <c r="D481" s="245">
        <v>520</v>
      </c>
      <c r="E481" s="245">
        <v>370</v>
      </c>
      <c r="F481" s="250"/>
    </row>
    <row r="482" spans="1:6" x14ac:dyDescent="0.25">
      <c r="A482" s="253" t="s">
        <v>1127</v>
      </c>
      <c r="B482" s="253" t="s">
        <v>1128</v>
      </c>
      <c r="C482" s="253" t="s">
        <v>85</v>
      </c>
      <c r="D482" s="246">
        <v>840</v>
      </c>
      <c r="E482" s="246">
        <v>520</v>
      </c>
      <c r="F482" s="250"/>
    </row>
    <row r="483" spans="1:6" x14ac:dyDescent="0.25">
      <c r="A483" s="252" t="s">
        <v>1129</v>
      </c>
      <c r="B483" s="252" t="s">
        <v>1130</v>
      </c>
      <c r="C483" s="252" t="s">
        <v>85</v>
      </c>
      <c r="D483" s="245">
        <v>990</v>
      </c>
      <c r="E483" s="245">
        <v>670</v>
      </c>
      <c r="F483" s="250"/>
    </row>
    <row r="484" spans="1:6" x14ac:dyDescent="0.25">
      <c r="A484" s="253" t="s">
        <v>1131</v>
      </c>
      <c r="B484" s="253" t="s">
        <v>1132</v>
      </c>
      <c r="C484" s="253" t="s">
        <v>85</v>
      </c>
      <c r="D484" s="246">
        <v>1380</v>
      </c>
      <c r="E484" s="246">
        <v>900</v>
      </c>
      <c r="F484" s="250"/>
    </row>
    <row r="485" spans="1:6" x14ac:dyDescent="0.25">
      <c r="D485" s="250"/>
      <c r="E485" s="250"/>
      <c r="F485" s="250"/>
    </row>
    <row r="486" spans="1:6" ht="17.25" customHeight="1" x14ac:dyDescent="0.25">
      <c r="A486" s="487" t="s">
        <v>1133</v>
      </c>
      <c r="B486" s="488"/>
      <c r="C486" s="248"/>
      <c r="D486" s="249"/>
      <c r="E486" s="249"/>
      <c r="F486" s="250"/>
    </row>
    <row r="487" spans="1:6" x14ac:dyDescent="0.25">
      <c r="A487" s="516" t="s">
        <v>7</v>
      </c>
      <c r="B487" s="516" t="s">
        <v>8</v>
      </c>
      <c r="C487" s="516" t="s">
        <v>9</v>
      </c>
      <c r="D487" s="517" t="s">
        <v>472</v>
      </c>
      <c r="E487" s="488"/>
      <c r="F487" s="250"/>
    </row>
    <row r="488" spans="1:6" x14ac:dyDescent="0.25">
      <c r="A488" s="480"/>
      <c r="B488" s="480"/>
      <c r="C488" s="480"/>
      <c r="D488" s="258" t="s">
        <v>1099</v>
      </c>
      <c r="E488" s="258" t="s">
        <v>1100</v>
      </c>
      <c r="F488" s="250"/>
    </row>
    <row r="489" spans="1:6" x14ac:dyDescent="0.25">
      <c r="A489" s="252" t="s">
        <v>1134</v>
      </c>
      <c r="B489" s="252" t="s">
        <v>1135</v>
      </c>
      <c r="C489" s="252" t="s">
        <v>1136</v>
      </c>
      <c r="D489" s="245">
        <v>2500</v>
      </c>
      <c r="E489" s="245">
        <v>150</v>
      </c>
      <c r="F489" s="250"/>
    </row>
    <row r="490" spans="1:6" x14ac:dyDescent="0.25">
      <c r="A490" s="253" t="s">
        <v>1137</v>
      </c>
      <c r="B490" s="253" t="s">
        <v>1138</v>
      </c>
      <c r="C490" s="253" t="s">
        <v>1136</v>
      </c>
      <c r="D490" s="246">
        <v>3500</v>
      </c>
      <c r="E490" s="246">
        <v>180</v>
      </c>
      <c r="F490" s="250"/>
    </row>
    <row r="491" spans="1:6" x14ac:dyDescent="0.25">
      <c r="A491" s="252" t="s">
        <v>1139</v>
      </c>
      <c r="B491" s="252" t="s">
        <v>1140</v>
      </c>
      <c r="C491" s="252" t="s">
        <v>1136</v>
      </c>
      <c r="D491" s="245">
        <v>4200</v>
      </c>
      <c r="E491" s="245">
        <v>200</v>
      </c>
      <c r="F491" s="250"/>
    </row>
    <row r="492" spans="1:6" x14ac:dyDescent="0.25">
      <c r="A492" s="253" t="s">
        <v>1141</v>
      </c>
      <c r="B492" s="253" t="s">
        <v>1142</v>
      </c>
      <c r="C492" s="253" t="s">
        <v>1136</v>
      </c>
      <c r="D492" s="246">
        <v>6400</v>
      </c>
      <c r="E492" s="246">
        <v>240</v>
      </c>
      <c r="F492" s="250"/>
    </row>
    <row r="493" spans="1:6" x14ac:dyDescent="0.25">
      <c r="A493" s="252" t="s">
        <v>1143</v>
      </c>
      <c r="B493" s="252" t="s">
        <v>1144</v>
      </c>
      <c r="C493" s="252" t="s">
        <v>1136</v>
      </c>
      <c r="D493" s="245">
        <v>8300</v>
      </c>
      <c r="E493" s="245">
        <v>300</v>
      </c>
      <c r="F493" s="250"/>
    </row>
    <row r="494" spans="1:6" x14ac:dyDescent="0.25">
      <c r="A494" s="253" t="s">
        <v>1145</v>
      </c>
      <c r="B494" s="253" t="s">
        <v>1146</v>
      </c>
      <c r="C494" s="253" t="s">
        <v>1136</v>
      </c>
      <c r="D494" s="246">
        <v>9500</v>
      </c>
      <c r="E494" s="246">
        <v>350</v>
      </c>
      <c r="F494" s="250"/>
    </row>
    <row r="496" spans="1:6" ht="17.25" customHeight="1" x14ac:dyDescent="0.25">
      <c r="A496" s="487" t="s">
        <v>1147</v>
      </c>
      <c r="B496" s="488"/>
      <c r="C496" s="124"/>
      <c r="D496" s="125"/>
      <c r="E496" s="169"/>
      <c r="F496" s="169"/>
    </row>
    <row r="497" spans="1:6" x14ac:dyDescent="0.25">
      <c r="A497" s="209" t="s">
        <v>7</v>
      </c>
      <c r="B497" s="142" t="s">
        <v>8</v>
      </c>
      <c r="C497" s="209" t="s">
        <v>9</v>
      </c>
      <c r="D497" s="143" t="s">
        <v>472</v>
      </c>
      <c r="E497" s="169"/>
      <c r="F497" s="169"/>
    </row>
    <row r="498" spans="1:6" x14ac:dyDescent="0.25">
      <c r="A498" s="128" t="s">
        <v>1148</v>
      </c>
      <c r="B498" s="128" t="s">
        <v>1040</v>
      </c>
      <c r="C498" s="128" t="s">
        <v>1149</v>
      </c>
      <c r="D498" s="129">
        <v>510</v>
      </c>
      <c r="E498" s="169"/>
      <c r="F498" s="169"/>
    </row>
    <row r="499" spans="1:6" ht="17.25" customHeight="1" x14ac:dyDescent="0.25">
      <c r="A499" s="487" t="s">
        <v>1150</v>
      </c>
      <c r="B499" s="488"/>
      <c r="C499" s="124"/>
      <c r="D499" s="125"/>
      <c r="E499" s="169"/>
      <c r="F499" s="169"/>
    </row>
    <row r="500" spans="1:6" ht="34.5" customHeight="1" x14ac:dyDescent="0.25">
      <c r="A500" s="524" t="s">
        <v>1151</v>
      </c>
      <c r="B500" s="488"/>
      <c r="C500" s="124"/>
      <c r="D500" s="125"/>
      <c r="E500" s="169"/>
      <c r="F500" s="169"/>
    </row>
    <row r="501" spans="1:6" x14ac:dyDescent="0.25">
      <c r="A501" s="209" t="s">
        <v>7</v>
      </c>
      <c r="B501" s="142" t="s">
        <v>8</v>
      </c>
      <c r="C501" s="209" t="s">
        <v>9</v>
      </c>
      <c r="D501" s="143" t="s">
        <v>472</v>
      </c>
      <c r="E501" s="169"/>
      <c r="F501" s="169"/>
    </row>
    <row r="502" spans="1:6" x14ac:dyDescent="0.25">
      <c r="A502" s="130" t="s">
        <v>1152</v>
      </c>
      <c r="B502" s="130" t="s">
        <v>1153</v>
      </c>
      <c r="C502" s="130" t="s">
        <v>1149</v>
      </c>
      <c r="D502" s="131">
        <v>310</v>
      </c>
      <c r="E502" s="169"/>
      <c r="F502" s="169"/>
    </row>
    <row r="503" spans="1:6" x14ac:dyDescent="0.25">
      <c r="A503" s="128" t="s">
        <v>1154</v>
      </c>
      <c r="B503" s="128" t="s">
        <v>1155</v>
      </c>
      <c r="C503" s="128" t="s">
        <v>1149</v>
      </c>
      <c r="D503" s="129">
        <v>350</v>
      </c>
      <c r="E503" s="169"/>
      <c r="F503" s="169"/>
    </row>
    <row r="504" spans="1:6" x14ac:dyDescent="0.25">
      <c r="A504" s="130" t="s">
        <v>1156</v>
      </c>
      <c r="B504" s="130" t="s">
        <v>1157</v>
      </c>
      <c r="C504" s="130" t="s">
        <v>1149</v>
      </c>
      <c r="D504" s="131">
        <v>350</v>
      </c>
      <c r="E504" s="169"/>
      <c r="F504" s="169"/>
    </row>
    <row r="505" spans="1:6" x14ac:dyDescent="0.25">
      <c r="A505" s="128" t="s">
        <v>1158</v>
      </c>
      <c r="B505" s="128" t="s">
        <v>1159</v>
      </c>
      <c r="C505" s="128" t="s">
        <v>1149</v>
      </c>
      <c r="D505" s="129">
        <v>510</v>
      </c>
      <c r="E505" s="169"/>
      <c r="F505" s="169"/>
    </row>
    <row r="506" spans="1:6" x14ac:dyDescent="0.25">
      <c r="A506" s="130" t="s">
        <v>1160</v>
      </c>
      <c r="B506" s="130" t="s">
        <v>1092</v>
      </c>
      <c r="C506" s="130" t="s">
        <v>1149</v>
      </c>
      <c r="D506" s="131">
        <v>510</v>
      </c>
      <c r="E506" s="169"/>
      <c r="F506" s="169"/>
    </row>
    <row r="507" spans="1:6" ht="17.25" customHeight="1" x14ac:dyDescent="0.25">
      <c r="A507" s="487" t="s">
        <v>1161</v>
      </c>
      <c r="B507" s="488"/>
      <c r="C507" s="124"/>
      <c r="D507" s="125"/>
      <c r="E507" s="169"/>
      <c r="F507" s="169"/>
    </row>
    <row r="508" spans="1:6" x14ac:dyDescent="0.25">
      <c r="A508" s="209" t="s">
        <v>7</v>
      </c>
      <c r="B508" s="142" t="s">
        <v>8</v>
      </c>
      <c r="C508" s="209" t="s">
        <v>9</v>
      </c>
      <c r="D508" s="143" t="s">
        <v>472</v>
      </c>
      <c r="E508" s="169"/>
      <c r="F508" s="169"/>
    </row>
    <row r="509" spans="1:6" x14ac:dyDescent="0.25">
      <c r="A509" s="128" t="s">
        <v>1162</v>
      </c>
      <c r="B509" s="128" t="s">
        <v>1155</v>
      </c>
      <c r="C509" s="128" t="s">
        <v>1149</v>
      </c>
      <c r="D509" s="129">
        <v>420</v>
      </c>
      <c r="E509" s="169"/>
      <c r="F509" s="169"/>
    </row>
    <row r="510" spans="1:6" x14ac:dyDescent="0.25">
      <c r="A510" s="130" t="s">
        <v>1163</v>
      </c>
      <c r="B510" s="130" t="s">
        <v>1157</v>
      </c>
      <c r="C510" s="130" t="s">
        <v>1149</v>
      </c>
      <c r="D510" s="131">
        <v>460</v>
      </c>
      <c r="E510" s="169"/>
      <c r="F510" s="169"/>
    </row>
    <row r="511" spans="1:6" x14ac:dyDescent="0.25">
      <c r="A511" s="128" t="s">
        <v>1164</v>
      </c>
      <c r="B511" s="128" t="s">
        <v>1159</v>
      </c>
      <c r="C511" s="128" t="s">
        <v>1149</v>
      </c>
      <c r="D511" s="129">
        <v>650</v>
      </c>
      <c r="E511" s="169"/>
      <c r="F511" s="169"/>
    </row>
    <row r="512" spans="1:6" x14ac:dyDescent="0.25">
      <c r="A512" s="130" t="s">
        <v>1165</v>
      </c>
      <c r="B512" s="130" t="s">
        <v>1092</v>
      </c>
      <c r="C512" s="130" t="s">
        <v>1149</v>
      </c>
      <c r="D512" s="131">
        <v>670</v>
      </c>
      <c r="E512" s="169"/>
      <c r="F512" s="169"/>
    </row>
    <row r="513" spans="1:6" x14ac:dyDescent="0.25">
      <c r="A513" s="128" t="s">
        <v>1166</v>
      </c>
      <c r="B513" s="128" t="s">
        <v>1094</v>
      </c>
      <c r="C513" s="128" t="s">
        <v>1149</v>
      </c>
      <c r="D513" s="129">
        <v>810</v>
      </c>
      <c r="E513" s="169"/>
      <c r="F513" s="169"/>
    </row>
    <row r="514" spans="1:6" x14ac:dyDescent="0.25">
      <c r="D514" s="169"/>
      <c r="E514" s="169"/>
      <c r="F514" s="169"/>
    </row>
    <row r="515" spans="1:6" x14ac:dyDescent="0.25">
      <c r="D515" s="169"/>
      <c r="E515" s="169"/>
      <c r="F515" s="169"/>
    </row>
    <row r="516" spans="1:6" ht="17.25" customHeight="1" x14ac:dyDescent="0.25">
      <c r="A516" s="487" t="s">
        <v>1167</v>
      </c>
      <c r="B516" s="488"/>
      <c r="C516" s="124"/>
      <c r="D516" s="125"/>
      <c r="E516" s="125"/>
      <c r="F516" s="125"/>
    </row>
    <row r="517" spans="1:6" ht="17.25" customHeight="1" x14ac:dyDescent="0.25">
      <c r="A517" s="487" t="s">
        <v>1168</v>
      </c>
      <c r="B517" s="488"/>
      <c r="C517" s="124"/>
      <c r="D517" s="125"/>
      <c r="E517" s="125"/>
      <c r="F517" s="125"/>
    </row>
    <row r="518" spans="1:6" x14ac:dyDescent="0.25">
      <c r="A518" s="512" t="s">
        <v>7</v>
      </c>
      <c r="B518" s="516" t="s">
        <v>8</v>
      </c>
      <c r="C518" s="512" t="s">
        <v>9</v>
      </c>
      <c r="D518" s="517" t="s">
        <v>472</v>
      </c>
      <c r="E518" s="483"/>
      <c r="F518" s="488"/>
    </row>
    <row r="519" spans="1:6" x14ac:dyDescent="0.25">
      <c r="A519" s="480"/>
      <c r="B519" s="480"/>
      <c r="C519" s="480"/>
      <c r="D519" s="243" t="s">
        <v>12</v>
      </c>
      <c r="E519" s="243" t="s">
        <v>86</v>
      </c>
      <c r="F519" s="243" t="s">
        <v>1169</v>
      </c>
    </row>
    <row r="520" spans="1:6" x14ac:dyDescent="0.25">
      <c r="A520" s="128" t="s">
        <v>1170</v>
      </c>
      <c r="B520" s="128" t="s">
        <v>1171</v>
      </c>
      <c r="C520" s="128" t="s">
        <v>178</v>
      </c>
      <c r="D520" s="129">
        <v>425</v>
      </c>
      <c r="E520" s="129">
        <v>200</v>
      </c>
      <c r="F520" s="129">
        <v>60</v>
      </c>
    </row>
    <row r="521" spans="1:6" x14ac:dyDescent="0.25">
      <c r="A521" s="130" t="s">
        <v>1172</v>
      </c>
      <c r="B521" s="130" t="s">
        <v>1173</v>
      </c>
      <c r="C521" s="130" t="s">
        <v>178</v>
      </c>
      <c r="D521" s="131">
        <v>570</v>
      </c>
      <c r="E521" s="131">
        <v>220</v>
      </c>
      <c r="F521" s="131">
        <v>70</v>
      </c>
    </row>
    <row r="522" spans="1:6" x14ac:dyDescent="0.25">
      <c r="A522" s="128" t="s">
        <v>1174</v>
      </c>
      <c r="B522" s="128" t="s">
        <v>1175</v>
      </c>
      <c r="C522" s="128" t="s">
        <v>178</v>
      </c>
      <c r="D522" s="129">
        <v>800</v>
      </c>
      <c r="E522" s="129">
        <v>330</v>
      </c>
      <c r="F522" s="129">
        <v>80</v>
      </c>
    </row>
    <row r="523" spans="1:6" x14ac:dyDescent="0.25">
      <c r="A523" s="130" t="s">
        <v>1176</v>
      </c>
      <c r="B523" s="130" t="s">
        <v>1177</v>
      </c>
      <c r="C523" s="130" t="s">
        <v>178</v>
      </c>
      <c r="D523" s="131">
        <v>1150</v>
      </c>
      <c r="E523" s="131">
        <v>585</v>
      </c>
      <c r="F523" s="131">
        <v>110</v>
      </c>
    </row>
    <row r="524" spans="1:6" x14ac:dyDescent="0.25">
      <c r="A524" s="128" t="s">
        <v>1178</v>
      </c>
      <c r="B524" s="128" t="s">
        <v>1179</v>
      </c>
      <c r="C524" s="261">
        <v>0.8</v>
      </c>
      <c r="D524" s="262"/>
      <c r="E524" s="262"/>
      <c r="F524" s="263"/>
    </row>
    <row r="525" spans="1:6" x14ac:dyDescent="0.25">
      <c r="D525" s="169"/>
      <c r="E525" s="169"/>
      <c r="F525" s="169"/>
    </row>
    <row r="526" spans="1:6" ht="17.25" customHeight="1" x14ac:dyDescent="0.25">
      <c r="A526" s="487" t="s">
        <v>1167</v>
      </c>
      <c r="B526" s="488"/>
      <c r="C526" s="124"/>
      <c r="D526" s="125"/>
      <c r="E526" s="125"/>
      <c r="F526" s="125"/>
    </row>
    <row r="527" spans="1:6" ht="17.25" customHeight="1" x14ac:dyDescent="0.25">
      <c r="A527" s="487" t="s">
        <v>1168</v>
      </c>
      <c r="B527" s="488"/>
      <c r="C527" s="124"/>
      <c r="D527" s="125"/>
      <c r="E527" s="125"/>
      <c r="F527" s="125"/>
    </row>
    <row r="528" spans="1:6" x14ac:dyDescent="0.25">
      <c r="A528" s="512" t="s">
        <v>7</v>
      </c>
      <c r="B528" s="516" t="s">
        <v>8</v>
      </c>
      <c r="C528" s="512" t="s">
        <v>9</v>
      </c>
      <c r="D528" s="517" t="s">
        <v>472</v>
      </c>
      <c r="E528" s="483"/>
      <c r="F528" s="488"/>
    </row>
    <row r="529" spans="1:6" x14ac:dyDescent="0.25">
      <c r="A529" s="480"/>
      <c r="B529" s="480"/>
      <c r="C529" s="480"/>
      <c r="D529" s="243" t="s">
        <v>12</v>
      </c>
      <c r="E529" s="243" t="s">
        <v>86</v>
      </c>
      <c r="F529" s="243" t="s">
        <v>1169</v>
      </c>
    </row>
    <row r="530" spans="1:6" x14ac:dyDescent="0.25">
      <c r="A530" s="128" t="s">
        <v>1180</v>
      </c>
      <c r="B530" s="128" t="s">
        <v>1181</v>
      </c>
      <c r="C530" s="128" t="s">
        <v>178</v>
      </c>
      <c r="D530" s="129">
        <v>800</v>
      </c>
      <c r="E530" s="129">
        <v>467.5</v>
      </c>
      <c r="F530" s="129">
        <v>60</v>
      </c>
    </row>
    <row r="531" spans="1:6" x14ac:dyDescent="0.25">
      <c r="A531" s="130" t="s">
        <v>1182</v>
      </c>
      <c r="B531" s="130" t="s">
        <v>1183</v>
      </c>
      <c r="C531" s="130" t="s">
        <v>178</v>
      </c>
      <c r="D531" s="131">
        <v>890</v>
      </c>
      <c r="E531" s="131">
        <v>476</v>
      </c>
      <c r="F531" s="131">
        <v>70</v>
      </c>
    </row>
    <row r="532" spans="1:6" x14ac:dyDescent="0.25">
      <c r="A532" s="128" t="s">
        <v>1184</v>
      </c>
      <c r="B532" s="128" t="s">
        <v>1185</v>
      </c>
      <c r="C532" s="128" t="s">
        <v>178</v>
      </c>
      <c r="D532" s="129">
        <v>1100</v>
      </c>
      <c r="E532" s="129">
        <v>650</v>
      </c>
      <c r="F532" s="129">
        <v>80</v>
      </c>
    </row>
    <row r="533" spans="1:6" x14ac:dyDescent="0.25">
      <c r="A533" s="130" t="s">
        <v>1186</v>
      </c>
      <c r="B533" s="130" t="s">
        <v>1187</v>
      </c>
      <c r="C533" s="264" t="s">
        <v>178</v>
      </c>
      <c r="D533" s="133">
        <v>1570</v>
      </c>
      <c r="E533" s="133">
        <v>700</v>
      </c>
      <c r="F533" s="133">
        <v>110</v>
      </c>
    </row>
    <row r="534" spans="1:6" x14ac:dyDescent="0.25">
      <c r="A534" s="128" t="s">
        <v>1188</v>
      </c>
      <c r="B534" s="261" t="s">
        <v>1179</v>
      </c>
      <c r="C534" s="261"/>
      <c r="D534" s="262">
        <v>0.8</v>
      </c>
      <c r="E534" s="262"/>
      <c r="F534" s="263"/>
    </row>
    <row r="535" spans="1:6" x14ac:dyDescent="0.25">
      <c r="D535" s="169"/>
      <c r="E535" s="169"/>
      <c r="F535" s="169"/>
    </row>
    <row r="536" spans="1:6" x14ac:dyDescent="0.25">
      <c r="D536" s="169"/>
      <c r="E536" s="169"/>
      <c r="F536" s="169"/>
    </row>
    <row r="537" spans="1:6" ht="17.25" customHeight="1" x14ac:dyDescent="0.25">
      <c r="A537" s="491" t="s">
        <v>1189</v>
      </c>
      <c r="B537" s="492"/>
      <c r="C537" s="196"/>
      <c r="D537" s="265"/>
      <c r="E537" s="169"/>
      <c r="F537" s="169"/>
    </row>
    <row r="538" spans="1:6" ht="17.25" customHeight="1" x14ac:dyDescent="0.25">
      <c r="A538" s="520" t="s">
        <v>1190</v>
      </c>
      <c r="B538" s="486"/>
      <c r="C538" s="247"/>
      <c r="D538" s="266"/>
      <c r="E538" s="169"/>
      <c r="F538" s="169"/>
    </row>
    <row r="539" spans="1:6" x14ac:dyDescent="0.25">
      <c r="A539" s="209" t="s">
        <v>7</v>
      </c>
      <c r="B539" s="142" t="s">
        <v>8</v>
      </c>
      <c r="C539" s="209" t="s">
        <v>9</v>
      </c>
      <c r="D539" s="143" t="s">
        <v>75</v>
      </c>
      <c r="E539" s="169"/>
      <c r="F539" s="169"/>
    </row>
    <row r="540" spans="1:6" x14ac:dyDescent="0.25">
      <c r="A540" s="128" t="s">
        <v>1191</v>
      </c>
      <c r="B540" s="128" t="s">
        <v>1192</v>
      </c>
      <c r="C540" s="128" t="s">
        <v>121</v>
      </c>
      <c r="D540" s="129">
        <v>210</v>
      </c>
      <c r="E540" s="169"/>
      <c r="F540" s="169"/>
    </row>
    <row r="541" spans="1:6" x14ac:dyDescent="0.25">
      <c r="A541" s="130" t="s">
        <v>1193</v>
      </c>
      <c r="B541" s="130" t="s">
        <v>1194</v>
      </c>
      <c r="C541" s="130" t="s">
        <v>121</v>
      </c>
      <c r="D541" s="131">
        <v>210</v>
      </c>
      <c r="E541" s="169"/>
      <c r="F541" s="169"/>
    </row>
    <row r="542" spans="1:6" x14ac:dyDescent="0.25">
      <c r="A542" s="128" t="s">
        <v>1195</v>
      </c>
      <c r="B542" s="128" t="s">
        <v>1196</v>
      </c>
      <c r="C542" s="128" t="s">
        <v>121</v>
      </c>
      <c r="D542" s="129">
        <v>280</v>
      </c>
      <c r="E542" s="169"/>
      <c r="F542" s="169"/>
    </row>
    <row r="543" spans="1:6" x14ac:dyDescent="0.25">
      <c r="A543" s="130" t="s">
        <v>1197</v>
      </c>
      <c r="B543" s="130" t="s">
        <v>1153</v>
      </c>
      <c r="C543" s="130" t="s">
        <v>121</v>
      </c>
      <c r="D543" s="131">
        <v>280</v>
      </c>
      <c r="E543" s="169"/>
      <c r="F543" s="169"/>
    </row>
    <row r="544" spans="1:6" x14ac:dyDescent="0.25">
      <c r="A544" s="128" t="s">
        <v>1198</v>
      </c>
      <c r="B544" s="128" t="s">
        <v>1155</v>
      </c>
      <c r="C544" s="128" t="s">
        <v>121</v>
      </c>
      <c r="D544" s="129">
        <v>360</v>
      </c>
      <c r="E544" s="169"/>
      <c r="F544" s="169"/>
    </row>
    <row r="545" spans="1:6" x14ac:dyDescent="0.25">
      <c r="A545" s="130" t="s">
        <v>1199</v>
      </c>
      <c r="B545" s="130" t="s">
        <v>1157</v>
      </c>
      <c r="C545" s="130" t="s">
        <v>121</v>
      </c>
      <c r="D545" s="131">
        <v>360</v>
      </c>
      <c r="E545" s="169"/>
      <c r="F545" s="169"/>
    </row>
    <row r="546" spans="1:6" x14ac:dyDescent="0.25">
      <c r="A546" s="128" t="s">
        <v>1200</v>
      </c>
      <c r="B546" s="128" t="s">
        <v>1159</v>
      </c>
      <c r="C546" s="128" t="s">
        <v>121</v>
      </c>
      <c r="D546" s="129">
        <v>475</v>
      </c>
      <c r="E546" s="169"/>
      <c r="F546" s="169"/>
    </row>
    <row r="547" spans="1:6" x14ac:dyDescent="0.25">
      <c r="A547" s="130" t="s">
        <v>1201</v>
      </c>
      <c r="B547" s="130" t="s">
        <v>1092</v>
      </c>
      <c r="C547" s="130" t="s">
        <v>121</v>
      </c>
      <c r="D547" s="131">
        <v>475</v>
      </c>
      <c r="E547" s="169"/>
      <c r="F547" s="169"/>
    </row>
    <row r="548" spans="1:6" x14ac:dyDescent="0.25">
      <c r="D548" s="169"/>
      <c r="E548" s="169"/>
      <c r="F548" s="169"/>
    </row>
    <row r="549" spans="1:6" x14ac:dyDescent="0.25">
      <c r="D549" s="169"/>
      <c r="E549" s="169"/>
      <c r="F549" s="169"/>
    </row>
    <row r="550" spans="1:6" ht="17.25" customHeight="1" x14ac:dyDescent="0.25">
      <c r="A550" s="487" t="s">
        <v>1202</v>
      </c>
      <c r="B550" s="488"/>
      <c r="C550" s="124"/>
      <c r="D550" s="125"/>
      <c r="E550" s="125"/>
      <c r="F550" s="169"/>
    </row>
    <row r="551" spans="1:6" x14ac:dyDescent="0.25">
      <c r="A551" s="516" t="s">
        <v>7</v>
      </c>
      <c r="B551" s="516" t="s">
        <v>8</v>
      </c>
      <c r="C551" s="516" t="s">
        <v>9</v>
      </c>
      <c r="D551" s="517" t="s">
        <v>75</v>
      </c>
      <c r="E551" s="488"/>
      <c r="F551" s="169"/>
    </row>
    <row r="552" spans="1:6" x14ac:dyDescent="0.25">
      <c r="A552" s="480"/>
      <c r="B552" s="480"/>
      <c r="C552" s="480"/>
      <c r="D552" s="243" t="s">
        <v>12</v>
      </c>
      <c r="E552" s="243" t="s">
        <v>86</v>
      </c>
      <c r="F552" s="169"/>
    </row>
    <row r="553" spans="1:6" x14ac:dyDescent="0.25">
      <c r="A553" s="128" t="s">
        <v>1203</v>
      </c>
      <c r="B553" s="128" t="s">
        <v>1171</v>
      </c>
      <c r="C553" s="128" t="s">
        <v>178</v>
      </c>
      <c r="D553" s="129">
        <v>190</v>
      </c>
      <c r="E553" s="129">
        <v>100</v>
      </c>
      <c r="F553" s="169"/>
    </row>
    <row r="554" spans="1:6" x14ac:dyDescent="0.25">
      <c r="A554" s="130" t="s">
        <v>1204</v>
      </c>
      <c r="B554" s="130" t="s">
        <v>1194</v>
      </c>
      <c r="C554" s="130" t="s">
        <v>178</v>
      </c>
      <c r="D554" s="131">
        <v>275</v>
      </c>
      <c r="E554" s="131">
        <v>110</v>
      </c>
      <c r="F554" s="169"/>
    </row>
    <row r="555" spans="1:6" x14ac:dyDescent="0.25">
      <c r="A555" s="128" t="s">
        <v>1205</v>
      </c>
      <c r="B555" s="128" t="s">
        <v>1196</v>
      </c>
      <c r="C555" s="128" t="s">
        <v>178</v>
      </c>
      <c r="D555" s="129">
        <v>275</v>
      </c>
      <c r="E555" s="129">
        <v>110</v>
      </c>
      <c r="F555" s="169"/>
    </row>
    <row r="556" spans="1:6" x14ac:dyDescent="0.25">
      <c r="A556" s="130" t="s">
        <v>1206</v>
      </c>
      <c r="B556" s="130" t="s">
        <v>1018</v>
      </c>
      <c r="C556" s="130" t="s">
        <v>178</v>
      </c>
      <c r="D556" s="131">
        <v>490</v>
      </c>
      <c r="E556" s="131">
        <v>180</v>
      </c>
      <c r="F556" s="169"/>
    </row>
    <row r="557" spans="1:6" x14ac:dyDescent="0.25">
      <c r="A557" s="128" t="s">
        <v>1207</v>
      </c>
      <c r="B557" s="128" t="s">
        <v>1208</v>
      </c>
      <c r="C557" s="128" t="s">
        <v>178</v>
      </c>
      <c r="D557" s="129">
        <v>650</v>
      </c>
      <c r="E557" s="129">
        <v>230</v>
      </c>
      <c r="F557" s="169"/>
    </row>
    <row r="559" spans="1:6" ht="17.25" customHeight="1" x14ac:dyDescent="0.25">
      <c r="A559" s="487" t="s">
        <v>1209</v>
      </c>
      <c r="B559" s="488"/>
      <c r="C559" s="206"/>
      <c r="D559" s="207"/>
      <c r="E559" s="207"/>
    </row>
    <row r="560" spans="1:6" x14ac:dyDescent="0.25">
      <c r="A560" s="516" t="s">
        <v>7</v>
      </c>
      <c r="B560" s="516" t="s">
        <v>8</v>
      </c>
      <c r="C560" s="516" t="s">
        <v>9</v>
      </c>
      <c r="D560" s="517" t="s">
        <v>75</v>
      </c>
      <c r="E560" s="488"/>
    </row>
    <row r="561" spans="1:6" x14ac:dyDescent="0.25">
      <c r="A561" s="480"/>
      <c r="B561" s="480"/>
      <c r="C561" s="480"/>
      <c r="D561" s="243" t="s">
        <v>12</v>
      </c>
      <c r="E561" s="243" t="s">
        <v>86</v>
      </c>
    </row>
    <row r="562" spans="1:6" x14ac:dyDescent="0.25">
      <c r="A562" s="201" t="s">
        <v>1210</v>
      </c>
      <c r="B562" s="201" t="s">
        <v>1211</v>
      </c>
      <c r="C562" s="201" t="s">
        <v>178</v>
      </c>
      <c r="D562" s="202">
        <v>150</v>
      </c>
      <c r="E562" s="202">
        <v>70</v>
      </c>
    </row>
    <row r="563" spans="1:6" x14ac:dyDescent="0.25">
      <c r="A563" s="203" t="s">
        <v>1212</v>
      </c>
      <c r="B563" s="203" t="s">
        <v>1213</v>
      </c>
      <c r="C563" s="203" t="s">
        <v>178</v>
      </c>
      <c r="D563" s="204">
        <v>260</v>
      </c>
      <c r="E563" s="204">
        <v>120</v>
      </c>
    </row>
    <row r="564" spans="1:6" x14ac:dyDescent="0.25">
      <c r="A564" s="201" t="s">
        <v>1214</v>
      </c>
      <c r="B564" s="201" t="s">
        <v>1215</v>
      </c>
      <c r="C564" s="201" t="s">
        <v>178</v>
      </c>
      <c r="D564" s="202">
        <v>560</v>
      </c>
      <c r="E564" s="202">
        <v>230</v>
      </c>
    </row>
    <row r="565" spans="1:6" x14ac:dyDescent="0.25">
      <c r="A565" s="203" t="s">
        <v>1216</v>
      </c>
      <c r="B565" s="203" t="s">
        <v>1157</v>
      </c>
      <c r="C565" s="203" t="s">
        <v>178</v>
      </c>
      <c r="D565" s="204">
        <v>920</v>
      </c>
      <c r="E565" s="204">
        <v>410</v>
      </c>
    </row>
    <row r="566" spans="1:6" x14ac:dyDescent="0.25">
      <c r="A566" s="201" t="s">
        <v>1217</v>
      </c>
      <c r="B566" s="201" t="s">
        <v>1159</v>
      </c>
      <c r="C566" s="201" t="s">
        <v>178</v>
      </c>
      <c r="D566" s="202">
        <v>920</v>
      </c>
      <c r="E566" s="202">
        <v>430</v>
      </c>
    </row>
    <row r="567" spans="1:6" ht="17.25" customHeight="1" x14ac:dyDescent="0.25">
      <c r="A567" s="487" t="s">
        <v>1218</v>
      </c>
      <c r="B567" s="488"/>
      <c r="C567" s="206"/>
      <c r="D567" s="207"/>
      <c r="E567" s="207"/>
    </row>
    <row r="568" spans="1:6" x14ac:dyDescent="0.25">
      <c r="A568" s="209" t="s">
        <v>7</v>
      </c>
      <c r="B568" s="142" t="s">
        <v>8</v>
      </c>
      <c r="C568" s="209" t="s">
        <v>9</v>
      </c>
      <c r="D568" s="143" t="s">
        <v>75</v>
      </c>
      <c r="E568" s="169"/>
      <c r="F568" s="169"/>
    </row>
    <row r="569" spans="1:6" x14ac:dyDescent="0.25">
      <c r="A569" s="203" t="s">
        <v>1219</v>
      </c>
      <c r="B569" s="203" t="s">
        <v>1220</v>
      </c>
      <c r="C569" s="203" t="s">
        <v>178</v>
      </c>
      <c r="D569" s="204">
        <v>370</v>
      </c>
      <c r="E569" s="204">
        <v>160</v>
      </c>
    </row>
    <row r="570" spans="1:6" x14ac:dyDescent="0.25">
      <c r="A570" s="201" t="s">
        <v>1221</v>
      </c>
      <c r="B570" s="201" t="s">
        <v>1222</v>
      </c>
      <c r="C570" s="201" t="s">
        <v>178</v>
      </c>
      <c r="D570" s="202">
        <v>1100</v>
      </c>
      <c r="E570" s="202">
        <v>550</v>
      </c>
    </row>
    <row r="571" spans="1:6" ht="17.25" customHeight="1" x14ac:dyDescent="0.25">
      <c r="A571" s="487" t="s">
        <v>1223</v>
      </c>
      <c r="B571" s="488"/>
      <c r="C571" s="206"/>
      <c r="D571" s="207"/>
      <c r="E571" s="207"/>
    </row>
    <row r="572" spans="1:6" x14ac:dyDescent="0.25">
      <c r="A572" s="209" t="s">
        <v>7</v>
      </c>
      <c r="B572" s="142" t="s">
        <v>8</v>
      </c>
      <c r="C572" s="209" t="s">
        <v>9</v>
      </c>
      <c r="D572" s="143" t="s">
        <v>75</v>
      </c>
      <c r="E572" s="169"/>
      <c r="F572" s="169"/>
    </row>
    <row r="573" spans="1:6" x14ac:dyDescent="0.25">
      <c r="A573" s="203" t="s">
        <v>1224</v>
      </c>
      <c r="B573" s="203" t="s">
        <v>1225</v>
      </c>
      <c r="C573" s="203" t="s">
        <v>1226</v>
      </c>
      <c r="D573" s="204">
        <v>7</v>
      </c>
      <c r="E573" s="204">
        <v>5</v>
      </c>
    </row>
    <row r="574" spans="1:6" x14ac:dyDescent="0.25">
      <c r="A574" s="201" t="s">
        <v>1227</v>
      </c>
      <c r="B574" s="201" t="s">
        <v>1228</v>
      </c>
      <c r="C574" s="201" t="s">
        <v>1226</v>
      </c>
      <c r="D574" s="202">
        <v>7</v>
      </c>
      <c r="E574" s="202">
        <v>5</v>
      </c>
    </row>
    <row r="575" spans="1:6" x14ac:dyDescent="0.25">
      <c r="A575" s="203" t="s">
        <v>1229</v>
      </c>
      <c r="B575" s="203" t="s">
        <v>1230</v>
      </c>
      <c r="C575" s="203" t="s">
        <v>1226</v>
      </c>
      <c r="D575" s="204">
        <v>7</v>
      </c>
      <c r="E575" s="204">
        <v>5</v>
      </c>
    </row>
    <row r="576" spans="1:6" x14ac:dyDescent="0.25">
      <c r="A576" s="201" t="s">
        <v>1231</v>
      </c>
      <c r="B576" s="201" t="s">
        <v>1232</v>
      </c>
      <c r="C576" s="201" t="s">
        <v>1226</v>
      </c>
      <c r="D576" s="202">
        <v>7</v>
      </c>
      <c r="E576" s="202">
        <v>5</v>
      </c>
    </row>
    <row r="577" spans="1:5" x14ac:dyDescent="0.25">
      <c r="A577" s="203" t="s">
        <v>1233</v>
      </c>
      <c r="B577" s="203" t="s">
        <v>1234</v>
      </c>
      <c r="C577" s="203" t="s">
        <v>1226</v>
      </c>
      <c r="D577" s="204">
        <v>10</v>
      </c>
      <c r="E577" s="204">
        <v>7</v>
      </c>
    </row>
    <row r="578" spans="1:5" x14ac:dyDescent="0.25">
      <c r="A578" s="201" t="s">
        <v>1235</v>
      </c>
      <c r="B578" s="201" t="s">
        <v>1236</v>
      </c>
      <c r="C578" s="201" t="s">
        <v>1226</v>
      </c>
      <c r="D578" s="202">
        <v>11</v>
      </c>
      <c r="E578" s="202">
        <v>7</v>
      </c>
    </row>
    <row r="579" spans="1:5" x14ac:dyDescent="0.25">
      <c r="D579" s="267"/>
      <c r="E579" s="267"/>
    </row>
    <row r="580" spans="1:5" ht="17.25" customHeight="1" x14ac:dyDescent="0.3">
      <c r="A580" s="521" t="s">
        <v>1237</v>
      </c>
      <c r="B580" s="485"/>
      <c r="C580" s="254"/>
      <c r="D580" s="254"/>
      <c r="E580" s="254"/>
    </row>
    <row r="581" spans="1:5" x14ac:dyDescent="0.25">
      <c r="A581" s="516" t="s">
        <v>7</v>
      </c>
      <c r="B581" s="516" t="s">
        <v>8</v>
      </c>
      <c r="C581" s="516" t="s">
        <v>9</v>
      </c>
      <c r="D581" s="517" t="s">
        <v>75</v>
      </c>
      <c r="E581" s="488"/>
    </row>
    <row r="582" spans="1:5" x14ac:dyDescent="0.25">
      <c r="A582" s="480"/>
      <c r="B582" s="480"/>
      <c r="C582" s="480"/>
      <c r="D582" s="243" t="s">
        <v>12</v>
      </c>
      <c r="E582" s="243" t="s">
        <v>86</v>
      </c>
    </row>
    <row r="583" spans="1:5" x14ac:dyDescent="0.25">
      <c r="A583" s="268" t="s">
        <v>1238</v>
      </c>
      <c r="B583" s="268" t="s">
        <v>1239</v>
      </c>
      <c r="C583" s="201" t="s">
        <v>178</v>
      </c>
      <c r="D583" s="269">
        <v>260</v>
      </c>
      <c r="E583" s="269">
        <v>110</v>
      </c>
    </row>
    <row r="584" spans="1:5" x14ac:dyDescent="0.25">
      <c r="A584" s="270" t="s">
        <v>1240</v>
      </c>
      <c r="B584" s="270" t="s">
        <v>1239</v>
      </c>
      <c r="C584" s="203" t="s">
        <v>178</v>
      </c>
      <c r="D584" s="271">
        <v>350</v>
      </c>
      <c r="E584" s="271">
        <v>145</v>
      </c>
    </row>
    <row r="585" spans="1:5" x14ac:dyDescent="0.25">
      <c r="A585" s="268" t="s">
        <v>1241</v>
      </c>
      <c r="B585" s="268" t="s">
        <v>1242</v>
      </c>
      <c r="C585" s="201" t="s">
        <v>178</v>
      </c>
      <c r="D585" s="269">
        <v>500</v>
      </c>
      <c r="E585" s="269">
        <v>195</v>
      </c>
    </row>
    <row r="586" spans="1:5" x14ac:dyDescent="0.25">
      <c r="A586" s="270" t="s">
        <v>1243</v>
      </c>
      <c r="B586" s="270" t="s">
        <v>1244</v>
      </c>
      <c r="C586" s="203" t="s">
        <v>178</v>
      </c>
      <c r="D586" s="271">
        <v>445</v>
      </c>
      <c r="E586" s="271">
        <v>300</v>
      </c>
    </row>
    <row r="587" spans="1:5" x14ac:dyDescent="0.25">
      <c r="A587" s="268" t="s">
        <v>1245</v>
      </c>
      <c r="B587" s="268" t="s">
        <v>1246</v>
      </c>
      <c r="C587" s="201" t="s">
        <v>178</v>
      </c>
      <c r="D587" s="269">
        <v>1020</v>
      </c>
      <c r="E587" s="269">
        <v>470</v>
      </c>
    </row>
    <row r="588" spans="1:5" x14ac:dyDescent="0.25">
      <c r="A588" s="270" t="s">
        <v>1247</v>
      </c>
      <c r="B588" s="270" t="s">
        <v>1157</v>
      </c>
      <c r="C588" s="203" t="s">
        <v>178</v>
      </c>
      <c r="D588" s="271">
        <v>1130</v>
      </c>
      <c r="E588" s="271">
        <v>480</v>
      </c>
    </row>
    <row r="589" spans="1:5" x14ac:dyDescent="0.25">
      <c r="A589" s="268" t="s">
        <v>1248</v>
      </c>
      <c r="B589" s="268" t="s">
        <v>1249</v>
      </c>
      <c r="C589" s="268" t="s">
        <v>85</v>
      </c>
      <c r="D589" s="269">
        <v>40</v>
      </c>
      <c r="E589" s="267"/>
    </row>
    <row r="590" spans="1:5" x14ac:dyDescent="0.25">
      <c r="A590" s="270" t="s">
        <v>1250</v>
      </c>
      <c r="B590" s="270" t="s">
        <v>1251</v>
      </c>
      <c r="C590" s="270" t="s">
        <v>85</v>
      </c>
      <c r="D590" s="271">
        <v>45</v>
      </c>
      <c r="E590" s="267"/>
    </row>
    <row r="591" spans="1:5" x14ac:dyDescent="0.25">
      <c r="A591" s="268" t="s">
        <v>1252</v>
      </c>
      <c r="B591" s="268" t="s">
        <v>1253</v>
      </c>
      <c r="C591" s="268" t="s">
        <v>85</v>
      </c>
      <c r="D591" s="269">
        <v>45</v>
      </c>
      <c r="E591" s="267"/>
    </row>
    <row r="592" spans="1:5" x14ac:dyDescent="0.25">
      <c r="A592" s="270" t="s">
        <v>1254</v>
      </c>
      <c r="B592" s="270" t="s">
        <v>1255</v>
      </c>
      <c r="C592" s="270" t="s">
        <v>85</v>
      </c>
      <c r="D592" s="271">
        <v>80</v>
      </c>
      <c r="E592" s="267"/>
    </row>
    <row r="593" spans="1:5" ht="17.25" customHeight="1" x14ac:dyDescent="0.3">
      <c r="A593" s="487" t="s">
        <v>1256</v>
      </c>
      <c r="B593" s="488"/>
      <c r="C593" s="272"/>
      <c r="D593" s="273"/>
      <c r="E593" s="267"/>
    </row>
    <row r="594" spans="1:5" x14ac:dyDescent="0.25">
      <c r="A594" s="241" t="s">
        <v>7</v>
      </c>
      <c r="B594" s="142" t="s">
        <v>8</v>
      </c>
      <c r="C594" s="241" t="s">
        <v>9</v>
      </c>
      <c r="D594" s="274" t="s">
        <v>75</v>
      </c>
      <c r="E594" s="267"/>
    </row>
    <row r="595" spans="1:5" x14ac:dyDescent="0.25">
      <c r="A595" s="268" t="s">
        <v>1257</v>
      </c>
      <c r="B595" s="268" t="s">
        <v>1258</v>
      </c>
      <c r="C595" s="268" t="s">
        <v>85</v>
      </c>
      <c r="D595" s="269">
        <v>17</v>
      </c>
      <c r="E595" s="267"/>
    </row>
    <row r="596" spans="1:5" x14ac:dyDescent="0.25">
      <c r="A596" s="270" t="s">
        <v>1259</v>
      </c>
      <c r="B596" s="270" t="s">
        <v>1260</v>
      </c>
      <c r="C596" s="270" t="s">
        <v>85</v>
      </c>
      <c r="D596" s="271">
        <v>30</v>
      </c>
      <c r="E596" s="267"/>
    </row>
    <row r="597" spans="1:5" x14ac:dyDescent="0.25">
      <c r="A597" s="268" t="s">
        <v>1261</v>
      </c>
      <c r="B597" s="268" t="s">
        <v>1262</v>
      </c>
      <c r="C597" s="268" t="s">
        <v>85</v>
      </c>
      <c r="D597" s="269">
        <v>45</v>
      </c>
      <c r="E597" s="267"/>
    </row>
    <row r="598" spans="1:5" x14ac:dyDescent="0.25">
      <c r="D598" s="267"/>
      <c r="E598" s="267"/>
    </row>
    <row r="599" spans="1:5" ht="17.25" customHeight="1" x14ac:dyDescent="0.3">
      <c r="A599" s="487" t="s">
        <v>1263</v>
      </c>
      <c r="B599" s="488"/>
      <c r="C599" s="272"/>
      <c r="D599" s="275"/>
      <c r="E599" s="267"/>
    </row>
    <row r="600" spans="1:5" ht="17.25" customHeight="1" x14ac:dyDescent="0.3">
      <c r="A600" s="487" t="s">
        <v>1264</v>
      </c>
      <c r="B600" s="488"/>
      <c r="C600" s="272"/>
      <c r="D600" s="275"/>
      <c r="E600" s="267"/>
    </row>
    <row r="601" spans="1:5" x14ac:dyDescent="0.25">
      <c r="A601" s="241" t="s">
        <v>7</v>
      </c>
      <c r="B601" s="142" t="s">
        <v>8</v>
      </c>
      <c r="C601" s="241" t="s">
        <v>9</v>
      </c>
      <c r="D601" s="274" t="s">
        <v>75</v>
      </c>
      <c r="E601" s="267"/>
    </row>
    <row r="602" spans="1:5" x14ac:dyDescent="0.25">
      <c r="A602" s="268" t="s">
        <v>1265</v>
      </c>
      <c r="B602" s="268" t="s">
        <v>1155</v>
      </c>
      <c r="C602" s="268" t="s">
        <v>150</v>
      </c>
      <c r="D602" s="269">
        <v>280</v>
      </c>
      <c r="E602" s="267"/>
    </row>
    <row r="603" spans="1:5" x14ac:dyDescent="0.25">
      <c r="A603" s="270" t="s">
        <v>1266</v>
      </c>
      <c r="B603" s="270" t="s">
        <v>1159</v>
      </c>
      <c r="C603" s="270" t="s">
        <v>150</v>
      </c>
      <c r="D603" s="271">
        <v>320</v>
      </c>
      <c r="E603" s="267"/>
    </row>
    <row r="604" spans="1:5" x14ac:dyDescent="0.25">
      <c r="A604" s="268" t="s">
        <v>1267</v>
      </c>
      <c r="B604" s="268" t="s">
        <v>1094</v>
      </c>
      <c r="C604" s="268" t="s">
        <v>150</v>
      </c>
      <c r="D604" s="269">
        <v>670</v>
      </c>
      <c r="E604" s="267"/>
    </row>
    <row r="605" spans="1:5" ht="17.25" customHeight="1" x14ac:dyDescent="0.3">
      <c r="A605" s="526" t="s">
        <v>1268</v>
      </c>
      <c r="B605" s="488"/>
      <c r="C605" s="272"/>
      <c r="D605" s="275"/>
      <c r="E605" s="267"/>
    </row>
    <row r="606" spans="1:5" x14ac:dyDescent="0.25">
      <c r="A606" s="241" t="s">
        <v>7</v>
      </c>
      <c r="B606" s="142" t="s">
        <v>8</v>
      </c>
      <c r="C606" s="241" t="s">
        <v>9</v>
      </c>
      <c r="D606" s="274" t="s">
        <v>75</v>
      </c>
      <c r="E606" s="267"/>
    </row>
    <row r="607" spans="1:5" x14ac:dyDescent="0.25">
      <c r="A607" s="270" t="s">
        <v>1269</v>
      </c>
      <c r="B607" s="270" t="s">
        <v>1270</v>
      </c>
      <c r="C607" s="270" t="s">
        <v>1271</v>
      </c>
      <c r="D607" s="271">
        <v>650</v>
      </c>
      <c r="E607" s="267"/>
    </row>
    <row r="608" spans="1:5" ht="17.25" customHeight="1" x14ac:dyDescent="0.3">
      <c r="A608" s="526" t="s">
        <v>1272</v>
      </c>
      <c r="B608" s="488"/>
      <c r="C608" s="272"/>
      <c r="D608" s="275"/>
      <c r="E608" s="267"/>
    </row>
    <row r="609" spans="1:5" x14ac:dyDescent="0.25">
      <c r="A609" s="241" t="s">
        <v>7</v>
      </c>
      <c r="B609" s="142" t="s">
        <v>8</v>
      </c>
      <c r="C609" s="241" t="s">
        <v>9</v>
      </c>
      <c r="D609" s="274" t="s">
        <v>75</v>
      </c>
      <c r="E609" s="267"/>
    </row>
    <row r="610" spans="1:5" x14ac:dyDescent="0.25">
      <c r="A610" s="268" t="s">
        <v>1273</v>
      </c>
      <c r="B610" s="268" t="s">
        <v>1274</v>
      </c>
      <c r="C610" s="268" t="s">
        <v>121</v>
      </c>
      <c r="D610" s="269">
        <v>495</v>
      </c>
      <c r="E610" s="267"/>
    </row>
    <row r="611" spans="1:5" x14ac:dyDescent="0.25">
      <c r="A611" s="270" t="s">
        <v>1275</v>
      </c>
      <c r="B611" s="270" t="s">
        <v>1211</v>
      </c>
      <c r="C611" s="270" t="s">
        <v>121</v>
      </c>
      <c r="D611" s="271">
        <v>580</v>
      </c>
      <c r="E611" s="267"/>
    </row>
    <row r="612" spans="1:5" x14ac:dyDescent="0.25">
      <c r="A612" s="268" t="s">
        <v>1276</v>
      </c>
      <c r="B612" s="268" t="s">
        <v>1185</v>
      </c>
      <c r="C612" s="268" t="s">
        <v>121</v>
      </c>
      <c r="D612" s="269">
        <v>780</v>
      </c>
      <c r="E612" s="267"/>
    </row>
    <row r="613" spans="1:5" x14ac:dyDescent="0.25">
      <c r="A613" s="270" t="s">
        <v>1277</v>
      </c>
      <c r="B613" s="270" t="s">
        <v>1242</v>
      </c>
      <c r="C613" s="270" t="s">
        <v>121</v>
      </c>
      <c r="D613" s="271">
        <v>1150</v>
      </c>
      <c r="E613" s="267"/>
    </row>
    <row r="614" spans="1:5" x14ac:dyDescent="0.25">
      <c r="A614" s="268" t="s">
        <v>1278</v>
      </c>
      <c r="B614" s="268" t="s">
        <v>1244</v>
      </c>
      <c r="C614" s="268" t="s">
        <v>121</v>
      </c>
      <c r="D614" s="269">
        <v>1450</v>
      </c>
      <c r="E614" s="267"/>
    </row>
    <row r="615" spans="1:5" x14ac:dyDescent="0.25">
      <c r="A615" s="270" t="s">
        <v>1279</v>
      </c>
      <c r="B615" s="270" t="s">
        <v>1246</v>
      </c>
      <c r="C615" s="270" t="s">
        <v>121</v>
      </c>
      <c r="D615" s="271">
        <v>1720</v>
      </c>
      <c r="E615" s="267"/>
    </row>
    <row r="616" spans="1:5" x14ac:dyDescent="0.25">
      <c r="A616" s="268" t="s">
        <v>1280</v>
      </c>
      <c r="B616" s="268" t="s">
        <v>1157</v>
      </c>
      <c r="C616" s="268" t="s">
        <v>121</v>
      </c>
      <c r="D616" s="269">
        <v>1950</v>
      </c>
      <c r="E616" s="267"/>
    </row>
    <row r="617" spans="1:5" ht="17.25" customHeight="1" x14ac:dyDescent="0.3">
      <c r="A617" s="487" t="s">
        <v>1281</v>
      </c>
      <c r="B617" s="488"/>
      <c r="C617" s="272"/>
      <c r="D617" s="275"/>
      <c r="E617" s="267"/>
    </row>
    <row r="618" spans="1:5" ht="17.25" customHeight="1" x14ac:dyDescent="0.3">
      <c r="A618" s="525" t="s">
        <v>1282</v>
      </c>
      <c r="B618" s="488"/>
      <c r="C618" s="272"/>
      <c r="D618" s="275"/>
      <c r="E618" s="267"/>
    </row>
    <row r="619" spans="1:5" x14ac:dyDescent="0.25">
      <c r="A619" s="241" t="s">
        <v>7</v>
      </c>
      <c r="B619" s="142" t="s">
        <v>8</v>
      </c>
      <c r="C619" s="241" t="s">
        <v>9</v>
      </c>
      <c r="D619" s="274" t="s">
        <v>75</v>
      </c>
      <c r="E619" s="267"/>
    </row>
    <row r="620" spans="1:5" x14ac:dyDescent="0.25">
      <c r="A620" s="270" t="s">
        <v>1283</v>
      </c>
      <c r="B620" s="270" t="s">
        <v>1284</v>
      </c>
      <c r="C620" s="270" t="s">
        <v>150</v>
      </c>
      <c r="D620" s="271">
        <v>210</v>
      </c>
      <c r="E620" s="267"/>
    </row>
    <row r="621" spans="1:5" x14ac:dyDescent="0.25">
      <c r="A621" s="268" t="s">
        <v>1285</v>
      </c>
      <c r="B621" s="268" t="s">
        <v>1187</v>
      </c>
      <c r="C621" s="268" t="s">
        <v>150</v>
      </c>
      <c r="D621" s="269">
        <v>280</v>
      </c>
      <c r="E621" s="267"/>
    </row>
    <row r="623" spans="1:5" ht="17.25" customHeight="1" x14ac:dyDescent="0.25">
      <c r="A623" s="487" t="s">
        <v>1286</v>
      </c>
      <c r="B623" s="488"/>
      <c r="C623" s="124"/>
      <c r="D623" s="125"/>
      <c r="E623" s="125"/>
    </row>
    <row r="624" spans="1:5" x14ac:dyDescent="0.25">
      <c r="A624" s="516" t="s">
        <v>7</v>
      </c>
      <c r="B624" s="516" t="s">
        <v>8</v>
      </c>
      <c r="C624" s="516" t="s">
        <v>9</v>
      </c>
      <c r="D624" s="276" t="s">
        <v>75</v>
      </c>
      <c r="E624" s="277"/>
    </row>
    <row r="625" spans="1:5" x14ac:dyDescent="0.25">
      <c r="A625" s="480"/>
      <c r="B625" s="480"/>
      <c r="C625" s="480"/>
      <c r="D625" s="276" t="s">
        <v>12</v>
      </c>
      <c r="E625" s="143" t="s">
        <v>86</v>
      </c>
    </row>
    <row r="626" spans="1:5" x14ac:dyDescent="0.25">
      <c r="A626" s="128" t="s">
        <v>1287</v>
      </c>
      <c r="B626" s="128" t="s">
        <v>1288</v>
      </c>
      <c r="C626" s="128" t="s">
        <v>85</v>
      </c>
      <c r="D626" s="129">
        <v>950</v>
      </c>
      <c r="E626" s="129">
        <v>500</v>
      </c>
    </row>
    <row r="627" spans="1:5" x14ac:dyDescent="0.25">
      <c r="A627" s="130" t="s">
        <v>1289</v>
      </c>
      <c r="B627" s="130" t="s">
        <v>1290</v>
      </c>
      <c r="C627" s="130" t="s">
        <v>85</v>
      </c>
      <c r="D627" s="131">
        <v>1120</v>
      </c>
      <c r="E627" s="131">
        <v>530</v>
      </c>
    </row>
    <row r="628" spans="1:5" x14ac:dyDescent="0.25">
      <c r="A628" s="128" t="s">
        <v>1291</v>
      </c>
      <c r="B628" s="128" t="s">
        <v>1292</v>
      </c>
      <c r="C628" s="128" t="s">
        <v>85</v>
      </c>
      <c r="D628" s="129">
        <v>1200</v>
      </c>
      <c r="E628" s="129">
        <v>600</v>
      </c>
    </row>
    <row r="629" spans="1:5" x14ac:dyDescent="0.25">
      <c r="A629" s="130" t="s">
        <v>1293</v>
      </c>
      <c r="B629" s="130" t="s">
        <v>1294</v>
      </c>
      <c r="C629" s="130" t="s">
        <v>85</v>
      </c>
      <c r="D629" s="131">
        <v>1590</v>
      </c>
      <c r="E629" s="131">
        <v>815</v>
      </c>
    </row>
    <row r="630" spans="1:5" x14ac:dyDescent="0.25">
      <c r="A630" s="128" t="s">
        <v>1295</v>
      </c>
      <c r="B630" s="128" t="s">
        <v>1296</v>
      </c>
      <c r="C630" s="128" t="s">
        <v>85</v>
      </c>
      <c r="D630" s="129">
        <v>1690</v>
      </c>
      <c r="E630" s="129">
        <v>850</v>
      </c>
    </row>
    <row r="631" spans="1:5" x14ac:dyDescent="0.25">
      <c r="A631" s="130" t="s">
        <v>1297</v>
      </c>
      <c r="B631" s="130" t="s">
        <v>1298</v>
      </c>
      <c r="C631" s="130" t="s">
        <v>85</v>
      </c>
      <c r="D631" s="131">
        <v>1850</v>
      </c>
      <c r="E631" s="131">
        <v>900</v>
      </c>
    </row>
    <row r="632" spans="1:5" x14ac:dyDescent="0.25">
      <c r="A632" s="128" t="s">
        <v>1299</v>
      </c>
      <c r="B632" s="128" t="s">
        <v>1300</v>
      </c>
      <c r="C632" s="128" t="s">
        <v>85</v>
      </c>
      <c r="D632" s="129">
        <v>1850</v>
      </c>
      <c r="E632" s="129">
        <v>920</v>
      </c>
    </row>
    <row r="633" spans="1:5" x14ac:dyDescent="0.25">
      <c r="D633" s="169"/>
      <c r="E633" s="169"/>
    </row>
    <row r="634" spans="1:5" x14ac:dyDescent="0.25">
      <c r="D634" s="169"/>
      <c r="E634" s="169"/>
    </row>
    <row r="635" spans="1:5" ht="17.25" customHeight="1" x14ac:dyDescent="0.25">
      <c r="A635" s="487" t="s">
        <v>1301</v>
      </c>
      <c r="B635" s="488"/>
      <c r="C635" s="124"/>
      <c r="D635" s="125"/>
      <c r="E635" s="125"/>
    </row>
    <row r="636" spans="1:5" x14ac:dyDescent="0.25">
      <c r="A636" s="516" t="s">
        <v>7</v>
      </c>
      <c r="B636" s="516" t="s">
        <v>8</v>
      </c>
      <c r="C636" s="516" t="s">
        <v>9</v>
      </c>
      <c r="D636" s="276" t="s">
        <v>75</v>
      </c>
      <c r="E636" s="277"/>
    </row>
    <row r="637" spans="1:5" x14ac:dyDescent="0.25">
      <c r="A637" s="480"/>
      <c r="B637" s="480"/>
      <c r="C637" s="480"/>
      <c r="D637" s="276" t="s">
        <v>12</v>
      </c>
      <c r="E637" s="143" t="s">
        <v>86</v>
      </c>
    </row>
    <row r="638" spans="1:5" x14ac:dyDescent="0.25">
      <c r="A638" s="128" t="s">
        <v>1302</v>
      </c>
      <c r="B638" s="128" t="s">
        <v>1303</v>
      </c>
      <c r="C638" s="128"/>
      <c r="D638" s="129">
        <v>2000</v>
      </c>
      <c r="E638" s="129">
        <v>300</v>
      </c>
    </row>
    <row r="639" spans="1:5" x14ac:dyDescent="0.25">
      <c r="A639" s="130" t="s">
        <v>1304</v>
      </c>
      <c r="B639" s="130" t="s">
        <v>1305</v>
      </c>
      <c r="C639" s="130"/>
      <c r="D639" s="131">
        <v>2500</v>
      </c>
      <c r="E639" s="131">
        <v>350</v>
      </c>
    </row>
    <row r="640" spans="1:5" x14ac:dyDescent="0.25">
      <c r="A640" s="128" t="s">
        <v>1306</v>
      </c>
      <c r="B640" s="128" t="s">
        <v>1307</v>
      </c>
      <c r="C640" s="128"/>
      <c r="D640" s="129">
        <v>3500</v>
      </c>
      <c r="E640" s="129">
        <v>450</v>
      </c>
    </row>
    <row r="641" spans="1:5" x14ac:dyDescent="0.25">
      <c r="A641" s="130" t="s">
        <v>1308</v>
      </c>
      <c r="B641" s="130" t="s">
        <v>1309</v>
      </c>
      <c r="C641" s="130"/>
      <c r="D641" s="131">
        <v>5000</v>
      </c>
      <c r="E641" s="131">
        <v>500</v>
      </c>
    </row>
    <row r="642" spans="1:5" x14ac:dyDescent="0.25">
      <c r="D642" s="169"/>
      <c r="E642" s="169"/>
    </row>
    <row r="643" spans="1:5" ht="17.25" customHeight="1" x14ac:dyDescent="0.25">
      <c r="A643" s="520" t="s">
        <v>1310</v>
      </c>
      <c r="B643" s="486"/>
      <c r="C643" s="212"/>
      <c r="D643" s="266"/>
      <c r="E643" s="169"/>
    </row>
    <row r="644" spans="1:5" x14ac:dyDescent="0.25">
      <c r="A644" s="244" t="s">
        <v>7</v>
      </c>
      <c r="B644" s="142" t="s">
        <v>8</v>
      </c>
      <c r="C644" s="278" t="s">
        <v>9</v>
      </c>
      <c r="D644" s="143" t="s">
        <v>75</v>
      </c>
      <c r="E644" s="169"/>
    </row>
    <row r="645" spans="1:5" x14ac:dyDescent="0.25">
      <c r="A645" s="128" t="s">
        <v>1311</v>
      </c>
      <c r="B645" s="136" t="s">
        <v>1312</v>
      </c>
      <c r="C645" s="227" t="s">
        <v>85</v>
      </c>
      <c r="D645" s="158">
        <v>100</v>
      </c>
      <c r="E645" s="169"/>
    </row>
    <row r="646" spans="1:5" x14ac:dyDescent="0.25">
      <c r="A646" s="130" t="s">
        <v>1313</v>
      </c>
      <c r="B646" s="130" t="s">
        <v>1314</v>
      </c>
      <c r="C646" s="130" t="s">
        <v>85</v>
      </c>
      <c r="D646" s="131">
        <v>210</v>
      </c>
      <c r="E646" s="169"/>
    </row>
    <row r="647" spans="1:5" x14ac:dyDescent="0.25">
      <c r="A647" s="128" t="s">
        <v>1315</v>
      </c>
      <c r="B647" s="128" t="s">
        <v>1316</v>
      </c>
      <c r="C647" s="128" t="s">
        <v>85</v>
      </c>
      <c r="D647" s="129">
        <v>300</v>
      </c>
      <c r="E647" s="169"/>
    </row>
    <row r="648" spans="1:5" x14ac:dyDescent="0.25">
      <c r="A648" s="130" t="s">
        <v>1317</v>
      </c>
      <c r="B648" s="130" t="s">
        <v>1318</v>
      </c>
      <c r="C648" s="130" t="s">
        <v>85</v>
      </c>
      <c r="D648" s="131">
        <v>420</v>
      </c>
      <c r="E648" s="169"/>
    </row>
    <row r="649" spans="1:5" x14ac:dyDescent="0.25">
      <c r="A649" s="128" t="s">
        <v>1319</v>
      </c>
      <c r="B649" s="128" t="s">
        <v>1320</v>
      </c>
      <c r="C649" s="128" t="s">
        <v>85</v>
      </c>
      <c r="D649" s="129">
        <v>420</v>
      </c>
      <c r="E649" s="169"/>
    </row>
    <row r="650" spans="1:5" x14ac:dyDescent="0.25">
      <c r="A650" s="130" t="s">
        <v>1321</v>
      </c>
      <c r="B650" s="130" t="s">
        <v>1322</v>
      </c>
      <c r="C650" s="130" t="s">
        <v>85</v>
      </c>
      <c r="D650" s="131">
        <v>420</v>
      </c>
      <c r="E650" s="169"/>
    </row>
    <row r="651" spans="1:5" x14ac:dyDescent="0.25">
      <c r="A651" s="128" t="s">
        <v>1323</v>
      </c>
      <c r="B651" s="128" t="s">
        <v>1324</v>
      </c>
      <c r="C651" s="128" t="s">
        <v>85</v>
      </c>
      <c r="D651" s="129">
        <v>450</v>
      </c>
      <c r="E651" s="169"/>
    </row>
    <row r="652" spans="1:5" ht="17.25" customHeight="1" x14ac:dyDescent="0.25">
      <c r="A652" s="487" t="s">
        <v>1325</v>
      </c>
      <c r="B652" s="488"/>
      <c r="C652" s="124"/>
      <c r="D652" s="125"/>
      <c r="E652" s="169"/>
    </row>
    <row r="653" spans="1:5" x14ac:dyDescent="0.25">
      <c r="A653" s="244" t="s">
        <v>7</v>
      </c>
      <c r="B653" s="155" t="s">
        <v>8</v>
      </c>
      <c r="C653" s="279" t="s">
        <v>9</v>
      </c>
      <c r="D653" s="280" t="s">
        <v>75</v>
      </c>
      <c r="E653" s="169"/>
    </row>
    <row r="654" spans="1:5" x14ac:dyDescent="0.25">
      <c r="A654" s="130" t="s">
        <v>1326</v>
      </c>
      <c r="B654" s="130" t="s">
        <v>1327</v>
      </c>
      <c r="C654" s="130" t="s">
        <v>85</v>
      </c>
      <c r="D654" s="131">
        <v>360</v>
      </c>
      <c r="E654" s="169"/>
    </row>
    <row r="655" spans="1:5" x14ac:dyDescent="0.25">
      <c r="A655" s="128" t="s">
        <v>1328</v>
      </c>
      <c r="B655" s="128" t="s">
        <v>1329</v>
      </c>
      <c r="C655" s="128" t="s">
        <v>85</v>
      </c>
      <c r="D655" s="129">
        <v>500</v>
      </c>
      <c r="E655" s="169"/>
    </row>
    <row r="656" spans="1:5" x14ac:dyDescent="0.25">
      <c r="A656" s="130" t="s">
        <v>1330</v>
      </c>
      <c r="B656" s="130" t="s">
        <v>1331</v>
      </c>
      <c r="C656" s="130" t="s">
        <v>85</v>
      </c>
      <c r="D656" s="131">
        <v>650</v>
      </c>
      <c r="E656" s="169"/>
    </row>
    <row r="657" spans="1:5" x14ac:dyDescent="0.25">
      <c r="A657" s="128" t="s">
        <v>1332</v>
      </c>
      <c r="B657" s="128" t="s">
        <v>1333</v>
      </c>
      <c r="C657" s="128" t="s">
        <v>85</v>
      </c>
      <c r="D657" s="129">
        <v>870</v>
      </c>
      <c r="E657" s="169"/>
    </row>
    <row r="658" spans="1:5" x14ac:dyDescent="0.25">
      <c r="A658" s="130" t="s">
        <v>1334</v>
      </c>
      <c r="B658" s="130" t="s">
        <v>1335</v>
      </c>
      <c r="C658" s="130" t="s">
        <v>85</v>
      </c>
      <c r="D658" s="131">
        <v>1300</v>
      </c>
      <c r="E658" s="169"/>
    </row>
    <row r="659" spans="1:5" x14ac:dyDescent="0.25">
      <c r="A659" s="128" t="s">
        <v>1336</v>
      </c>
      <c r="B659" s="128" t="s">
        <v>1337</v>
      </c>
      <c r="C659" s="128" t="s">
        <v>85</v>
      </c>
      <c r="D659" s="129">
        <v>2100</v>
      </c>
      <c r="E659" s="169"/>
    </row>
    <row r="660" spans="1:5" x14ac:dyDescent="0.25">
      <c r="A660" s="130" t="s">
        <v>1338</v>
      </c>
      <c r="B660" s="130" t="s">
        <v>1339</v>
      </c>
      <c r="C660" s="130" t="s">
        <v>85</v>
      </c>
      <c r="D660" s="131">
        <v>2600</v>
      </c>
      <c r="E660" s="169"/>
    </row>
    <row r="661" spans="1:5" x14ac:dyDescent="0.25">
      <c r="A661" s="128" t="s">
        <v>1340</v>
      </c>
      <c r="B661" s="128" t="s">
        <v>1341</v>
      </c>
      <c r="C661" s="128" t="s">
        <v>85</v>
      </c>
      <c r="D661" s="129">
        <v>1580</v>
      </c>
      <c r="E661" s="169"/>
    </row>
    <row r="662" spans="1:5" x14ac:dyDescent="0.25">
      <c r="D662" s="169"/>
      <c r="E662" s="169"/>
    </row>
    <row r="663" spans="1:5" x14ac:dyDescent="0.25">
      <c r="D663" s="169"/>
      <c r="E663" s="169"/>
    </row>
    <row r="664" spans="1:5" ht="17.25" customHeight="1" x14ac:dyDescent="0.25">
      <c r="A664" s="487" t="s">
        <v>1342</v>
      </c>
      <c r="B664" s="488"/>
      <c r="C664" s="124"/>
      <c r="D664" s="125"/>
      <c r="E664" s="169"/>
    </row>
    <row r="665" spans="1:5" x14ac:dyDescent="0.25">
      <c r="A665" s="209" t="s">
        <v>7</v>
      </c>
      <c r="B665" s="142" t="s">
        <v>8</v>
      </c>
      <c r="C665" s="209" t="s">
        <v>9</v>
      </c>
      <c r="D665" s="143" t="s">
        <v>75</v>
      </c>
      <c r="E665" s="169"/>
    </row>
    <row r="666" spans="1:5" x14ac:dyDescent="0.25">
      <c r="A666" s="128" t="s">
        <v>1343</v>
      </c>
      <c r="B666" s="128" t="s">
        <v>1314</v>
      </c>
      <c r="C666" s="128" t="s">
        <v>85</v>
      </c>
      <c r="D666" s="129">
        <v>75</v>
      </c>
      <c r="E666" s="169"/>
    </row>
    <row r="667" spans="1:5" x14ac:dyDescent="0.25">
      <c r="A667" s="130" t="s">
        <v>1344</v>
      </c>
      <c r="B667" s="130" t="s">
        <v>1316</v>
      </c>
      <c r="C667" s="130" t="s">
        <v>85</v>
      </c>
      <c r="D667" s="131">
        <v>75</v>
      </c>
      <c r="E667" s="169"/>
    </row>
    <row r="668" spans="1:5" x14ac:dyDescent="0.25">
      <c r="A668" s="128" t="s">
        <v>1345</v>
      </c>
      <c r="B668" s="128" t="s">
        <v>1318</v>
      </c>
      <c r="C668" s="128" t="s">
        <v>85</v>
      </c>
      <c r="D668" s="129">
        <v>95</v>
      </c>
      <c r="E668" s="169"/>
    </row>
    <row r="669" spans="1:5" x14ac:dyDescent="0.25">
      <c r="A669" s="130" t="s">
        <v>1346</v>
      </c>
      <c r="B669" s="130" t="s">
        <v>1322</v>
      </c>
      <c r="C669" s="130" t="s">
        <v>85</v>
      </c>
      <c r="D669" s="131">
        <v>95</v>
      </c>
      <c r="E669" s="169"/>
    </row>
    <row r="670" spans="1:5" ht="17.25" customHeight="1" x14ac:dyDescent="0.25">
      <c r="A670" s="487" t="s">
        <v>1347</v>
      </c>
      <c r="B670" s="488"/>
      <c r="C670" s="124"/>
      <c r="D670" s="125"/>
      <c r="E670" s="169"/>
    </row>
    <row r="671" spans="1:5" x14ac:dyDescent="0.25">
      <c r="A671" s="209" t="s">
        <v>7</v>
      </c>
      <c r="B671" s="142" t="s">
        <v>8</v>
      </c>
      <c r="C671" s="209" t="s">
        <v>9</v>
      </c>
      <c r="D671" s="143" t="s">
        <v>75</v>
      </c>
      <c r="E671" s="169"/>
    </row>
    <row r="672" spans="1:5" x14ac:dyDescent="0.25">
      <c r="A672" s="128" t="s">
        <v>1348</v>
      </c>
      <c r="B672" s="128" t="s">
        <v>1349</v>
      </c>
      <c r="C672" s="128" t="s">
        <v>85</v>
      </c>
      <c r="D672" s="129">
        <v>140</v>
      </c>
      <c r="E672" s="169"/>
    </row>
    <row r="673" spans="1:5" x14ac:dyDescent="0.25">
      <c r="A673" s="130" t="s">
        <v>1350</v>
      </c>
      <c r="B673" s="130" t="s">
        <v>1351</v>
      </c>
      <c r="C673" s="130" t="s">
        <v>85</v>
      </c>
      <c r="D673" s="131">
        <v>230</v>
      </c>
      <c r="E673" s="169"/>
    </row>
    <row r="674" spans="1:5" x14ac:dyDescent="0.25">
      <c r="A674" s="128" t="s">
        <v>1352</v>
      </c>
      <c r="B674" s="128" t="s">
        <v>1353</v>
      </c>
      <c r="C674" s="128" t="s">
        <v>85</v>
      </c>
      <c r="D674" s="129">
        <v>340</v>
      </c>
      <c r="E674" s="169"/>
    </row>
    <row r="675" spans="1:5" x14ac:dyDescent="0.25">
      <c r="A675" s="130" t="s">
        <v>1354</v>
      </c>
      <c r="B675" s="130" t="s">
        <v>1355</v>
      </c>
      <c r="C675" s="130" t="s">
        <v>85</v>
      </c>
      <c r="D675" s="131">
        <v>340</v>
      </c>
      <c r="E675" s="169"/>
    </row>
    <row r="676" spans="1:5" x14ac:dyDescent="0.25">
      <c r="A676" s="128" t="s">
        <v>1356</v>
      </c>
      <c r="B676" s="128" t="s">
        <v>1357</v>
      </c>
      <c r="C676" s="128" t="s">
        <v>85</v>
      </c>
      <c r="D676" s="129">
        <v>400</v>
      </c>
      <c r="E676" s="169"/>
    </row>
    <row r="677" spans="1:5" x14ac:dyDescent="0.25">
      <c r="A677" s="130" t="s">
        <v>1358</v>
      </c>
      <c r="B677" s="130" t="s">
        <v>1359</v>
      </c>
      <c r="C677" s="130" t="s">
        <v>85</v>
      </c>
      <c r="D677" s="131">
        <v>720</v>
      </c>
      <c r="E677" s="169"/>
    </row>
    <row r="678" spans="1:5" x14ac:dyDescent="0.25">
      <c r="A678" s="128" t="s">
        <v>1360</v>
      </c>
      <c r="B678" s="128" t="s">
        <v>1361</v>
      </c>
      <c r="C678" s="128" t="s">
        <v>85</v>
      </c>
      <c r="D678" s="129">
        <v>900</v>
      </c>
      <c r="E678" s="169"/>
    </row>
    <row r="679" spans="1:5" x14ac:dyDescent="0.25">
      <c r="D679" s="169"/>
      <c r="E679" s="169"/>
    </row>
    <row r="680" spans="1:5" ht="17.25" customHeight="1" x14ac:dyDescent="0.25">
      <c r="A680" s="487" t="s">
        <v>1362</v>
      </c>
      <c r="B680" s="488"/>
      <c r="C680" s="124"/>
      <c r="D680" s="125"/>
      <c r="E680" s="125"/>
    </row>
    <row r="681" spans="1:5" x14ac:dyDescent="0.25">
      <c r="A681" s="516" t="s">
        <v>7</v>
      </c>
      <c r="B681" s="516" t="s">
        <v>8</v>
      </c>
      <c r="C681" s="516" t="s">
        <v>9</v>
      </c>
      <c r="D681" s="276" t="s">
        <v>75</v>
      </c>
      <c r="E681" s="277"/>
    </row>
    <row r="682" spans="1:5" x14ac:dyDescent="0.25">
      <c r="A682" s="480"/>
      <c r="B682" s="480"/>
      <c r="C682" s="480"/>
      <c r="D682" s="276" t="s">
        <v>12</v>
      </c>
      <c r="E682" s="143" t="s">
        <v>86</v>
      </c>
    </row>
    <row r="683" spans="1:5" x14ac:dyDescent="0.25">
      <c r="A683" s="128" t="s">
        <v>1363</v>
      </c>
      <c r="B683" s="128" t="s">
        <v>1318</v>
      </c>
      <c r="C683" s="128" t="s">
        <v>178</v>
      </c>
      <c r="D683" s="129">
        <v>75</v>
      </c>
      <c r="E683" s="129">
        <v>15</v>
      </c>
    </row>
    <row r="684" spans="1:5" x14ac:dyDescent="0.25">
      <c r="A684" s="130" t="s">
        <v>1364</v>
      </c>
      <c r="B684" s="130" t="s">
        <v>1322</v>
      </c>
      <c r="C684" s="130" t="s">
        <v>178</v>
      </c>
      <c r="D684" s="131">
        <v>100</v>
      </c>
      <c r="E684" s="131">
        <v>25</v>
      </c>
    </row>
    <row r="686" spans="1:5" x14ac:dyDescent="0.25">
      <c r="A686" s="209" t="s">
        <v>7</v>
      </c>
      <c r="B686" s="209" t="s">
        <v>8</v>
      </c>
      <c r="C686" s="209" t="s">
        <v>9</v>
      </c>
      <c r="D686" s="143" t="s">
        <v>75</v>
      </c>
      <c r="E686" s="169"/>
    </row>
    <row r="687" spans="1:5" x14ac:dyDescent="0.25">
      <c r="A687" s="128" t="s">
        <v>1365</v>
      </c>
      <c r="B687" s="128" t="s">
        <v>54</v>
      </c>
      <c r="C687" s="128" t="s">
        <v>85</v>
      </c>
      <c r="D687" s="129">
        <v>70</v>
      </c>
      <c r="E687" s="169"/>
    </row>
    <row r="688" spans="1:5" x14ac:dyDescent="0.25">
      <c r="A688" s="130" t="s">
        <v>1366</v>
      </c>
      <c r="B688" s="130" t="s">
        <v>1367</v>
      </c>
      <c r="C688" s="130" t="s">
        <v>85</v>
      </c>
      <c r="D688" s="131">
        <v>120</v>
      </c>
      <c r="E688" s="169"/>
    </row>
    <row r="689" spans="1:5" x14ac:dyDescent="0.25">
      <c r="A689" s="128" t="s">
        <v>1368</v>
      </c>
      <c r="B689" s="128" t="s">
        <v>1369</v>
      </c>
      <c r="C689" s="128" t="s">
        <v>85</v>
      </c>
      <c r="D689" s="129">
        <v>300</v>
      </c>
      <c r="E689" s="169"/>
    </row>
    <row r="690" spans="1:5" x14ac:dyDescent="0.25">
      <c r="A690" s="130" t="s">
        <v>1370</v>
      </c>
      <c r="B690" s="130" t="s">
        <v>1371</v>
      </c>
      <c r="C690" s="130" t="s">
        <v>85</v>
      </c>
      <c r="D690" s="131">
        <v>320</v>
      </c>
      <c r="E690" s="169"/>
    </row>
    <row r="691" spans="1:5" x14ac:dyDescent="0.25">
      <c r="A691" s="128" t="s">
        <v>1372</v>
      </c>
      <c r="B691" s="128" t="s">
        <v>1373</v>
      </c>
      <c r="C691" s="128" t="s">
        <v>85</v>
      </c>
      <c r="D691" s="129">
        <v>480</v>
      </c>
      <c r="E691" s="169"/>
    </row>
    <row r="692" spans="1:5" x14ac:dyDescent="0.25">
      <c r="A692" s="136"/>
      <c r="B692" s="136"/>
      <c r="C692" s="136"/>
      <c r="D692" s="240"/>
      <c r="E692" s="169"/>
    </row>
    <row r="693" spans="1:5" ht="17.25" customHeight="1" x14ac:dyDescent="0.25">
      <c r="A693" s="487" t="s">
        <v>576</v>
      </c>
      <c r="B693" s="488"/>
      <c r="C693" s="124"/>
      <c r="D693" s="125"/>
      <c r="E693" s="169"/>
    </row>
    <row r="694" spans="1:5" ht="17.25" customHeight="1" x14ac:dyDescent="0.25">
      <c r="A694" s="487" t="s">
        <v>1374</v>
      </c>
      <c r="B694" s="488"/>
      <c r="C694" s="124"/>
      <c r="D694" s="125"/>
      <c r="E694" s="169"/>
    </row>
    <row r="695" spans="1:5" x14ac:dyDescent="0.25">
      <c r="A695" s="130" t="s">
        <v>1375</v>
      </c>
      <c r="B695" s="130" t="s">
        <v>1376</v>
      </c>
      <c r="C695" s="130" t="s">
        <v>150</v>
      </c>
      <c r="D695" s="131">
        <v>70</v>
      </c>
      <c r="E695" s="169"/>
    </row>
    <row r="696" spans="1:5" x14ac:dyDescent="0.25">
      <c r="A696" s="128" t="s">
        <v>1377</v>
      </c>
      <c r="B696" s="128" t="s">
        <v>1032</v>
      </c>
      <c r="C696" s="128" t="s">
        <v>150</v>
      </c>
      <c r="D696" s="129">
        <v>80</v>
      </c>
      <c r="E696" s="169"/>
    </row>
    <row r="697" spans="1:5" x14ac:dyDescent="0.25">
      <c r="A697" s="130" t="s">
        <v>1378</v>
      </c>
      <c r="B697" s="130" t="s">
        <v>1090</v>
      </c>
      <c r="C697" s="130" t="s">
        <v>150</v>
      </c>
      <c r="D697" s="131">
        <v>75</v>
      </c>
      <c r="E697" s="169"/>
    </row>
    <row r="698" spans="1:5" x14ac:dyDescent="0.25">
      <c r="D698" s="169"/>
      <c r="E698" s="169"/>
    </row>
    <row r="699" spans="1:5" ht="17.25" customHeight="1" x14ac:dyDescent="0.25">
      <c r="A699" s="487" t="s">
        <v>1379</v>
      </c>
      <c r="B699" s="488"/>
      <c r="C699" s="124"/>
      <c r="D699" s="125"/>
      <c r="E699" s="125"/>
    </row>
    <row r="700" spans="1:5" x14ac:dyDescent="0.25">
      <c r="A700" s="516" t="s">
        <v>7</v>
      </c>
      <c r="B700" s="516" t="s">
        <v>8</v>
      </c>
      <c r="C700" s="516" t="s">
        <v>9</v>
      </c>
      <c r="D700" s="276" t="s">
        <v>75</v>
      </c>
      <c r="E700" s="277"/>
    </row>
    <row r="701" spans="1:5" x14ac:dyDescent="0.25">
      <c r="A701" s="480"/>
      <c r="B701" s="480"/>
      <c r="C701" s="480"/>
      <c r="D701" s="276" t="s">
        <v>12</v>
      </c>
      <c r="E701" s="143" t="s">
        <v>86</v>
      </c>
    </row>
    <row r="702" spans="1:5" x14ac:dyDescent="0.25">
      <c r="A702" s="128" t="s">
        <v>1380</v>
      </c>
      <c r="B702" s="128" t="s">
        <v>1381</v>
      </c>
      <c r="C702" s="128" t="s">
        <v>178</v>
      </c>
      <c r="D702" s="129">
        <v>20</v>
      </c>
      <c r="E702" s="129">
        <v>7</v>
      </c>
    </row>
    <row r="703" spans="1:5" x14ac:dyDescent="0.25">
      <c r="A703" s="130" t="s">
        <v>1382</v>
      </c>
      <c r="B703" s="130" t="s">
        <v>1314</v>
      </c>
      <c r="C703" s="130" t="s">
        <v>178</v>
      </c>
      <c r="D703" s="131">
        <v>35</v>
      </c>
      <c r="E703" s="131">
        <v>15</v>
      </c>
    </row>
    <row r="704" spans="1:5" x14ac:dyDescent="0.25">
      <c r="A704" s="128" t="s">
        <v>1383</v>
      </c>
      <c r="B704" s="128" t="s">
        <v>1316</v>
      </c>
      <c r="C704" s="128" t="s">
        <v>178</v>
      </c>
      <c r="D704" s="129">
        <v>35</v>
      </c>
      <c r="E704" s="129">
        <v>15</v>
      </c>
    </row>
    <row r="705" spans="1:5" x14ac:dyDescent="0.25">
      <c r="A705" s="130" t="s">
        <v>1384</v>
      </c>
      <c r="B705" s="130" t="s">
        <v>1318</v>
      </c>
      <c r="C705" s="130" t="s">
        <v>178</v>
      </c>
      <c r="D705" s="131">
        <v>40</v>
      </c>
      <c r="E705" s="131">
        <v>18</v>
      </c>
    </row>
    <row r="706" spans="1:5" x14ac:dyDescent="0.25">
      <c r="A706" s="128" t="s">
        <v>1385</v>
      </c>
      <c r="B706" s="128" t="s">
        <v>1322</v>
      </c>
      <c r="C706" s="128" t="s">
        <v>178</v>
      </c>
      <c r="D706" s="129">
        <v>85</v>
      </c>
      <c r="E706" s="129">
        <v>20</v>
      </c>
    </row>
    <row r="707" spans="1:5" x14ac:dyDescent="0.25">
      <c r="A707" s="130" t="s">
        <v>1386</v>
      </c>
      <c r="B707" s="130" t="s">
        <v>1324</v>
      </c>
      <c r="C707" s="130" t="s">
        <v>178</v>
      </c>
      <c r="D707" s="131">
        <v>85</v>
      </c>
      <c r="E707" s="131">
        <v>20</v>
      </c>
    </row>
    <row r="708" spans="1:5" x14ac:dyDescent="0.25">
      <c r="D708" s="169"/>
      <c r="E708" s="169"/>
    </row>
    <row r="709" spans="1:5" ht="17.25" customHeight="1" x14ac:dyDescent="0.3">
      <c r="A709" s="521" t="s">
        <v>1387</v>
      </c>
      <c r="B709" s="485"/>
      <c r="C709" s="254"/>
      <c r="D709" s="254"/>
    </row>
    <row r="710" spans="1:5" x14ac:dyDescent="0.25">
      <c r="A710" s="209" t="s">
        <v>7</v>
      </c>
      <c r="B710" s="142" t="s">
        <v>8</v>
      </c>
      <c r="C710" s="209" t="s">
        <v>9</v>
      </c>
      <c r="D710" s="143" t="s">
        <v>75</v>
      </c>
      <c r="E710" s="169"/>
    </row>
    <row r="711" spans="1:5" x14ac:dyDescent="0.25">
      <c r="A711" s="128" t="s">
        <v>1388</v>
      </c>
      <c r="B711" s="128" t="s">
        <v>1389</v>
      </c>
      <c r="C711" s="128" t="s">
        <v>85</v>
      </c>
      <c r="D711" s="129">
        <v>55</v>
      </c>
      <c r="E711" s="169"/>
    </row>
    <row r="712" spans="1:5" x14ac:dyDescent="0.25">
      <c r="A712" s="130" t="s">
        <v>1390</v>
      </c>
      <c r="B712" s="130" t="s">
        <v>1314</v>
      </c>
      <c r="C712" s="130" t="s">
        <v>85</v>
      </c>
      <c r="D712" s="131">
        <v>70</v>
      </c>
      <c r="E712" s="169"/>
    </row>
    <row r="713" spans="1:5" x14ac:dyDescent="0.25">
      <c r="A713" s="128" t="s">
        <v>1391</v>
      </c>
      <c r="B713" s="128" t="s">
        <v>1316</v>
      </c>
      <c r="C713" s="128" t="s">
        <v>85</v>
      </c>
      <c r="D713" s="129">
        <v>70</v>
      </c>
      <c r="E713" s="169"/>
    </row>
    <row r="714" spans="1:5" x14ac:dyDescent="0.25">
      <c r="A714" s="130" t="s">
        <v>1392</v>
      </c>
      <c r="B714" s="130" t="s">
        <v>1318</v>
      </c>
      <c r="C714" s="130" t="s">
        <v>85</v>
      </c>
      <c r="D714" s="131">
        <v>85</v>
      </c>
      <c r="E714" s="169"/>
    </row>
    <row r="715" spans="1:5" x14ac:dyDescent="0.25">
      <c r="A715" s="128" t="s">
        <v>1393</v>
      </c>
      <c r="B715" s="128" t="s">
        <v>1322</v>
      </c>
      <c r="C715" s="128" t="s">
        <v>85</v>
      </c>
      <c r="D715" s="129">
        <v>85</v>
      </c>
      <c r="E715" s="169"/>
    </row>
    <row r="716" spans="1:5" x14ac:dyDescent="0.25">
      <c r="A716" s="130" t="s">
        <v>1394</v>
      </c>
      <c r="B716" s="130" t="s">
        <v>1324</v>
      </c>
      <c r="C716" s="130" t="s">
        <v>85</v>
      </c>
      <c r="D716" s="131">
        <v>130</v>
      </c>
      <c r="E716" s="169"/>
    </row>
    <row r="717" spans="1:5" x14ac:dyDescent="0.25">
      <c r="D717" s="169"/>
      <c r="E717" s="169"/>
    </row>
    <row r="718" spans="1:5" x14ac:dyDescent="0.25">
      <c r="D718" s="169"/>
      <c r="E718" s="169"/>
    </row>
    <row r="719" spans="1:5" ht="17.25" customHeight="1" x14ac:dyDescent="0.25">
      <c r="A719" s="487" t="s">
        <v>1395</v>
      </c>
      <c r="B719" s="488"/>
      <c r="C719" s="124"/>
      <c r="D719" s="125"/>
      <c r="E719" s="169"/>
    </row>
    <row r="720" spans="1:5" x14ac:dyDescent="0.25">
      <c r="A720" s="209" t="s">
        <v>7</v>
      </c>
      <c r="B720" s="142" t="s">
        <v>8</v>
      </c>
      <c r="C720" s="209" t="s">
        <v>9</v>
      </c>
      <c r="D720" s="143" t="s">
        <v>75</v>
      </c>
      <c r="E720" s="169"/>
    </row>
    <row r="721" spans="1:5" x14ac:dyDescent="0.25">
      <c r="A721" s="128" t="s">
        <v>1396</v>
      </c>
      <c r="B721" s="128" t="s">
        <v>1397</v>
      </c>
      <c r="C721" s="128" t="s">
        <v>121</v>
      </c>
      <c r="D721" s="129">
        <v>110</v>
      </c>
      <c r="E721" s="169"/>
    </row>
    <row r="722" spans="1:5" ht="17.25" customHeight="1" x14ac:dyDescent="0.25">
      <c r="A722" s="487" t="s">
        <v>1398</v>
      </c>
      <c r="B722" s="488"/>
      <c r="C722" s="124"/>
      <c r="D722" s="125"/>
      <c r="E722" s="169"/>
    </row>
    <row r="723" spans="1:5" x14ac:dyDescent="0.25">
      <c r="A723" s="209" t="s">
        <v>7</v>
      </c>
      <c r="B723" s="142" t="s">
        <v>8</v>
      </c>
      <c r="C723" s="209" t="s">
        <v>9</v>
      </c>
      <c r="D723" s="143" t="s">
        <v>75</v>
      </c>
      <c r="E723" s="169"/>
    </row>
    <row r="724" spans="1:5" x14ac:dyDescent="0.25">
      <c r="A724" s="130" t="s">
        <v>1399</v>
      </c>
      <c r="B724" s="130" t="s">
        <v>1400</v>
      </c>
      <c r="C724" s="130" t="s">
        <v>121</v>
      </c>
      <c r="D724" s="131">
        <v>130</v>
      </c>
      <c r="E724" s="169"/>
    </row>
    <row r="725" spans="1:5" x14ac:dyDescent="0.25">
      <c r="A725" s="128" t="s">
        <v>1401</v>
      </c>
      <c r="B725" s="128" t="s">
        <v>1402</v>
      </c>
      <c r="C725" s="128" t="s">
        <v>121</v>
      </c>
      <c r="D725" s="129">
        <v>330</v>
      </c>
      <c r="E725" s="169"/>
    </row>
    <row r="726" spans="1:5" x14ac:dyDescent="0.25">
      <c r="A726" s="130" t="s">
        <v>1403</v>
      </c>
      <c r="B726" s="130" t="s">
        <v>1404</v>
      </c>
      <c r="C726" s="130" t="s">
        <v>121</v>
      </c>
      <c r="D726" s="131">
        <v>320</v>
      </c>
      <c r="E726" s="169"/>
    </row>
    <row r="727" spans="1:5" x14ac:dyDescent="0.25">
      <c r="A727" s="128" t="s">
        <v>1405</v>
      </c>
      <c r="B727" s="128" t="s">
        <v>1406</v>
      </c>
      <c r="C727" s="128" t="s">
        <v>121</v>
      </c>
      <c r="D727" s="129">
        <v>500</v>
      </c>
      <c r="E727" s="169"/>
    </row>
    <row r="728" spans="1:5" x14ac:dyDescent="0.25">
      <c r="A728" s="130" t="s">
        <v>1407</v>
      </c>
      <c r="B728" s="130" t="s">
        <v>1408</v>
      </c>
      <c r="C728" s="130" t="s">
        <v>121</v>
      </c>
      <c r="D728" s="131">
        <v>590</v>
      </c>
      <c r="E728" s="169"/>
    </row>
    <row r="729" spans="1:5" x14ac:dyDescent="0.25">
      <c r="A729" s="128" t="s">
        <v>1409</v>
      </c>
      <c r="B729" s="128" t="s">
        <v>1410</v>
      </c>
      <c r="C729" s="128" t="s">
        <v>121</v>
      </c>
      <c r="D729" s="129">
        <v>850</v>
      </c>
      <c r="E729" s="169"/>
    </row>
    <row r="730" spans="1:5" x14ac:dyDescent="0.25">
      <c r="A730" s="130" t="s">
        <v>1411</v>
      </c>
      <c r="B730" s="130" t="s">
        <v>1412</v>
      </c>
      <c r="C730" s="130" t="s">
        <v>121</v>
      </c>
      <c r="D730" s="131">
        <v>1010</v>
      </c>
      <c r="E730" s="169"/>
    </row>
    <row r="731" spans="1:5" x14ac:dyDescent="0.25">
      <c r="A731" s="128" t="s">
        <v>1413</v>
      </c>
      <c r="B731" s="128" t="s">
        <v>1414</v>
      </c>
      <c r="C731" s="128" t="s">
        <v>121</v>
      </c>
      <c r="D731" s="129">
        <v>1500</v>
      </c>
      <c r="E731" s="169"/>
    </row>
    <row r="732" spans="1:5" x14ac:dyDescent="0.25">
      <c r="D732" s="169"/>
      <c r="E732" s="169"/>
    </row>
    <row r="733" spans="1:5" ht="17.25" customHeight="1" x14ac:dyDescent="0.3">
      <c r="A733" s="521" t="s">
        <v>1415</v>
      </c>
      <c r="B733" s="485"/>
      <c r="C733" s="254"/>
      <c r="D733" s="254"/>
    </row>
    <row r="734" spans="1:5" x14ac:dyDescent="0.25">
      <c r="A734" s="209" t="s">
        <v>7</v>
      </c>
      <c r="B734" s="209" t="s">
        <v>8</v>
      </c>
      <c r="C734" s="209" t="s">
        <v>9</v>
      </c>
      <c r="D734" s="143" t="s">
        <v>75</v>
      </c>
      <c r="E734" s="169"/>
    </row>
    <row r="735" spans="1:5" x14ac:dyDescent="0.25">
      <c r="A735" s="128" t="s">
        <v>1416</v>
      </c>
      <c r="B735" s="128" t="s">
        <v>1417</v>
      </c>
      <c r="C735" s="128" t="s">
        <v>1418</v>
      </c>
      <c r="D735" s="129">
        <v>800</v>
      </c>
      <c r="E735" s="169"/>
    </row>
    <row r="736" spans="1:5" x14ac:dyDescent="0.25">
      <c r="A736" s="130" t="s">
        <v>1419</v>
      </c>
      <c r="B736" s="130" t="s">
        <v>1420</v>
      </c>
      <c r="C736" s="130" t="s">
        <v>1418</v>
      </c>
      <c r="D736" s="131">
        <v>900</v>
      </c>
      <c r="E736" s="169"/>
    </row>
    <row r="737" spans="1:5" x14ac:dyDescent="0.25">
      <c r="A737" s="128" t="s">
        <v>1421</v>
      </c>
      <c r="B737" s="128" t="s">
        <v>1422</v>
      </c>
      <c r="C737" s="128" t="s">
        <v>1418</v>
      </c>
      <c r="D737" s="129">
        <v>600</v>
      </c>
      <c r="E737" s="169"/>
    </row>
    <row r="738" spans="1:5" x14ac:dyDescent="0.25">
      <c r="A738" s="130" t="s">
        <v>1423</v>
      </c>
      <c r="B738" s="130" t="s">
        <v>1424</v>
      </c>
      <c r="C738" s="130" t="s">
        <v>1418</v>
      </c>
      <c r="D738" s="131">
        <v>700</v>
      </c>
      <c r="E738" s="169"/>
    </row>
    <row r="739" spans="1:5" x14ac:dyDescent="0.25">
      <c r="D739" s="169"/>
      <c r="E739" s="169"/>
    </row>
    <row r="740" spans="1:5" ht="17.25" customHeight="1" x14ac:dyDescent="0.3">
      <c r="A740" s="521" t="s">
        <v>1425</v>
      </c>
      <c r="B740" s="485"/>
      <c r="C740" s="254"/>
      <c r="D740" s="254"/>
    </row>
    <row r="741" spans="1:5" x14ac:dyDescent="0.25">
      <c r="A741" s="209" t="s">
        <v>7</v>
      </c>
      <c r="B741" s="209" t="s">
        <v>8</v>
      </c>
      <c r="C741" s="209" t="s">
        <v>9</v>
      </c>
      <c r="D741" s="143" t="s">
        <v>75</v>
      </c>
      <c r="E741" s="169"/>
    </row>
    <row r="742" spans="1:5" x14ac:dyDescent="0.25">
      <c r="A742" s="128" t="s">
        <v>1426</v>
      </c>
      <c r="B742" s="128" t="s">
        <v>1427</v>
      </c>
      <c r="C742" s="128" t="s">
        <v>1418</v>
      </c>
      <c r="D742" s="129">
        <v>910</v>
      </c>
      <c r="E742" s="169"/>
    </row>
    <row r="743" spans="1:5" x14ac:dyDescent="0.25">
      <c r="A743" s="130" t="s">
        <v>1428</v>
      </c>
      <c r="B743" s="130" t="s">
        <v>1429</v>
      </c>
      <c r="C743" s="130" t="s">
        <v>1418</v>
      </c>
      <c r="D743" s="131">
        <v>990</v>
      </c>
      <c r="E743" s="169"/>
    </row>
    <row r="744" spans="1:5" x14ac:dyDescent="0.25">
      <c r="A744" s="128" t="s">
        <v>1430</v>
      </c>
      <c r="B744" s="128" t="s">
        <v>1431</v>
      </c>
      <c r="C744" s="128" t="s">
        <v>1418</v>
      </c>
      <c r="D744" s="129">
        <v>760</v>
      </c>
      <c r="E744" s="169"/>
    </row>
    <row r="745" spans="1:5" x14ac:dyDescent="0.25">
      <c r="A745" s="130" t="s">
        <v>1432</v>
      </c>
      <c r="B745" s="130" t="s">
        <v>1433</v>
      </c>
      <c r="C745" s="130" t="s">
        <v>1418</v>
      </c>
      <c r="D745" s="131">
        <v>885</v>
      </c>
      <c r="E745" s="169"/>
    </row>
    <row r="746" spans="1:5" x14ac:dyDescent="0.25">
      <c r="A746" s="128" t="s">
        <v>1434</v>
      </c>
      <c r="B746" s="128" t="s">
        <v>1435</v>
      </c>
      <c r="C746" s="128" t="s">
        <v>1436</v>
      </c>
      <c r="D746" s="129">
        <v>2750</v>
      </c>
      <c r="E746" s="169"/>
    </row>
    <row r="747" spans="1:5" x14ac:dyDescent="0.25">
      <c r="D747" s="169"/>
      <c r="E747" s="169"/>
    </row>
    <row r="748" spans="1:5" ht="17.25" customHeight="1" x14ac:dyDescent="0.3">
      <c r="A748" s="521" t="s">
        <v>1437</v>
      </c>
      <c r="B748" s="485"/>
      <c r="C748" s="254"/>
      <c r="D748" s="254"/>
      <c r="E748" s="254"/>
    </row>
    <row r="749" spans="1:5" x14ac:dyDescent="0.25">
      <c r="A749" s="516" t="s">
        <v>7</v>
      </c>
      <c r="B749" s="516" t="s">
        <v>8</v>
      </c>
      <c r="C749" s="516" t="s">
        <v>9</v>
      </c>
      <c r="D749" s="276" t="s">
        <v>75</v>
      </c>
      <c r="E749" s="277"/>
    </row>
    <row r="750" spans="1:5" x14ac:dyDescent="0.25">
      <c r="A750" s="480"/>
      <c r="B750" s="480"/>
      <c r="C750" s="480"/>
      <c r="D750" s="276" t="s">
        <v>12</v>
      </c>
      <c r="E750" s="143" t="s">
        <v>86</v>
      </c>
    </row>
    <row r="751" spans="1:5" x14ac:dyDescent="0.25">
      <c r="A751" s="128" t="s">
        <v>1438</v>
      </c>
      <c r="B751" s="128" t="s">
        <v>1439</v>
      </c>
      <c r="C751" s="128"/>
      <c r="D751" s="129">
        <v>1350</v>
      </c>
      <c r="E751" s="129">
        <v>500</v>
      </c>
    </row>
    <row r="752" spans="1:5" x14ac:dyDescent="0.25">
      <c r="A752" s="130" t="s">
        <v>1440</v>
      </c>
      <c r="B752" s="130" t="s">
        <v>1441</v>
      </c>
      <c r="C752" s="130"/>
      <c r="D752" s="131">
        <v>1550</v>
      </c>
      <c r="E752" s="131">
        <v>600</v>
      </c>
    </row>
    <row r="753" spans="1:5" x14ac:dyDescent="0.25">
      <c r="A753" s="128" t="s">
        <v>1442</v>
      </c>
      <c r="B753" s="135" t="s">
        <v>1443</v>
      </c>
      <c r="C753" s="128"/>
      <c r="D753" s="129">
        <v>1250</v>
      </c>
      <c r="E753" s="129"/>
    </row>
    <row r="754" spans="1:5" x14ac:dyDescent="0.25">
      <c r="A754" s="130" t="s">
        <v>1444</v>
      </c>
      <c r="B754" s="132" t="s">
        <v>1445</v>
      </c>
      <c r="C754" s="130"/>
      <c r="D754" s="131">
        <v>1350</v>
      </c>
      <c r="E754" s="131"/>
    </row>
    <row r="755" spans="1:5" x14ac:dyDescent="0.25">
      <c r="A755" s="128" t="s">
        <v>1446</v>
      </c>
      <c r="B755" s="128" t="s">
        <v>1447</v>
      </c>
      <c r="C755" s="128"/>
      <c r="D755" s="129">
        <v>385</v>
      </c>
      <c r="E755" s="129"/>
    </row>
    <row r="756" spans="1:5" x14ac:dyDescent="0.25">
      <c r="A756" s="130" t="s">
        <v>1448</v>
      </c>
      <c r="B756" s="130" t="s">
        <v>1449</v>
      </c>
      <c r="C756" s="130"/>
      <c r="D756" s="131">
        <v>575</v>
      </c>
      <c r="E756" s="131"/>
    </row>
    <row r="757" spans="1:5" x14ac:dyDescent="0.25">
      <c r="D757" s="169"/>
      <c r="E757" s="169"/>
    </row>
    <row r="758" spans="1:5" ht="17.25" customHeight="1" x14ac:dyDescent="0.3">
      <c r="A758" s="521" t="s">
        <v>1450</v>
      </c>
      <c r="B758" s="485"/>
      <c r="C758" s="254"/>
      <c r="D758" s="254"/>
    </row>
    <row r="759" spans="1:5" x14ac:dyDescent="0.25">
      <c r="A759" s="209" t="s">
        <v>7</v>
      </c>
      <c r="B759" s="209" t="s">
        <v>8</v>
      </c>
      <c r="C759" s="209" t="s">
        <v>9</v>
      </c>
      <c r="D759" s="143" t="s">
        <v>75</v>
      </c>
      <c r="E759" s="169"/>
    </row>
    <row r="760" spans="1:5" x14ac:dyDescent="0.25">
      <c r="A760" s="128" t="s">
        <v>1451</v>
      </c>
      <c r="B760" s="128" t="s">
        <v>1452</v>
      </c>
      <c r="C760" s="128" t="s">
        <v>1418</v>
      </c>
      <c r="D760" s="129">
        <v>1650</v>
      </c>
      <c r="E760" s="169"/>
    </row>
    <row r="761" spans="1:5" x14ac:dyDescent="0.25">
      <c r="A761" s="130" t="s">
        <v>1453</v>
      </c>
      <c r="B761" s="130" t="s">
        <v>1454</v>
      </c>
      <c r="C761" s="130" t="s">
        <v>1418</v>
      </c>
      <c r="D761" s="131">
        <v>1850</v>
      </c>
      <c r="E761" s="169"/>
    </row>
    <row r="762" spans="1:5" x14ac:dyDescent="0.25">
      <c r="A762" s="128" t="s">
        <v>1455</v>
      </c>
      <c r="B762" s="128" t="s">
        <v>1456</v>
      </c>
      <c r="C762" s="128"/>
      <c r="D762" s="129">
        <v>2850</v>
      </c>
      <c r="E762" s="169"/>
    </row>
    <row r="763" spans="1:5" x14ac:dyDescent="0.25">
      <c r="A763" s="130" t="s">
        <v>1457</v>
      </c>
      <c r="B763" s="132" t="s">
        <v>1458</v>
      </c>
      <c r="C763" s="130" t="s">
        <v>1459</v>
      </c>
      <c r="D763" s="131"/>
      <c r="E763" s="169"/>
    </row>
    <row r="765" spans="1:5" ht="17.25" customHeight="1" x14ac:dyDescent="0.3">
      <c r="A765" s="521" t="s">
        <v>1460</v>
      </c>
      <c r="B765" s="485"/>
      <c r="C765" s="254"/>
      <c r="D765" s="254"/>
      <c r="E765" s="254"/>
    </row>
    <row r="766" spans="1:5" x14ac:dyDescent="0.25">
      <c r="A766" s="516" t="s">
        <v>7</v>
      </c>
      <c r="B766" s="516" t="s">
        <v>8</v>
      </c>
      <c r="C766" s="516" t="s">
        <v>9</v>
      </c>
      <c r="D766" s="276" t="s">
        <v>75</v>
      </c>
      <c r="E766" s="277"/>
    </row>
    <row r="767" spans="1:5" x14ac:dyDescent="0.25">
      <c r="A767" s="480"/>
      <c r="B767" s="480"/>
      <c r="C767" s="480"/>
      <c r="D767" s="276" t="s">
        <v>12</v>
      </c>
      <c r="E767" s="143" t="s">
        <v>86</v>
      </c>
    </row>
    <row r="768" spans="1:5" x14ac:dyDescent="0.25">
      <c r="A768" s="128" t="s">
        <v>1461</v>
      </c>
      <c r="B768" s="128" t="s">
        <v>1462</v>
      </c>
      <c r="C768" s="128" t="s">
        <v>1463</v>
      </c>
      <c r="D768" s="129">
        <v>950</v>
      </c>
      <c r="E768" s="129">
        <v>385</v>
      </c>
    </row>
    <row r="769" spans="1:5" x14ac:dyDescent="0.25">
      <c r="A769" s="130" t="s">
        <v>1464</v>
      </c>
      <c r="B769" s="130" t="s">
        <v>1465</v>
      </c>
      <c r="C769" s="130" t="s">
        <v>1466</v>
      </c>
      <c r="D769" s="511">
        <v>475</v>
      </c>
      <c r="E769" s="488"/>
    </row>
    <row r="770" spans="1:5" x14ac:dyDescent="0.25">
      <c r="A770" s="128" t="s">
        <v>1467</v>
      </c>
      <c r="B770" s="128" t="s">
        <v>1468</v>
      </c>
      <c r="C770" s="128" t="s">
        <v>1418</v>
      </c>
      <c r="D770" s="481">
        <v>40</v>
      </c>
      <c r="E770" s="488"/>
    </row>
    <row r="771" spans="1:5" x14ac:dyDescent="0.25">
      <c r="A771" s="130" t="s">
        <v>1469</v>
      </c>
      <c r="B771" s="130" t="s">
        <v>1470</v>
      </c>
      <c r="C771" s="130" t="s">
        <v>1463</v>
      </c>
      <c r="D771" s="511">
        <v>65</v>
      </c>
      <c r="E771" s="488"/>
    </row>
    <row r="772" spans="1:5" x14ac:dyDescent="0.25">
      <c r="A772" s="228" t="s">
        <v>1471</v>
      </c>
      <c r="B772" s="228" t="s">
        <v>1472</v>
      </c>
      <c r="C772" s="228" t="s">
        <v>1418</v>
      </c>
      <c r="D772" s="527">
        <v>1850</v>
      </c>
      <c r="E772" s="492"/>
    </row>
    <row r="773" spans="1:5" x14ac:dyDescent="0.25">
      <c r="A773" s="281" t="s">
        <v>1473</v>
      </c>
      <c r="B773" s="264" t="s">
        <v>1474</v>
      </c>
      <c r="C773" s="264" t="s">
        <v>1463</v>
      </c>
      <c r="D773" s="282">
        <v>750</v>
      </c>
      <c r="E773" s="283"/>
    </row>
    <row r="774" spans="1:5" x14ac:dyDescent="0.25">
      <c r="A774" s="284"/>
      <c r="B774" s="234"/>
      <c r="C774" s="234"/>
      <c r="D774" s="285" t="s">
        <v>1475</v>
      </c>
      <c r="E774" s="141"/>
    </row>
    <row r="775" spans="1:5" x14ac:dyDescent="0.25">
      <c r="D775" s="169"/>
      <c r="E775" s="169"/>
    </row>
    <row r="776" spans="1:5" ht="17.25" customHeight="1" x14ac:dyDescent="0.3">
      <c r="A776" s="521" t="s">
        <v>1476</v>
      </c>
      <c r="B776" s="485"/>
      <c r="C776" s="254"/>
      <c r="D776" s="254"/>
    </row>
    <row r="777" spans="1:5" x14ac:dyDescent="0.25">
      <c r="A777" s="209" t="s">
        <v>7</v>
      </c>
      <c r="B777" s="209" t="s">
        <v>8</v>
      </c>
      <c r="C777" s="209" t="s">
        <v>9</v>
      </c>
      <c r="D777" s="143" t="s">
        <v>75</v>
      </c>
      <c r="E777" s="169"/>
    </row>
    <row r="778" spans="1:5" x14ac:dyDescent="0.25">
      <c r="A778" s="128" t="s">
        <v>1477</v>
      </c>
      <c r="B778" s="128" t="s">
        <v>1478</v>
      </c>
      <c r="C778" s="128" t="s">
        <v>1418</v>
      </c>
      <c r="D778" s="129">
        <v>1650</v>
      </c>
      <c r="E778" s="169"/>
    </row>
    <row r="779" spans="1:5" x14ac:dyDescent="0.25">
      <c r="A779" s="130" t="s">
        <v>1479</v>
      </c>
      <c r="B779" s="238" t="s">
        <v>1480</v>
      </c>
      <c r="C779" s="130" t="s">
        <v>1418</v>
      </c>
      <c r="D779" s="131">
        <v>1850</v>
      </c>
      <c r="E779" s="169"/>
    </row>
    <row r="780" spans="1:5" x14ac:dyDescent="0.25">
      <c r="A780" s="128" t="s">
        <v>1481</v>
      </c>
      <c r="B780" s="128" t="s">
        <v>1482</v>
      </c>
      <c r="C780" s="128" t="s">
        <v>1463</v>
      </c>
      <c r="D780" s="129">
        <v>250</v>
      </c>
      <c r="E780" s="169"/>
    </row>
    <row r="781" spans="1:5" x14ac:dyDescent="0.25">
      <c r="A781" s="238" t="s">
        <v>1483</v>
      </c>
      <c r="B781" s="130" t="s">
        <v>1484</v>
      </c>
      <c r="C781" s="130" t="s">
        <v>1466</v>
      </c>
      <c r="D781" s="131"/>
      <c r="E781" s="169"/>
    </row>
    <row r="782" spans="1:5" x14ac:dyDescent="0.25">
      <c r="A782" s="128" t="s">
        <v>1485</v>
      </c>
      <c r="B782" s="136" t="s">
        <v>1486</v>
      </c>
      <c r="C782" s="128" t="s">
        <v>1418</v>
      </c>
      <c r="D782" s="129">
        <v>2200</v>
      </c>
      <c r="E782" s="169"/>
    </row>
    <row r="783" spans="1:5" x14ac:dyDescent="0.25">
      <c r="A783" s="130" t="s">
        <v>1487</v>
      </c>
      <c r="B783" s="130" t="s">
        <v>1488</v>
      </c>
      <c r="C783" s="130" t="s">
        <v>1418</v>
      </c>
      <c r="D783" s="131">
        <v>2500</v>
      </c>
      <c r="E783" s="169"/>
    </row>
    <row r="784" spans="1:5" x14ac:dyDescent="0.25">
      <c r="D784" s="169"/>
      <c r="E784" s="169"/>
    </row>
    <row r="785" spans="1:5" ht="17.25" customHeight="1" x14ac:dyDescent="0.3">
      <c r="A785" s="521" t="s">
        <v>1489</v>
      </c>
      <c r="B785" s="485"/>
      <c r="C785" s="254"/>
      <c r="D785" s="254"/>
    </row>
    <row r="786" spans="1:5" x14ac:dyDescent="0.25">
      <c r="A786" s="209" t="s">
        <v>7</v>
      </c>
      <c r="B786" s="209" t="s">
        <v>8</v>
      </c>
      <c r="C786" s="209" t="s">
        <v>9</v>
      </c>
      <c r="D786" s="143" t="s">
        <v>75</v>
      </c>
      <c r="E786" s="169"/>
    </row>
    <row r="787" spans="1:5" x14ac:dyDescent="0.25">
      <c r="A787" s="128" t="s">
        <v>1490</v>
      </c>
      <c r="B787" s="128" t="s">
        <v>1491</v>
      </c>
      <c r="C787" s="128" t="s">
        <v>1463</v>
      </c>
      <c r="D787" s="129">
        <v>750</v>
      </c>
      <c r="E787" s="169"/>
    </row>
    <row r="788" spans="1:5" x14ac:dyDescent="0.25">
      <c r="A788" s="130" t="s">
        <v>1492</v>
      </c>
      <c r="B788" s="130" t="s">
        <v>1493</v>
      </c>
      <c r="C788" s="130" t="s">
        <v>1418</v>
      </c>
      <c r="D788" s="131">
        <v>1900</v>
      </c>
      <c r="E788" s="169"/>
    </row>
    <row r="789" spans="1:5" x14ac:dyDescent="0.25">
      <c r="A789" s="128" t="s">
        <v>1494</v>
      </c>
      <c r="B789" s="128" t="s">
        <v>1495</v>
      </c>
      <c r="C789" s="128" t="s">
        <v>1418</v>
      </c>
      <c r="D789" s="129">
        <v>2200</v>
      </c>
      <c r="E789" s="169"/>
    </row>
    <row r="790" spans="1:5" x14ac:dyDescent="0.25">
      <c r="A790" s="130" t="s">
        <v>1496</v>
      </c>
      <c r="B790" s="130" t="s">
        <v>1497</v>
      </c>
      <c r="C790" s="130" t="s">
        <v>1463</v>
      </c>
      <c r="D790" s="131">
        <v>500</v>
      </c>
      <c r="E790" s="169"/>
    </row>
    <row r="791" spans="1:5" x14ac:dyDescent="0.25">
      <c r="A791" s="128" t="s">
        <v>1498</v>
      </c>
      <c r="B791" s="128" t="s">
        <v>1499</v>
      </c>
      <c r="C791" s="128" t="s">
        <v>1463</v>
      </c>
      <c r="D791" s="129">
        <v>650</v>
      </c>
      <c r="E791" s="169"/>
    </row>
    <row r="792" spans="1:5" x14ac:dyDescent="0.25">
      <c r="A792" s="130" t="s">
        <v>1500</v>
      </c>
      <c r="B792" s="130" t="s">
        <v>1501</v>
      </c>
      <c r="C792" s="130" t="s">
        <v>1502</v>
      </c>
      <c r="D792" s="131">
        <v>1350</v>
      </c>
      <c r="E792" s="169"/>
    </row>
    <row r="794" spans="1:5" ht="17.25" customHeight="1" x14ac:dyDescent="0.3">
      <c r="A794" s="521" t="s">
        <v>1503</v>
      </c>
      <c r="B794" s="485"/>
      <c r="C794" s="254"/>
      <c r="D794" s="254"/>
    </row>
    <row r="795" spans="1:5" x14ac:dyDescent="0.25">
      <c r="A795" s="209" t="s">
        <v>7</v>
      </c>
      <c r="B795" s="209" t="s">
        <v>8</v>
      </c>
      <c r="C795" s="209" t="s">
        <v>9</v>
      </c>
      <c r="D795" s="143" t="s">
        <v>75</v>
      </c>
    </row>
    <row r="796" spans="1:5" x14ac:dyDescent="0.25">
      <c r="A796" s="128" t="s">
        <v>1504</v>
      </c>
      <c r="B796" s="128" t="s">
        <v>1505</v>
      </c>
      <c r="C796" s="128" t="s">
        <v>85</v>
      </c>
      <c r="D796" s="129">
        <v>1250</v>
      </c>
    </row>
    <row r="797" spans="1:5" x14ac:dyDescent="0.25">
      <c r="A797" s="130" t="s">
        <v>1506</v>
      </c>
      <c r="B797" s="130" t="s">
        <v>1507</v>
      </c>
      <c r="C797" s="130" t="s">
        <v>85</v>
      </c>
      <c r="D797" s="131">
        <v>1300</v>
      </c>
    </row>
    <row r="798" spans="1:5" x14ac:dyDescent="0.25">
      <c r="A798" s="128" t="s">
        <v>1508</v>
      </c>
      <c r="B798" s="128" t="s">
        <v>1509</v>
      </c>
      <c r="C798" s="128" t="s">
        <v>85</v>
      </c>
      <c r="D798" s="129">
        <v>1200</v>
      </c>
    </row>
    <row r="799" spans="1:5" x14ac:dyDescent="0.25">
      <c r="A799" s="130" t="s">
        <v>1510</v>
      </c>
      <c r="B799" s="130" t="s">
        <v>1511</v>
      </c>
      <c r="C799" s="130" t="s">
        <v>85</v>
      </c>
      <c r="D799" s="131">
        <v>1250</v>
      </c>
    </row>
    <row r="800" spans="1:5" x14ac:dyDescent="0.25">
      <c r="A800" s="128" t="s">
        <v>1512</v>
      </c>
      <c r="B800" s="128" t="s">
        <v>1513</v>
      </c>
      <c r="C800" s="128" t="s">
        <v>85</v>
      </c>
      <c r="D800" s="129">
        <v>1300</v>
      </c>
    </row>
    <row r="801" spans="1:4" x14ac:dyDescent="0.25">
      <c r="A801" s="130" t="s">
        <v>1514</v>
      </c>
      <c r="B801" s="130" t="s">
        <v>1515</v>
      </c>
      <c r="C801" s="130" t="s">
        <v>85</v>
      </c>
      <c r="D801" s="131">
        <v>1150</v>
      </c>
    </row>
    <row r="802" spans="1:4" x14ac:dyDescent="0.25">
      <c r="A802" s="128" t="s">
        <v>1516</v>
      </c>
      <c r="B802" s="128" t="s">
        <v>1517</v>
      </c>
      <c r="C802" s="128" t="s">
        <v>85</v>
      </c>
      <c r="D802" s="129">
        <v>1200</v>
      </c>
    </row>
    <row r="803" spans="1:4" x14ac:dyDescent="0.25">
      <c r="A803" s="130" t="s">
        <v>1518</v>
      </c>
      <c r="B803" s="130" t="s">
        <v>1519</v>
      </c>
      <c r="C803" s="130" t="s">
        <v>85</v>
      </c>
      <c r="D803" s="131">
        <v>1200</v>
      </c>
    </row>
    <row r="804" spans="1:4" x14ac:dyDescent="0.25">
      <c r="A804" s="128" t="s">
        <v>1520</v>
      </c>
      <c r="B804" s="128" t="s">
        <v>1521</v>
      </c>
      <c r="C804" s="128" t="s">
        <v>85</v>
      </c>
      <c r="D804" s="129">
        <v>1200</v>
      </c>
    </row>
    <row r="805" spans="1:4" x14ac:dyDescent="0.25">
      <c r="A805" s="130" t="s">
        <v>1522</v>
      </c>
      <c r="B805" s="130" t="s">
        <v>1523</v>
      </c>
      <c r="C805" s="130" t="s">
        <v>85</v>
      </c>
      <c r="D805" s="131">
        <v>1100</v>
      </c>
    </row>
    <row r="806" spans="1:4" x14ac:dyDescent="0.25">
      <c r="A806" s="128" t="s">
        <v>1524</v>
      </c>
      <c r="B806" s="128" t="s">
        <v>1525</v>
      </c>
      <c r="C806" s="128" t="s">
        <v>85</v>
      </c>
      <c r="D806" s="129">
        <v>1250</v>
      </c>
    </row>
    <row r="807" spans="1:4" x14ac:dyDescent="0.25">
      <c r="A807" s="130" t="s">
        <v>1526</v>
      </c>
      <c r="B807" s="130" t="s">
        <v>1527</v>
      </c>
      <c r="C807" s="130" t="s">
        <v>85</v>
      </c>
      <c r="D807" s="131">
        <v>1400</v>
      </c>
    </row>
    <row r="808" spans="1:4" x14ac:dyDescent="0.25">
      <c r="A808" s="128" t="s">
        <v>1528</v>
      </c>
      <c r="B808" s="128" t="s">
        <v>1529</v>
      </c>
      <c r="C808" s="128" t="s">
        <v>85</v>
      </c>
      <c r="D808" s="129">
        <v>1350</v>
      </c>
    </row>
    <row r="809" spans="1:4" x14ac:dyDescent="0.25">
      <c r="D809" s="169"/>
    </row>
    <row r="810" spans="1:4" ht="17.25" customHeight="1" x14ac:dyDescent="0.3">
      <c r="A810" s="521" t="s">
        <v>1530</v>
      </c>
      <c r="B810" s="485"/>
      <c r="C810" s="254"/>
      <c r="D810" s="254"/>
    </row>
    <row r="811" spans="1:4" x14ac:dyDescent="0.25">
      <c r="A811" s="209" t="s">
        <v>7</v>
      </c>
      <c r="B811" s="209" t="s">
        <v>8</v>
      </c>
      <c r="C811" s="209" t="s">
        <v>9</v>
      </c>
      <c r="D811" s="143" t="s">
        <v>75</v>
      </c>
    </row>
    <row r="812" spans="1:4" x14ac:dyDescent="0.25">
      <c r="A812" s="128" t="s">
        <v>1531</v>
      </c>
      <c r="B812" s="128" t="s">
        <v>1532</v>
      </c>
      <c r="C812" s="128" t="s">
        <v>1533</v>
      </c>
      <c r="D812" s="129">
        <v>58</v>
      </c>
    </row>
    <row r="813" spans="1:4" x14ac:dyDescent="0.25">
      <c r="A813" s="130" t="s">
        <v>1534</v>
      </c>
      <c r="B813" s="130" t="s">
        <v>1535</v>
      </c>
      <c r="C813" s="130" t="s">
        <v>1536</v>
      </c>
      <c r="D813" s="131">
        <v>50</v>
      </c>
    </row>
    <row r="814" spans="1:4" x14ac:dyDescent="0.25">
      <c r="A814" s="128" t="s">
        <v>1537</v>
      </c>
      <c r="B814" s="128" t="s">
        <v>1538</v>
      </c>
      <c r="C814" s="128" t="s">
        <v>1539</v>
      </c>
      <c r="D814" s="129">
        <v>60</v>
      </c>
    </row>
    <row r="815" spans="1:4" x14ac:dyDescent="0.25">
      <c r="A815" s="130" t="s">
        <v>1540</v>
      </c>
      <c r="B815" s="130" t="s">
        <v>1541</v>
      </c>
      <c r="C815" s="130" t="s">
        <v>1542</v>
      </c>
      <c r="D815" s="131">
        <v>115</v>
      </c>
    </row>
    <row r="816" spans="1:4" x14ac:dyDescent="0.25">
      <c r="A816" s="128" t="s">
        <v>1543</v>
      </c>
      <c r="B816" s="128" t="s">
        <v>1544</v>
      </c>
      <c r="C816" s="128" t="s">
        <v>1539</v>
      </c>
      <c r="D816" s="129">
        <v>200</v>
      </c>
    </row>
    <row r="817" spans="1:4" x14ac:dyDescent="0.25">
      <c r="A817" s="130" t="s">
        <v>1545</v>
      </c>
      <c r="B817" s="130" t="s">
        <v>1546</v>
      </c>
      <c r="C817" s="130" t="s">
        <v>1547</v>
      </c>
      <c r="D817" s="131">
        <v>350</v>
      </c>
    </row>
    <row r="818" spans="1:4" x14ac:dyDescent="0.25">
      <c r="A818" s="128" t="s">
        <v>1548</v>
      </c>
      <c r="B818" s="128" t="s">
        <v>1549</v>
      </c>
      <c r="C818" s="128" t="s">
        <v>1539</v>
      </c>
      <c r="D818" s="129">
        <v>115</v>
      </c>
    </row>
    <row r="819" spans="1:4" x14ac:dyDescent="0.25">
      <c r="A819" s="130" t="s">
        <v>1550</v>
      </c>
      <c r="B819" s="130" t="s">
        <v>1551</v>
      </c>
      <c r="C819" s="130" t="s">
        <v>1552</v>
      </c>
      <c r="D819" s="131">
        <v>100</v>
      </c>
    </row>
    <row r="821" spans="1:4" ht="17.25" customHeight="1" x14ac:dyDescent="0.3">
      <c r="A821" s="521" t="s">
        <v>1553</v>
      </c>
      <c r="B821" s="485"/>
      <c r="C821" s="254"/>
      <c r="D821" s="254"/>
    </row>
    <row r="822" spans="1:4" x14ac:dyDescent="0.25">
      <c r="A822" s="286" t="s">
        <v>7</v>
      </c>
      <c r="B822" s="286" t="s">
        <v>8</v>
      </c>
      <c r="C822" s="286" t="s">
        <v>1463</v>
      </c>
      <c r="D822" s="286" t="s">
        <v>1554</v>
      </c>
    </row>
    <row r="823" spans="1:4" x14ac:dyDescent="0.25">
      <c r="A823" s="268" t="s">
        <v>1555</v>
      </c>
      <c r="B823" s="268" t="s">
        <v>1404</v>
      </c>
      <c r="C823" s="287">
        <v>190</v>
      </c>
      <c r="D823" s="287">
        <v>1950</v>
      </c>
    </row>
    <row r="824" spans="1:4" x14ac:dyDescent="0.25">
      <c r="A824" s="270" t="s">
        <v>1556</v>
      </c>
      <c r="B824" s="270" t="s">
        <v>1557</v>
      </c>
      <c r="C824" s="288">
        <v>220</v>
      </c>
      <c r="D824" s="288">
        <v>2100</v>
      </c>
    </row>
    <row r="825" spans="1:4" x14ac:dyDescent="0.25">
      <c r="A825" s="268" t="s">
        <v>1558</v>
      </c>
      <c r="B825" s="268" t="s">
        <v>1106</v>
      </c>
      <c r="C825" s="287">
        <v>250</v>
      </c>
      <c r="D825" s="287">
        <v>2100</v>
      </c>
    </row>
    <row r="826" spans="1:4" x14ac:dyDescent="0.25">
      <c r="A826" s="270" t="s">
        <v>1559</v>
      </c>
      <c r="B826" s="270" t="s">
        <v>1560</v>
      </c>
      <c r="C826" s="288">
        <v>260</v>
      </c>
      <c r="D826" s="288">
        <v>2250</v>
      </c>
    </row>
    <row r="828" spans="1:4" ht="17.25" customHeight="1" x14ac:dyDescent="0.3">
      <c r="A828" s="521" t="s">
        <v>1561</v>
      </c>
      <c r="B828" s="485"/>
      <c r="C828" s="254"/>
      <c r="D828" s="254"/>
    </row>
    <row r="829" spans="1:4" x14ac:dyDescent="0.25">
      <c r="A829" s="516" t="s">
        <v>7</v>
      </c>
      <c r="B829" s="516" t="s">
        <v>8</v>
      </c>
      <c r="C829" s="517" t="s">
        <v>75</v>
      </c>
      <c r="D829" s="488"/>
    </row>
    <row r="830" spans="1:4" x14ac:dyDescent="0.25">
      <c r="A830" s="480"/>
      <c r="B830" s="480"/>
      <c r="C830" s="274" t="s">
        <v>1562</v>
      </c>
      <c r="D830" s="274" t="s">
        <v>1563</v>
      </c>
    </row>
    <row r="831" spans="1:4" x14ac:dyDescent="0.25">
      <c r="A831" s="128" t="s">
        <v>1564</v>
      </c>
      <c r="B831" s="128" t="s">
        <v>1557</v>
      </c>
      <c r="C831" s="129">
        <v>300</v>
      </c>
      <c r="D831" s="129">
        <v>110</v>
      </c>
    </row>
    <row r="832" spans="1:4" x14ac:dyDescent="0.25">
      <c r="A832" s="130" t="s">
        <v>1565</v>
      </c>
      <c r="B832" s="130" t="s">
        <v>1106</v>
      </c>
      <c r="C832" s="131">
        <v>300</v>
      </c>
      <c r="D832" s="131">
        <v>110</v>
      </c>
    </row>
    <row r="833" spans="1:4" x14ac:dyDescent="0.25">
      <c r="A833" s="128" t="s">
        <v>1566</v>
      </c>
      <c r="B833" s="128" t="s">
        <v>1560</v>
      </c>
      <c r="C833" s="129">
        <v>300</v>
      </c>
      <c r="D833" s="129">
        <v>110</v>
      </c>
    </row>
    <row r="834" spans="1:4" x14ac:dyDescent="0.25">
      <c r="C834" s="169"/>
      <c r="D834" s="169"/>
    </row>
    <row r="835" spans="1:4" x14ac:dyDescent="0.25">
      <c r="C835" s="169"/>
      <c r="D835" s="169"/>
    </row>
    <row r="836" spans="1:4" ht="17.25" customHeight="1" x14ac:dyDescent="0.3">
      <c r="A836" s="521" t="s">
        <v>1567</v>
      </c>
      <c r="B836" s="485"/>
      <c r="C836" s="254"/>
      <c r="D836" s="254"/>
    </row>
    <row r="837" spans="1:4" x14ac:dyDescent="0.25">
      <c r="A837" s="516" t="s">
        <v>7</v>
      </c>
      <c r="B837" s="516" t="s">
        <v>8</v>
      </c>
      <c r="C837" s="517" t="s">
        <v>75</v>
      </c>
      <c r="D837" s="488"/>
    </row>
    <row r="838" spans="1:4" x14ac:dyDescent="0.25">
      <c r="A838" s="480"/>
      <c r="B838" s="480"/>
      <c r="C838" s="274" t="s">
        <v>1568</v>
      </c>
      <c r="D838" s="274" t="s">
        <v>1563</v>
      </c>
    </row>
    <row r="839" spans="1:4" x14ac:dyDescent="0.25">
      <c r="A839" s="128" t="s">
        <v>1569</v>
      </c>
      <c r="B839" s="128" t="s">
        <v>1570</v>
      </c>
      <c r="C839" s="129">
        <v>845</v>
      </c>
      <c r="D839" s="129">
        <v>100</v>
      </c>
    </row>
    <row r="840" spans="1:4" x14ac:dyDescent="0.25">
      <c r="A840" s="130" t="s">
        <v>1571</v>
      </c>
      <c r="B840" s="130" t="s">
        <v>1572</v>
      </c>
      <c r="C840" s="131">
        <v>1170</v>
      </c>
      <c r="D840" s="131">
        <v>100</v>
      </c>
    </row>
    <row r="841" spans="1:4" x14ac:dyDescent="0.25">
      <c r="A841" s="128" t="s">
        <v>1573</v>
      </c>
      <c r="B841" s="128" t="s">
        <v>1574</v>
      </c>
      <c r="C841" s="129">
        <v>1470</v>
      </c>
      <c r="D841" s="129">
        <v>100</v>
      </c>
    </row>
    <row r="842" spans="1:4" x14ac:dyDescent="0.25">
      <c r="A842" s="130" t="s">
        <v>1575</v>
      </c>
      <c r="B842" s="130" t="s">
        <v>1576</v>
      </c>
      <c r="C842" s="131">
        <v>1920</v>
      </c>
      <c r="D842" s="131">
        <v>100</v>
      </c>
    </row>
    <row r="843" spans="1:4" x14ac:dyDescent="0.25">
      <c r="C843" s="169"/>
      <c r="D843" s="169"/>
    </row>
    <row r="845" spans="1:4" ht="17.25" customHeight="1" x14ac:dyDescent="0.3">
      <c r="A845" s="482" t="s">
        <v>1577</v>
      </c>
      <c r="B845" s="483"/>
      <c r="C845" s="289"/>
      <c r="D845" s="290"/>
    </row>
    <row r="846" spans="1:4" x14ac:dyDescent="0.25">
      <c r="A846" s="291" t="s">
        <v>7</v>
      </c>
      <c r="B846" s="286" t="s">
        <v>8</v>
      </c>
      <c r="C846" s="286" t="s">
        <v>1578</v>
      </c>
      <c r="D846" s="286" t="s">
        <v>1563</v>
      </c>
    </row>
    <row r="847" spans="1:4" x14ac:dyDescent="0.25">
      <c r="A847" s="268" t="s">
        <v>1579</v>
      </c>
      <c r="B847" s="268" t="s">
        <v>1580</v>
      </c>
      <c r="C847" s="287">
        <v>245</v>
      </c>
      <c r="D847" s="287">
        <v>100</v>
      </c>
    </row>
    <row r="848" spans="1:4" x14ac:dyDescent="0.25">
      <c r="A848" s="270" t="s">
        <v>1581</v>
      </c>
      <c r="B848" s="270" t="s">
        <v>1582</v>
      </c>
      <c r="C848" s="288">
        <v>245</v>
      </c>
      <c r="D848" s="288">
        <v>100</v>
      </c>
    </row>
    <row r="849" spans="1:4" x14ac:dyDescent="0.25">
      <c r="A849" s="268" t="s">
        <v>1583</v>
      </c>
      <c r="B849" s="268" t="s">
        <v>1584</v>
      </c>
      <c r="C849" s="287">
        <v>245</v>
      </c>
      <c r="D849" s="287">
        <v>115</v>
      </c>
    </row>
    <row r="850" spans="1:4" x14ac:dyDescent="0.25">
      <c r="A850" s="270" t="s">
        <v>1585</v>
      </c>
      <c r="B850" s="270" t="s">
        <v>1586</v>
      </c>
      <c r="C850" s="288">
        <v>445</v>
      </c>
      <c r="D850" s="288">
        <v>215</v>
      </c>
    </row>
    <row r="851" spans="1:4" x14ac:dyDescent="0.25">
      <c r="A851" s="268" t="s">
        <v>1587</v>
      </c>
      <c r="B851" s="268" t="s">
        <v>1588</v>
      </c>
      <c r="C851" s="287">
        <v>545</v>
      </c>
      <c r="D851" s="287">
        <v>215</v>
      </c>
    </row>
    <row r="852" spans="1:4" x14ac:dyDescent="0.25">
      <c r="A852" s="270" t="s">
        <v>1589</v>
      </c>
      <c r="B852" s="270" t="s">
        <v>1590</v>
      </c>
      <c r="C852" s="288"/>
      <c r="D852" s="288"/>
    </row>
    <row r="854" spans="1:4" ht="17.25" customHeight="1" x14ac:dyDescent="0.3">
      <c r="A854" s="521" t="s">
        <v>1591</v>
      </c>
      <c r="B854" s="485"/>
      <c r="C854" s="254"/>
      <c r="D854" s="254"/>
    </row>
    <row r="855" spans="1:4" x14ac:dyDescent="0.25">
      <c r="A855" s="516" t="s">
        <v>7</v>
      </c>
      <c r="B855" s="516" t="s">
        <v>8</v>
      </c>
      <c r="C855" s="517" t="s">
        <v>75</v>
      </c>
      <c r="D855" s="488"/>
    </row>
    <row r="856" spans="1:4" x14ac:dyDescent="0.25">
      <c r="A856" s="480"/>
      <c r="B856" s="480"/>
      <c r="C856" s="286" t="s">
        <v>1578</v>
      </c>
      <c r="D856" s="286" t="s">
        <v>1563</v>
      </c>
    </row>
    <row r="857" spans="1:4" x14ac:dyDescent="0.25">
      <c r="A857" s="201" t="s">
        <v>1592</v>
      </c>
      <c r="B857" s="201" t="s">
        <v>1593</v>
      </c>
      <c r="C857" s="202">
        <v>380</v>
      </c>
      <c r="D857" s="202">
        <v>140</v>
      </c>
    </row>
    <row r="858" spans="1:4" x14ac:dyDescent="0.25">
      <c r="A858" s="203" t="s">
        <v>1594</v>
      </c>
      <c r="B858" s="203" t="s">
        <v>1595</v>
      </c>
      <c r="C858" s="204">
        <v>500</v>
      </c>
      <c r="D858" s="204">
        <v>170</v>
      </c>
    </row>
    <row r="859" spans="1:4" x14ac:dyDescent="0.25">
      <c r="A859" s="201" t="s">
        <v>1596</v>
      </c>
      <c r="B859" s="201" t="s">
        <v>1597</v>
      </c>
      <c r="C859" s="202">
        <v>600</v>
      </c>
      <c r="D859" s="202">
        <v>225</v>
      </c>
    </row>
    <row r="860" spans="1:4" x14ac:dyDescent="0.25">
      <c r="A860" s="203" t="s">
        <v>1598</v>
      </c>
      <c r="B860" s="203" t="s">
        <v>1599</v>
      </c>
      <c r="C860" s="204">
        <v>600</v>
      </c>
      <c r="D860" s="204">
        <v>225</v>
      </c>
    </row>
    <row r="861" spans="1:4" x14ac:dyDescent="0.25">
      <c r="A861" s="201" t="s">
        <v>1600</v>
      </c>
      <c r="B861" s="292" t="s">
        <v>1590</v>
      </c>
      <c r="C861" s="202"/>
      <c r="D861" s="202"/>
    </row>
    <row r="862" spans="1:4" x14ac:dyDescent="0.25">
      <c r="C862" s="205"/>
      <c r="D862" s="205"/>
    </row>
    <row r="863" spans="1:4" x14ac:dyDescent="0.25">
      <c r="C863" s="205"/>
      <c r="D863" s="205"/>
    </row>
    <row r="864" spans="1:4" ht="17.25" customHeight="1" x14ac:dyDescent="0.3">
      <c r="A864" s="521" t="s">
        <v>1601</v>
      </c>
      <c r="B864" s="485"/>
      <c r="C864" s="254"/>
      <c r="D864" s="254"/>
    </row>
    <row r="865" spans="1:4" x14ac:dyDescent="0.25">
      <c r="A865" s="516" t="s">
        <v>7</v>
      </c>
      <c r="B865" s="516" t="s">
        <v>8</v>
      </c>
      <c r="C865" s="517" t="s">
        <v>75</v>
      </c>
      <c r="D865" s="488"/>
    </row>
    <row r="866" spans="1:4" x14ac:dyDescent="0.25">
      <c r="A866" s="480"/>
      <c r="B866" s="480"/>
      <c r="C866" s="286" t="s">
        <v>1578</v>
      </c>
      <c r="D866" s="286" t="s">
        <v>1563</v>
      </c>
    </row>
    <row r="867" spans="1:4" x14ac:dyDescent="0.25">
      <c r="A867" s="201" t="s">
        <v>1602</v>
      </c>
      <c r="B867" s="201" t="s">
        <v>1603</v>
      </c>
      <c r="C867" s="202">
        <v>30</v>
      </c>
      <c r="D867" s="202">
        <v>10</v>
      </c>
    </row>
    <row r="868" spans="1:4" x14ac:dyDescent="0.25">
      <c r="A868" s="203" t="s">
        <v>1604</v>
      </c>
      <c r="B868" s="203" t="s">
        <v>1605</v>
      </c>
      <c r="C868" s="204">
        <v>30</v>
      </c>
      <c r="D868" s="204">
        <v>10</v>
      </c>
    </row>
    <row r="869" spans="1:4" x14ac:dyDescent="0.25">
      <c r="A869" s="201" t="s">
        <v>1606</v>
      </c>
      <c r="B869" s="201" t="s">
        <v>1607</v>
      </c>
      <c r="C869" s="202">
        <v>30</v>
      </c>
      <c r="D869" s="202">
        <v>10</v>
      </c>
    </row>
    <row r="870" spans="1:4" x14ac:dyDescent="0.25">
      <c r="A870" s="203" t="s">
        <v>1608</v>
      </c>
      <c r="B870" s="203" t="s">
        <v>1609</v>
      </c>
      <c r="C870" s="204">
        <v>60</v>
      </c>
      <c r="D870" s="204">
        <v>10</v>
      </c>
    </row>
    <row r="871" spans="1:4" x14ac:dyDescent="0.25">
      <c r="A871" s="201" t="s">
        <v>1610</v>
      </c>
      <c r="B871" s="201" t="s">
        <v>1611</v>
      </c>
      <c r="C871" s="202">
        <v>60</v>
      </c>
      <c r="D871" s="202">
        <v>10</v>
      </c>
    </row>
    <row r="872" spans="1:4" x14ac:dyDescent="0.25">
      <c r="A872" s="203" t="s">
        <v>1612</v>
      </c>
      <c r="B872" s="203" t="s">
        <v>1613</v>
      </c>
      <c r="C872" s="204">
        <v>85</v>
      </c>
      <c r="D872" s="204">
        <v>10</v>
      </c>
    </row>
    <row r="873" spans="1:4" x14ac:dyDescent="0.25">
      <c r="A873" s="201" t="s">
        <v>1614</v>
      </c>
      <c r="B873" s="201" t="s">
        <v>1615</v>
      </c>
      <c r="C873" s="202">
        <v>110</v>
      </c>
      <c r="D873" s="202">
        <v>10</v>
      </c>
    </row>
    <row r="874" spans="1:4" x14ac:dyDescent="0.25">
      <c r="A874" s="203" t="s">
        <v>1616</v>
      </c>
      <c r="B874" s="203" t="s">
        <v>1617</v>
      </c>
      <c r="C874" s="204">
        <v>150</v>
      </c>
      <c r="D874" s="204">
        <v>15</v>
      </c>
    </row>
    <row r="875" spans="1:4" x14ac:dyDescent="0.25">
      <c r="A875" s="201" t="s">
        <v>1618</v>
      </c>
      <c r="B875" s="201" t="s">
        <v>1619</v>
      </c>
      <c r="C875" s="202" t="s">
        <v>1620</v>
      </c>
      <c r="D875" s="202"/>
    </row>
    <row r="876" spans="1:4" x14ac:dyDescent="0.25">
      <c r="C876" s="205"/>
      <c r="D876" s="205"/>
    </row>
    <row r="877" spans="1:4" x14ac:dyDescent="0.25">
      <c r="C877" s="205"/>
      <c r="D877" s="205"/>
    </row>
    <row r="878" spans="1:4" ht="17.25" customHeight="1" x14ac:dyDescent="0.3">
      <c r="A878" s="530" t="s">
        <v>1601</v>
      </c>
      <c r="B878" s="476"/>
      <c r="C878" s="254"/>
      <c r="D878" s="254"/>
    </row>
    <row r="879" spans="1:4" x14ac:dyDescent="0.25">
      <c r="A879" s="516" t="s">
        <v>7</v>
      </c>
      <c r="B879" s="513" t="s">
        <v>8</v>
      </c>
      <c r="C879" s="517" t="s">
        <v>75</v>
      </c>
      <c r="D879" s="488"/>
    </row>
    <row r="880" spans="1:4" x14ac:dyDescent="0.25">
      <c r="A880" s="480"/>
      <c r="B880" s="480"/>
      <c r="C880" s="241" t="s">
        <v>85</v>
      </c>
      <c r="D880" s="241" t="s">
        <v>1621</v>
      </c>
    </row>
    <row r="881" spans="1:6" x14ac:dyDescent="0.25">
      <c r="A881" s="135" t="s">
        <v>1622</v>
      </c>
      <c r="B881" s="135" t="s">
        <v>1623</v>
      </c>
      <c r="C881" s="160">
        <v>190</v>
      </c>
      <c r="D881" s="160">
        <v>1900</v>
      </c>
    </row>
    <row r="882" spans="1:6" x14ac:dyDescent="0.25">
      <c r="A882" s="132" t="s">
        <v>1624</v>
      </c>
      <c r="B882" s="132" t="s">
        <v>1625</v>
      </c>
      <c r="C882" s="159">
        <v>230</v>
      </c>
      <c r="D882" s="159">
        <v>1900</v>
      </c>
    </row>
    <row r="883" spans="1:6" x14ac:dyDescent="0.25">
      <c r="A883" s="135" t="s">
        <v>1626</v>
      </c>
      <c r="B883" s="135" t="s">
        <v>1627</v>
      </c>
      <c r="C883" s="160">
        <v>240</v>
      </c>
      <c r="D883" s="160">
        <v>2000</v>
      </c>
    </row>
    <row r="884" spans="1:6" x14ac:dyDescent="0.25">
      <c r="A884" s="132" t="s">
        <v>1628</v>
      </c>
      <c r="B884" s="132" t="s">
        <v>1629</v>
      </c>
      <c r="C884" s="159">
        <v>260</v>
      </c>
      <c r="D884" s="159">
        <v>2000</v>
      </c>
    </row>
    <row r="885" spans="1:6" x14ac:dyDescent="0.25">
      <c r="C885" s="205"/>
      <c r="D885" s="205"/>
    </row>
    <row r="886" spans="1:6" ht="17.25" customHeight="1" x14ac:dyDescent="0.25">
      <c r="A886" s="490" t="s">
        <v>1630</v>
      </c>
      <c r="B886" s="483"/>
      <c r="C886" s="294"/>
      <c r="D886" s="187"/>
    </row>
    <row r="887" spans="1:6" x14ac:dyDescent="0.25">
      <c r="A887" s="209" t="s">
        <v>7</v>
      </c>
      <c r="B887" s="241" t="s">
        <v>1631</v>
      </c>
      <c r="C887" s="274" t="s">
        <v>1632</v>
      </c>
      <c r="D887" s="274" t="s">
        <v>1633</v>
      </c>
    </row>
    <row r="888" spans="1:6" x14ac:dyDescent="0.25">
      <c r="A888" s="201" t="s">
        <v>1634</v>
      </c>
      <c r="B888" s="201" t="s">
        <v>1635</v>
      </c>
      <c r="C888" s="202" t="s">
        <v>85</v>
      </c>
      <c r="D888" s="202">
        <v>1350</v>
      </c>
    </row>
    <row r="890" spans="1:6" ht="17.25" customHeight="1" x14ac:dyDescent="0.25">
      <c r="A890" s="528" t="s">
        <v>1636</v>
      </c>
      <c r="B890" s="488"/>
      <c r="C890" s="249"/>
      <c r="D890" s="249"/>
    </row>
    <row r="891" spans="1:6" x14ac:dyDescent="0.25">
      <c r="C891" s="205"/>
      <c r="D891" s="205"/>
      <c r="E891" s="295"/>
      <c r="F891" s="205"/>
    </row>
    <row r="892" spans="1:6" ht="60" customHeight="1" x14ac:dyDescent="0.25">
      <c r="A892" s="244" t="s">
        <v>7</v>
      </c>
      <c r="B892" s="241" t="s">
        <v>372</v>
      </c>
      <c r="C892" s="296" t="s">
        <v>1637</v>
      </c>
      <c r="D892" s="296" t="s">
        <v>1638</v>
      </c>
      <c r="E892" s="296" t="s">
        <v>1639</v>
      </c>
      <c r="F892" s="296" t="s">
        <v>1640</v>
      </c>
    </row>
    <row r="893" spans="1:6" x14ac:dyDescent="0.25">
      <c r="A893" s="201" t="s">
        <v>1641</v>
      </c>
      <c r="B893" s="201" t="s">
        <v>1642</v>
      </c>
      <c r="C893" s="202">
        <v>195</v>
      </c>
      <c r="D893" s="202">
        <v>20</v>
      </c>
      <c r="E893" s="297">
        <v>95</v>
      </c>
      <c r="F893" s="202">
        <v>1950</v>
      </c>
    </row>
    <row r="894" spans="1:6" x14ac:dyDescent="0.25">
      <c r="A894" s="203" t="s">
        <v>1643</v>
      </c>
      <c r="B894" s="203" t="s">
        <v>1644</v>
      </c>
      <c r="C894" s="204">
        <v>220</v>
      </c>
      <c r="D894" s="204">
        <v>22</v>
      </c>
      <c r="E894" s="298">
        <v>110</v>
      </c>
      <c r="F894" s="204">
        <v>2150</v>
      </c>
    </row>
    <row r="895" spans="1:6" x14ac:dyDescent="0.25">
      <c r="A895" s="201" t="s">
        <v>1645</v>
      </c>
      <c r="B895" s="201" t="s">
        <v>1646</v>
      </c>
      <c r="C895" s="202">
        <v>245</v>
      </c>
      <c r="D895" s="202">
        <v>23</v>
      </c>
      <c r="E895" s="297">
        <v>115</v>
      </c>
      <c r="F895" s="202">
        <v>2650</v>
      </c>
    </row>
    <row r="896" spans="1:6" x14ac:dyDescent="0.25">
      <c r="A896" s="203" t="s">
        <v>1647</v>
      </c>
      <c r="B896" s="203" t="s">
        <v>1648</v>
      </c>
      <c r="C896" s="204">
        <v>260</v>
      </c>
      <c r="D896" s="204">
        <v>25</v>
      </c>
      <c r="E896" s="298">
        <v>120</v>
      </c>
      <c r="F896" s="204">
        <v>2650</v>
      </c>
    </row>
    <row r="897" spans="1:6" x14ac:dyDescent="0.25">
      <c r="A897" s="201" t="s">
        <v>1649</v>
      </c>
      <c r="B897" s="201" t="s">
        <v>1650</v>
      </c>
      <c r="C897" s="202">
        <v>310</v>
      </c>
      <c r="D897" s="202">
        <v>28</v>
      </c>
      <c r="E897" s="297">
        <v>145</v>
      </c>
      <c r="F897" s="202">
        <v>2850</v>
      </c>
    </row>
    <row r="898" spans="1:6" x14ac:dyDescent="0.25">
      <c r="C898" s="205"/>
      <c r="D898" s="205"/>
      <c r="E898" s="295"/>
      <c r="F898" s="205"/>
    </row>
    <row r="899" spans="1:6" ht="17.25" customHeight="1" x14ac:dyDescent="0.25">
      <c r="A899" s="529" t="s">
        <v>1651</v>
      </c>
      <c r="B899" s="483"/>
      <c r="C899" s="294"/>
      <c r="D899" s="294"/>
      <c r="E899" s="299"/>
      <c r="F899" s="300"/>
    </row>
    <row r="900" spans="1:6" x14ac:dyDescent="0.25">
      <c r="A900" s="209" t="s">
        <v>7</v>
      </c>
      <c r="B900" s="241" t="s">
        <v>1652</v>
      </c>
      <c r="C900" s="274" t="s">
        <v>1632</v>
      </c>
      <c r="D900" s="274" t="s">
        <v>1653</v>
      </c>
      <c r="E900" s="296" t="s">
        <v>1654</v>
      </c>
      <c r="F900" s="205"/>
    </row>
    <row r="901" spans="1:6" x14ac:dyDescent="0.25">
      <c r="A901" s="201" t="s">
        <v>1655</v>
      </c>
      <c r="B901" s="201" t="s">
        <v>1656</v>
      </c>
      <c r="C901" s="202" t="s">
        <v>85</v>
      </c>
      <c r="D901" s="202">
        <v>55</v>
      </c>
      <c r="E901" s="297">
        <v>22</v>
      </c>
      <c r="F901" s="205"/>
    </row>
    <row r="902" spans="1:6" x14ac:dyDescent="0.25">
      <c r="A902" s="203" t="s">
        <v>1657</v>
      </c>
      <c r="B902" s="203" t="s">
        <v>1658</v>
      </c>
      <c r="C902" s="204" t="s">
        <v>85</v>
      </c>
      <c r="D902" s="204">
        <v>65</v>
      </c>
      <c r="E902" s="298">
        <v>27</v>
      </c>
      <c r="F902" s="205"/>
    </row>
    <row r="903" spans="1:6" x14ac:dyDescent="0.25">
      <c r="A903" s="201" t="s">
        <v>1659</v>
      </c>
      <c r="B903" s="201" t="s">
        <v>1660</v>
      </c>
      <c r="C903" s="202" t="s">
        <v>85</v>
      </c>
      <c r="D903" s="202">
        <v>69</v>
      </c>
      <c r="E903" s="297">
        <v>29</v>
      </c>
      <c r="F903" s="205"/>
    </row>
    <row r="904" spans="1:6" x14ac:dyDescent="0.25">
      <c r="A904" s="203" t="s">
        <v>1661</v>
      </c>
      <c r="B904" s="203" t="s">
        <v>1662</v>
      </c>
      <c r="C904" s="204" t="s">
        <v>85</v>
      </c>
      <c r="D904" s="204">
        <v>75</v>
      </c>
      <c r="E904" s="298">
        <v>30</v>
      </c>
      <c r="F904" s="205"/>
    </row>
    <row r="905" spans="1:6" x14ac:dyDescent="0.25">
      <c r="A905" s="201" t="s">
        <v>1663</v>
      </c>
      <c r="B905" s="201" t="s">
        <v>1664</v>
      </c>
      <c r="C905" s="202" t="s">
        <v>85</v>
      </c>
      <c r="D905" s="202">
        <v>79</v>
      </c>
      <c r="E905" s="297">
        <v>33</v>
      </c>
      <c r="F905" s="205"/>
    </row>
    <row r="906" spans="1:6" x14ac:dyDescent="0.25">
      <c r="A906" s="203" t="s">
        <v>1665</v>
      </c>
      <c r="B906" s="203" t="s">
        <v>1666</v>
      </c>
      <c r="C906" s="204" t="s">
        <v>85</v>
      </c>
      <c r="D906" s="204">
        <v>85</v>
      </c>
      <c r="E906" s="298">
        <v>35</v>
      </c>
      <c r="F906" s="205"/>
    </row>
    <row r="907" spans="1:6" x14ac:dyDescent="0.25">
      <c r="A907" s="201" t="s">
        <v>1667</v>
      </c>
      <c r="B907" s="201" t="s">
        <v>1668</v>
      </c>
      <c r="C907" s="202" t="s">
        <v>85</v>
      </c>
      <c r="D907" s="202">
        <v>90</v>
      </c>
      <c r="E907" s="297">
        <v>45</v>
      </c>
      <c r="F907" s="205"/>
    </row>
    <row r="908" spans="1:6" x14ac:dyDescent="0.25">
      <c r="A908" s="203" t="s">
        <v>1669</v>
      </c>
      <c r="B908" s="203" t="s">
        <v>1670</v>
      </c>
      <c r="C908" s="204" t="s">
        <v>85</v>
      </c>
      <c r="D908" s="204">
        <v>150</v>
      </c>
      <c r="E908" s="298">
        <v>60</v>
      </c>
      <c r="F908" s="205"/>
    </row>
    <row r="909" spans="1:6" x14ac:dyDescent="0.25">
      <c r="C909" s="205"/>
      <c r="D909" s="205"/>
      <c r="E909" s="295"/>
      <c r="F909" s="205"/>
    </row>
    <row r="910" spans="1:6" ht="17.25" customHeight="1" x14ac:dyDescent="0.25">
      <c r="A910" s="529" t="s">
        <v>1671</v>
      </c>
      <c r="B910" s="483"/>
      <c r="C910" s="294"/>
      <c r="D910" s="294"/>
      <c r="E910" s="299"/>
      <c r="F910" s="187"/>
    </row>
    <row r="911" spans="1:6" ht="30" customHeight="1" x14ac:dyDescent="0.25">
      <c r="A911" s="209" t="s">
        <v>7</v>
      </c>
      <c r="B911" s="241" t="s">
        <v>382</v>
      </c>
      <c r="C911" s="274" t="s">
        <v>1632</v>
      </c>
      <c r="D911" s="274" t="s">
        <v>1672</v>
      </c>
      <c r="E911" s="296" t="s">
        <v>1673</v>
      </c>
      <c r="F911" s="274" t="s">
        <v>1674</v>
      </c>
    </row>
    <row r="912" spans="1:6" x14ac:dyDescent="0.25">
      <c r="A912" s="201" t="s">
        <v>1675</v>
      </c>
      <c r="B912" s="201" t="s">
        <v>1676</v>
      </c>
      <c r="C912" s="202" t="s">
        <v>85</v>
      </c>
      <c r="D912" s="202">
        <v>1092</v>
      </c>
      <c r="E912" s="297">
        <v>98</v>
      </c>
      <c r="F912" s="202">
        <v>45</v>
      </c>
    </row>
    <row r="913" spans="1:6" x14ac:dyDescent="0.25">
      <c r="A913" s="203" t="s">
        <v>1677</v>
      </c>
      <c r="B913" s="203" t="s">
        <v>1678</v>
      </c>
      <c r="C913" s="204" t="s">
        <v>85</v>
      </c>
      <c r="D913" s="204">
        <v>1092</v>
      </c>
      <c r="E913" s="298">
        <v>106</v>
      </c>
      <c r="F913" s="204">
        <v>45</v>
      </c>
    </row>
    <row r="914" spans="1:6" x14ac:dyDescent="0.25">
      <c r="A914" s="201" t="s">
        <v>1679</v>
      </c>
      <c r="B914" s="201" t="s">
        <v>1680</v>
      </c>
      <c r="C914" s="202" t="s">
        <v>85</v>
      </c>
      <c r="D914" s="202">
        <v>1495</v>
      </c>
      <c r="E914" s="297">
        <v>119</v>
      </c>
      <c r="F914" s="202">
        <v>65</v>
      </c>
    </row>
    <row r="915" spans="1:6" x14ac:dyDescent="0.25">
      <c r="A915" s="203" t="s">
        <v>1681</v>
      </c>
      <c r="B915" s="203" t="s">
        <v>1682</v>
      </c>
      <c r="C915" s="204" t="s">
        <v>85</v>
      </c>
      <c r="D915" s="204">
        <v>1558</v>
      </c>
      <c r="E915" s="298">
        <v>125</v>
      </c>
      <c r="F915" s="204">
        <v>65</v>
      </c>
    </row>
    <row r="916" spans="1:6" x14ac:dyDescent="0.25">
      <c r="A916" s="201" t="s">
        <v>1683</v>
      </c>
      <c r="B916" s="201" t="s">
        <v>1684</v>
      </c>
      <c r="C916" s="202" t="s">
        <v>85</v>
      </c>
      <c r="D916" s="202">
        <v>1707</v>
      </c>
      <c r="E916" s="297">
        <v>135</v>
      </c>
      <c r="F916" s="202">
        <v>75</v>
      </c>
    </row>
    <row r="917" spans="1:6" x14ac:dyDescent="0.25">
      <c r="A917" s="203" t="s">
        <v>1685</v>
      </c>
      <c r="B917" s="203" t="s">
        <v>1686</v>
      </c>
      <c r="C917" s="204" t="s">
        <v>85</v>
      </c>
      <c r="D917" s="204">
        <v>2185</v>
      </c>
      <c r="E917" s="298">
        <v>169</v>
      </c>
      <c r="F917" s="204">
        <v>85</v>
      </c>
    </row>
    <row r="918" spans="1:6" x14ac:dyDescent="0.25">
      <c r="A918" s="201" t="s">
        <v>1687</v>
      </c>
      <c r="B918" s="201" t="s">
        <v>1688</v>
      </c>
      <c r="C918" s="202" t="s">
        <v>85</v>
      </c>
      <c r="D918" s="202">
        <v>3737</v>
      </c>
      <c r="E918" s="297">
        <v>262</v>
      </c>
      <c r="F918" s="202">
        <v>105</v>
      </c>
    </row>
    <row r="920" spans="1:6" ht="17.25" customHeight="1" x14ac:dyDescent="0.25">
      <c r="A920" s="487" t="s">
        <v>1689</v>
      </c>
      <c r="B920" s="488"/>
      <c r="C920" s="124"/>
      <c r="D920" s="125"/>
    </row>
    <row r="921" spans="1:6" x14ac:dyDescent="0.25">
      <c r="A921" s="209" t="s">
        <v>7</v>
      </c>
      <c r="B921" s="142" t="s">
        <v>1690</v>
      </c>
      <c r="C921" s="209" t="s">
        <v>1632</v>
      </c>
      <c r="D921" s="143" t="s">
        <v>1691</v>
      </c>
    </row>
    <row r="922" spans="1:6" x14ac:dyDescent="0.25">
      <c r="A922" s="128" t="s">
        <v>1692</v>
      </c>
      <c r="B922" s="128" t="s">
        <v>1693</v>
      </c>
      <c r="C922" s="128" t="s">
        <v>1694</v>
      </c>
      <c r="D922" s="129">
        <v>400</v>
      </c>
    </row>
    <row r="923" spans="1:6" x14ac:dyDescent="0.25">
      <c r="A923" s="130" t="s">
        <v>1695</v>
      </c>
      <c r="B923" s="130" t="s">
        <v>1696</v>
      </c>
      <c r="C923" s="130" t="s">
        <v>1694</v>
      </c>
      <c r="D923" s="131">
        <v>350</v>
      </c>
    </row>
    <row r="924" spans="1:6" x14ac:dyDescent="0.25">
      <c r="A924" s="128" t="s">
        <v>1697</v>
      </c>
      <c r="B924" s="128" t="s">
        <v>1698</v>
      </c>
      <c r="C924" s="128" t="s">
        <v>1694</v>
      </c>
      <c r="D924" s="129">
        <v>300</v>
      </c>
    </row>
    <row r="925" spans="1:6" x14ac:dyDescent="0.25">
      <c r="A925" s="130" t="s">
        <v>1699</v>
      </c>
      <c r="B925" s="130" t="s">
        <v>1700</v>
      </c>
      <c r="C925" s="130" t="s">
        <v>1701</v>
      </c>
      <c r="D925" s="131">
        <v>2500</v>
      </c>
    </row>
    <row r="926" spans="1:6" x14ac:dyDescent="0.25">
      <c r="A926" s="128" t="s">
        <v>1702</v>
      </c>
      <c r="B926" s="128" t="s">
        <v>1703</v>
      </c>
      <c r="C926" s="128" t="s">
        <v>395</v>
      </c>
      <c r="D926" s="129">
        <v>200</v>
      </c>
    </row>
    <row r="927" spans="1:6" x14ac:dyDescent="0.25">
      <c r="A927" s="130" t="s">
        <v>1704</v>
      </c>
      <c r="B927" s="130" t="s">
        <v>1705</v>
      </c>
      <c r="C927" s="130" t="s">
        <v>395</v>
      </c>
      <c r="D927" s="131">
        <v>175</v>
      </c>
    </row>
    <row r="928" spans="1:6" x14ac:dyDescent="0.25">
      <c r="A928" s="128" t="s">
        <v>1706</v>
      </c>
      <c r="B928" s="128" t="s">
        <v>1707</v>
      </c>
      <c r="C928" s="128" t="s">
        <v>395</v>
      </c>
      <c r="D928" s="129">
        <v>150</v>
      </c>
    </row>
    <row r="929" spans="1:4" x14ac:dyDescent="0.25">
      <c r="A929" s="130" t="s">
        <v>1708</v>
      </c>
      <c r="B929" s="130" t="s">
        <v>1709</v>
      </c>
      <c r="C929" s="130" t="s">
        <v>1710</v>
      </c>
      <c r="D929" s="131">
        <v>6000</v>
      </c>
    </row>
    <row r="930" spans="1:4" x14ac:dyDescent="0.25">
      <c r="A930" s="128" t="s">
        <v>1711</v>
      </c>
      <c r="B930" s="128" t="s">
        <v>1712</v>
      </c>
      <c r="C930" s="128" t="s">
        <v>1710</v>
      </c>
      <c r="D930" s="129">
        <v>25000</v>
      </c>
    </row>
    <row r="931" spans="1:4" x14ac:dyDescent="0.25">
      <c r="D931" s="301"/>
    </row>
    <row r="932" spans="1:4" x14ac:dyDescent="0.25">
      <c r="D932" s="301"/>
    </row>
    <row r="933" spans="1:4" ht="17.25" customHeight="1" x14ac:dyDescent="0.25">
      <c r="A933" s="487" t="s">
        <v>1713</v>
      </c>
      <c r="B933" s="488"/>
      <c r="C933" s="206"/>
      <c r="D933" s="207"/>
    </row>
    <row r="934" spans="1:4" x14ac:dyDescent="0.25">
      <c r="A934" s="209" t="s">
        <v>7</v>
      </c>
      <c r="B934" s="142" t="s">
        <v>1690</v>
      </c>
      <c r="C934" s="209" t="s">
        <v>1632</v>
      </c>
      <c r="D934" s="143" t="s">
        <v>1691</v>
      </c>
    </row>
    <row r="935" spans="1:4" x14ac:dyDescent="0.25">
      <c r="A935" s="201" t="s">
        <v>1714</v>
      </c>
      <c r="B935" s="201" t="s">
        <v>1715</v>
      </c>
      <c r="C935" s="201" t="s">
        <v>1710</v>
      </c>
      <c r="D935" s="202">
        <v>2500</v>
      </c>
    </row>
    <row r="936" spans="1:4" x14ac:dyDescent="0.25">
      <c r="A936" s="203" t="s">
        <v>1716</v>
      </c>
      <c r="B936" s="203" t="s">
        <v>1717</v>
      </c>
      <c r="C936" s="203" t="s">
        <v>1710</v>
      </c>
      <c r="D936" s="204">
        <v>2250</v>
      </c>
    </row>
    <row r="937" spans="1:4" x14ac:dyDescent="0.25">
      <c r="A937" s="201" t="s">
        <v>1718</v>
      </c>
      <c r="B937" s="201" t="s">
        <v>1719</v>
      </c>
      <c r="C937" s="201" t="s">
        <v>1710</v>
      </c>
      <c r="D937" s="202">
        <v>2225</v>
      </c>
    </row>
    <row r="938" spans="1:4" x14ac:dyDescent="0.25">
      <c r="A938" s="203" t="s">
        <v>1720</v>
      </c>
      <c r="B938" s="203" t="s">
        <v>1721</v>
      </c>
      <c r="C938" s="203" t="s">
        <v>1710</v>
      </c>
      <c r="D938" s="204">
        <v>2250</v>
      </c>
    </row>
    <row r="939" spans="1:4" x14ac:dyDescent="0.25">
      <c r="A939" s="201" t="s">
        <v>1722</v>
      </c>
      <c r="B939" s="201" t="s">
        <v>1723</v>
      </c>
      <c r="C939" s="201" t="s">
        <v>1710</v>
      </c>
      <c r="D939" s="202">
        <v>2150</v>
      </c>
    </row>
    <row r="940" spans="1:4" x14ac:dyDescent="0.25">
      <c r="A940" s="203" t="s">
        <v>1724</v>
      </c>
      <c r="B940" s="203" t="s">
        <v>1725</v>
      </c>
      <c r="C940" s="203" t="s">
        <v>1710</v>
      </c>
      <c r="D940" s="204">
        <v>2000</v>
      </c>
    </row>
    <row r="941" spans="1:4" x14ac:dyDescent="0.25">
      <c r="A941" s="201" t="s">
        <v>1726</v>
      </c>
      <c r="B941" s="201" t="s">
        <v>1727</v>
      </c>
      <c r="C941" s="201" t="s">
        <v>1728</v>
      </c>
      <c r="D941" s="202">
        <v>200</v>
      </c>
    </row>
    <row r="942" spans="1:4" x14ac:dyDescent="0.25">
      <c r="A942" s="203" t="s">
        <v>1729</v>
      </c>
      <c r="B942" s="203" t="s">
        <v>1730</v>
      </c>
      <c r="C942" s="203" t="s">
        <v>1710</v>
      </c>
      <c r="D942" s="204">
        <v>2500</v>
      </c>
    </row>
    <row r="943" spans="1:4" x14ac:dyDescent="0.25">
      <c r="A943" s="201" t="s">
        <v>1731</v>
      </c>
      <c r="B943" s="201" t="s">
        <v>1732</v>
      </c>
      <c r="C943" s="201" t="s">
        <v>1710</v>
      </c>
      <c r="D943" s="202">
        <v>2250</v>
      </c>
    </row>
    <row r="944" spans="1:4" x14ac:dyDescent="0.25">
      <c r="A944" s="203" t="s">
        <v>1733</v>
      </c>
      <c r="B944" s="203" t="s">
        <v>1734</v>
      </c>
      <c r="C944" s="203" t="s">
        <v>1710</v>
      </c>
      <c r="D944" s="204">
        <v>2225</v>
      </c>
    </row>
    <row r="945" spans="1:5" x14ac:dyDescent="0.25">
      <c r="D945" s="301"/>
    </row>
    <row r="946" spans="1:5" x14ac:dyDescent="0.25">
      <c r="D946" s="301"/>
    </row>
    <row r="947" spans="1:5" ht="17.25" customHeight="1" x14ac:dyDescent="0.25">
      <c r="A947" s="520" t="s">
        <v>1735</v>
      </c>
      <c r="B947" s="486"/>
      <c r="C947" s="206"/>
      <c r="D947" s="207"/>
    </row>
    <row r="948" spans="1:5" x14ac:dyDescent="0.25">
      <c r="A948" s="209" t="s">
        <v>7</v>
      </c>
      <c r="B948" s="142" t="s">
        <v>1690</v>
      </c>
      <c r="C948" s="209" t="s">
        <v>1632</v>
      </c>
      <c r="D948" s="143" t="s">
        <v>1691</v>
      </c>
    </row>
    <row r="949" spans="1:5" x14ac:dyDescent="0.25">
      <c r="A949" s="201" t="s">
        <v>1736</v>
      </c>
      <c r="B949" s="201" t="s">
        <v>1737</v>
      </c>
      <c r="C949" s="201" t="s">
        <v>1738</v>
      </c>
      <c r="D949" s="202">
        <v>300</v>
      </c>
    </row>
    <row r="950" spans="1:5" x14ac:dyDescent="0.25">
      <c r="A950" s="203" t="s">
        <v>1739</v>
      </c>
      <c r="B950" s="203" t="s">
        <v>1740</v>
      </c>
      <c r="C950" s="203" t="s">
        <v>1738</v>
      </c>
      <c r="D950" s="204">
        <v>300</v>
      </c>
    </row>
    <row r="951" spans="1:5" x14ac:dyDescent="0.25">
      <c r="A951" s="201" t="s">
        <v>1741</v>
      </c>
      <c r="B951" s="201" t="s">
        <v>1742</v>
      </c>
      <c r="C951" s="201" t="s">
        <v>1710</v>
      </c>
      <c r="D951" s="202">
        <v>70</v>
      </c>
    </row>
    <row r="952" spans="1:5" x14ac:dyDescent="0.25">
      <c r="A952" s="203" t="s">
        <v>1743</v>
      </c>
      <c r="B952" s="203" t="s">
        <v>1744</v>
      </c>
      <c r="C952" s="203" t="s">
        <v>1710</v>
      </c>
      <c r="D952" s="204">
        <v>3000</v>
      </c>
    </row>
    <row r="954" spans="1:5" ht="17.25" customHeight="1" x14ac:dyDescent="0.25">
      <c r="A954" s="487" t="s">
        <v>1745</v>
      </c>
      <c r="B954" s="488"/>
      <c r="C954" s="207"/>
      <c r="D954" s="207"/>
      <c r="E954" s="205"/>
    </row>
    <row r="955" spans="1:5" x14ac:dyDescent="0.25">
      <c r="A955" s="209" t="s">
        <v>7</v>
      </c>
      <c r="B955" s="241" t="s">
        <v>1690</v>
      </c>
      <c r="C955" s="274" t="s">
        <v>1632</v>
      </c>
      <c r="D955" s="274" t="s">
        <v>1691</v>
      </c>
      <c r="E955" s="205"/>
    </row>
    <row r="956" spans="1:5" x14ac:dyDescent="0.25">
      <c r="A956" s="201" t="s">
        <v>1746</v>
      </c>
      <c r="B956" s="201" t="s">
        <v>1747</v>
      </c>
      <c r="C956" s="202" t="s">
        <v>1738</v>
      </c>
      <c r="D956" s="202">
        <v>1010</v>
      </c>
      <c r="E956" s="205"/>
    </row>
    <row r="957" spans="1:5" x14ac:dyDescent="0.25">
      <c r="A957" s="203" t="s">
        <v>1748</v>
      </c>
      <c r="B957" s="203" t="s">
        <v>1749</v>
      </c>
      <c r="C957" s="204" t="s">
        <v>1738</v>
      </c>
      <c r="D957" s="204">
        <v>1150</v>
      </c>
      <c r="E957" s="205"/>
    </row>
    <row r="958" spans="1:5" x14ac:dyDescent="0.25">
      <c r="A958" s="201" t="s">
        <v>1750</v>
      </c>
      <c r="B958" s="201" t="s">
        <v>1751</v>
      </c>
      <c r="C958" s="202" t="s">
        <v>1738</v>
      </c>
      <c r="D958" s="202">
        <v>1150</v>
      </c>
      <c r="E958" s="205"/>
    </row>
    <row r="959" spans="1:5" x14ac:dyDescent="0.25">
      <c r="A959" s="203" t="s">
        <v>1752</v>
      </c>
      <c r="B959" s="203" t="s">
        <v>1753</v>
      </c>
      <c r="C959" s="204" t="s">
        <v>1738</v>
      </c>
      <c r="D959" s="204">
        <v>550</v>
      </c>
      <c r="E959" s="205"/>
    </row>
    <row r="960" spans="1:5" x14ac:dyDescent="0.25">
      <c r="A960" s="201" t="s">
        <v>1754</v>
      </c>
      <c r="B960" s="201" t="s">
        <v>1755</v>
      </c>
      <c r="C960" s="202" t="s">
        <v>1738</v>
      </c>
      <c r="D960" s="202">
        <v>1500</v>
      </c>
      <c r="E960" s="205"/>
    </row>
    <row r="961" spans="1:5" x14ac:dyDescent="0.25">
      <c r="A961" s="203" t="s">
        <v>1756</v>
      </c>
      <c r="B961" s="203" t="s">
        <v>1757</v>
      </c>
      <c r="C961" s="204" t="s">
        <v>1738</v>
      </c>
      <c r="D961" s="204">
        <v>790</v>
      </c>
      <c r="E961" s="205"/>
    </row>
    <row r="962" spans="1:5" x14ac:dyDescent="0.25">
      <c r="A962" s="201" t="s">
        <v>1758</v>
      </c>
      <c r="B962" s="201" t="s">
        <v>1759</v>
      </c>
      <c r="C962" s="202" t="s">
        <v>1738</v>
      </c>
      <c r="D962" s="202">
        <v>790</v>
      </c>
      <c r="E962" s="205"/>
    </row>
    <row r="963" spans="1:5" x14ac:dyDescent="0.25">
      <c r="A963" s="203" t="s">
        <v>1760</v>
      </c>
      <c r="B963" s="203" t="s">
        <v>1761</v>
      </c>
      <c r="C963" s="204" t="s">
        <v>1738</v>
      </c>
      <c r="D963" s="204">
        <v>790</v>
      </c>
      <c r="E963" s="205"/>
    </row>
    <row r="964" spans="1:5" x14ac:dyDescent="0.25">
      <c r="A964" s="201" t="s">
        <v>1762</v>
      </c>
      <c r="B964" s="201" t="s">
        <v>1763</v>
      </c>
      <c r="C964" s="202" t="s">
        <v>1738</v>
      </c>
      <c r="D964" s="202">
        <v>430</v>
      </c>
      <c r="E964" s="205"/>
    </row>
    <row r="965" spans="1:5" x14ac:dyDescent="0.25">
      <c r="A965" s="203" t="s">
        <v>1764</v>
      </c>
      <c r="B965" s="203" t="s">
        <v>1765</v>
      </c>
      <c r="C965" s="204" t="s">
        <v>1738</v>
      </c>
      <c r="D965" s="204">
        <v>900</v>
      </c>
      <c r="E965" s="205"/>
    </row>
    <row r="966" spans="1:5" x14ac:dyDescent="0.25">
      <c r="A966" s="201" t="s">
        <v>1766</v>
      </c>
      <c r="B966" s="201" t="s">
        <v>1767</v>
      </c>
      <c r="C966" s="202" t="s">
        <v>1768</v>
      </c>
      <c r="D966" s="202">
        <v>1100</v>
      </c>
      <c r="E966" s="205"/>
    </row>
    <row r="967" spans="1:5" x14ac:dyDescent="0.25">
      <c r="A967" s="203" t="s">
        <v>1769</v>
      </c>
      <c r="B967" s="203" t="s">
        <v>1770</v>
      </c>
      <c r="C967" s="204" t="s">
        <v>1738</v>
      </c>
      <c r="D967" s="204">
        <v>1400</v>
      </c>
      <c r="E967" s="205"/>
    </row>
    <row r="968" spans="1:5" x14ac:dyDescent="0.25">
      <c r="C968" s="205"/>
      <c r="D968" s="205"/>
      <c r="E968" s="205"/>
    </row>
    <row r="969" spans="1:5" x14ac:dyDescent="0.25">
      <c r="A969" s="302"/>
      <c r="B969" s="303" t="s">
        <v>1771</v>
      </c>
      <c r="C969" s="304"/>
      <c r="D969" s="304"/>
      <c r="E969" s="304"/>
    </row>
    <row r="970" spans="1:5" x14ac:dyDescent="0.25">
      <c r="A970" s="302"/>
      <c r="B970" s="305"/>
      <c r="C970" s="304"/>
      <c r="D970" s="304"/>
      <c r="E970" s="304"/>
    </row>
    <row r="971" spans="1:5" ht="17.25" customHeight="1" x14ac:dyDescent="0.25">
      <c r="A971" s="487" t="s">
        <v>1772</v>
      </c>
      <c r="B971" s="488"/>
      <c r="C971" s="487" t="s">
        <v>1773</v>
      </c>
      <c r="D971" s="483"/>
      <c r="E971" s="488"/>
    </row>
    <row r="972" spans="1:5" x14ac:dyDescent="0.25">
      <c r="A972" s="209" t="s">
        <v>7</v>
      </c>
      <c r="B972" s="142" t="s">
        <v>1690</v>
      </c>
      <c r="C972" s="143" t="s">
        <v>1774</v>
      </c>
      <c r="D972" s="143" t="s">
        <v>1775</v>
      </c>
      <c r="E972" s="143" t="s">
        <v>1776</v>
      </c>
    </row>
    <row r="973" spans="1:5" x14ac:dyDescent="0.25">
      <c r="A973" s="201" t="s">
        <v>1777</v>
      </c>
      <c r="B973" s="201" t="s">
        <v>1778</v>
      </c>
      <c r="C973" s="202">
        <v>5920</v>
      </c>
      <c r="D973" s="202">
        <v>4920</v>
      </c>
      <c r="E973" s="202">
        <v>3990</v>
      </c>
    </row>
    <row r="974" spans="1:5" x14ac:dyDescent="0.25">
      <c r="A974" s="203" t="s">
        <v>1779</v>
      </c>
      <c r="B974" s="203" t="s">
        <v>1780</v>
      </c>
      <c r="C974" s="204">
        <v>20000</v>
      </c>
      <c r="D974" s="204">
        <v>19000</v>
      </c>
      <c r="E974" s="204">
        <v>18000</v>
      </c>
    </row>
    <row r="975" spans="1:5" x14ac:dyDescent="0.25">
      <c r="A975" s="201" t="s">
        <v>1781</v>
      </c>
      <c r="B975" s="201" t="s">
        <v>1782</v>
      </c>
      <c r="C975" s="202">
        <v>25225</v>
      </c>
      <c r="D975" s="202">
        <v>21225</v>
      </c>
      <c r="E975" s="202">
        <v>16225</v>
      </c>
    </row>
    <row r="976" spans="1:5" x14ac:dyDescent="0.25">
      <c r="A976" s="203" t="s">
        <v>1783</v>
      </c>
      <c r="B976" s="203" t="s">
        <v>1784</v>
      </c>
      <c r="C976" s="204">
        <v>5000</v>
      </c>
      <c r="D976" s="204">
        <v>4000</v>
      </c>
      <c r="E976" s="204">
        <v>3000</v>
      </c>
    </row>
    <row r="977" spans="1:5" x14ac:dyDescent="0.25">
      <c r="A977" s="201" t="s">
        <v>1785</v>
      </c>
      <c r="B977" s="201" t="s">
        <v>1786</v>
      </c>
      <c r="C977" s="202">
        <v>1200</v>
      </c>
      <c r="D977" s="202">
        <v>1000</v>
      </c>
      <c r="E977" s="202">
        <v>800</v>
      </c>
    </row>
    <row r="978" spans="1:5" x14ac:dyDescent="0.25">
      <c r="A978" s="203" t="s">
        <v>1787</v>
      </c>
      <c r="B978" s="203" t="s">
        <v>1788</v>
      </c>
      <c r="C978" s="204">
        <v>800</v>
      </c>
      <c r="D978" s="204">
        <v>700</v>
      </c>
      <c r="E978" s="204">
        <v>600</v>
      </c>
    </row>
    <row r="979" spans="1:5" x14ac:dyDescent="0.25">
      <c r="A979" s="201" t="s">
        <v>1789</v>
      </c>
      <c r="B979" s="201" t="s">
        <v>1790</v>
      </c>
      <c r="C979" s="202">
        <v>740</v>
      </c>
      <c r="D979" s="202">
        <v>640</v>
      </c>
      <c r="E979" s="202">
        <v>540</v>
      </c>
    </row>
    <row r="980" spans="1:5" x14ac:dyDescent="0.25">
      <c r="A980" s="203" t="s">
        <v>1791</v>
      </c>
      <c r="B980" s="203" t="s">
        <v>1792</v>
      </c>
      <c r="C980" s="204">
        <v>900</v>
      </c>
      <c r="D980" s="204">
        <v>800</v>
      </c>
      <c r="E980" s="204">
        <v>700</v>
      </c>
    </row>
    <row r="981" spans="1:5" x14ac:dyDescent="0.25">
      <c r="C981" s="205"/>
      <c r="D981" s="205"/>
      <c r="E981" s="205"/>
    </row>
    <row r="982" spans="1:5" x14ac:dyDescent="0.25">
      <c r="C982" s="205"/>
      <c r="D982" s="205"/>
      <c r="E982" s="205"/>
    </row>
    <row r="983" spans="1:5" ht="17.25" customHeight="1" x14ac:dyDescent="0.25">
      <c r="A983" s="487" t="s">
        <v>1793</v>
      </c>
      <c r="B983" s="488"/>
      <c r="C983" s="487" t="s">
        <v>1794</v>
      </c>
      <c r="D983" s="483"/>
      <c r="E983" s="488"/>
    </row>
    <row r="984" spans="1:5" ht="17.25" customHeight="1" x14ac:dyDescent="0.25">
      <c r="A984" s="487" t="s">
        <v>1795</v>
      </c>
      <c r="B984" s="488"/>
      <c r="C984" s="207" t="s">
        <v>1796</v>
      </c>
      <c r="D984" s="207" t="s">
        <v>1797</v>
      </c>
      <c r="E984" s="207" t="s">
        <v>1798</v>
      </c>
    </row>
    <row r="985" spans="1:5" x14ac:dyDescent="0.25">
      <c r="A985" s="209" t="s">
        <v>7</v>
      </c>
      <c r="B985" s="142" t="s">
        <v>1690</v>
      </c>
      <c r="C985" s="143" t="s">
        <v>1774</v>
      </c>
      <c r="D985" s="143" t="s">
        <v>1775</v>
      </c>
      <c r="E985" s="143" t="s">
        <v>1776</v>
      </c>
    </row>
    <row r="986" spans="1:5" x14ac:dyDescent="0.25">
      <c r="A986" s="201" t="s">
        <v>1799</v>
      </c>
      <c r="B986" s="201" t="s">
        <v>1800</v>
      </c>
      <c r="C986" s="202">
        <v>53942</v>
      </c>
      <c r="D986" s="202">
        <v>43942</v>
      </c>
      <c r="E986" s="202">
        <v>33942</v>
      </c>
    </row>
    <row r="987" spans="1:5" x14ac:dyDescent="0.25">
      <c r="A987" s="203" t="s">
        <v>1801</v>
      </c>
      <c r="B987" s="203" t="s">
        <v>1802</v>
      </c>
      <c r="C987" s="204">
        <v>54987</v>
      </c>
      <c r="D987" s="204">
        <v>44987</v>
      </c>
      <c r="E987" s="204">
        <v>34987</v>
      </c>
    </row>
    <row r="988" spans="1:5" x14ac:dyDescent="0.25">
      <c r="A988" s="201" t="s">
        <v>1803</v>
      </c>
      <c r="B988" s="201" t="s">
        <v>1804</v>
      </c>
      <c r="C988" s="202">
        <v>41000</v>
      </c>
      <c r="D988" s="202">
        <v>31000</v>
      </c>
      <c r="E988" s="202">
        <v>21000</v>
      </c>
    </row>
    <row r="989" spans="1:5" x14ac:dyDescent="0.25">
      <c r="A989" s="203" t="s">
        <v>1805</v>
      </c>
      <c r="B989" s="203" t="s">
        <v>1806</v>
      </c>
      <c r="C989" s="204">
        <v>45000</v>
      </c>
      <c r="D989" s="204">
        <v>35028</v>
      </c>
      <c r="E989" s="204">
        <v>25000</v>
      </c>
    </row>
    <row r="991" spans="1:5" ht="17.25" customHeight="1" x14ac:dyDescent="0.3">
      <c r="A991" s="306" t="s">
        <v>1807</v>
      </c>
      <c r="B991" s="254"/>
      <c r="C991" s="254"/>
      <c r="D991" s="307"/>
      <c r="E991" s="302"/>
    </row>
    <row r="992" spans="1:5" x14ac:dyDescent="0.25">
      <c r="A992" s="308" t="s">
        <v>1808</v>
      </c>
      <c r="B992" s="309"/>
      <c r="C992" s="309"/>
      <c r="D992" s="310"/>
      <c r="E992" s="302"/>
    </row>
    <row r="993" spans="1:5" x14ac:dyDescent="0.25">
      <c r="A993" s="311" t="s">
        <v>1809</v>
      </c>
      <c r="B993" s="302"/>
      <c r="C993" s="302"/>
      <c r="D993" s="312"/>
      <c r="E993" s="302"/>
    </row>
    <row r="994" spans="1:5" x14ac:dyDescent="0.25">
      <c r="A994" s="313"/>
      <c r="D994" s="314"/>
    </row>
    <row r="995" spans="1:5" x14ac:dyDescent="0.25">
      <c r="A995" s="315" t="s">
        <v>1810</v>
      </c>
      <c r="B995" s="302"/>
      <c r="C995" s="302"/>
      <c r="D995" s="312"/>
    </row>
    <row r="996" spans="1:5" x14ac:dyDescent="0.25">
      <c r="A996" s="311" t="s">
        <v>1811</v>
      </c>
      <c r="B996" s="302"/>
      <c r="C996" s="302"/>
      <c r="D996" s="312"/>
    </row>
    <row r="997" spans="1:5" x14ac:dyDescent="0.25">
      <c r="A997" s="311" t="s">
        <v>1812</v>
      </c>
      <c r="B997" s="302"/>
      <c r="C997" s="302"/>
      <c r="D997" s="312"/>
    </row>
    <row r="998" spans="1:5" x14ac:dyDescent="0.25">
      <c r="A998" s="311" t="s">
        <v>1813</v>
      </c>
      <c r="B998" s="302"/>
      <c r="C998" s="302"/>
      <c r="D998" s="312"/>
    </row>
    <row r="999" spans="1:5" x14ac:dyDescent="0.25">
      <c r="A999" s="316" t="s">
        <v>1814</v>
      </c>
      <c r="B999" s="317"/>
      <c r="C999" s="317"/>
      <c r="D999" s="318"/>
      <c r="E999" s="302"/>
    </row>
    <row r="1000" spans="1:5" x14ac:dyDescent="0.25">
      <c r="D1000" s="205"/>
    </row>
    <row r="1001" spans="1:5" x14ac:dyDescent="0.25">
      <c r="D1001" s="205"/>
    </row>
    <row r="1002" spans="1:5" ht="17.25" customHeight="1" x14ac:dyDescent="0.3">
      <c r="A1002" s="530" t="s">
        <v>1815</v>
      </c>
      <c r="B1002" s="476"/>
      <c r="C1002" s="254"/>
      <c r="D1002" s="307"/>
    </row>
    <row r="1003" spans="1:5" x14ac:dyDescent="0.25">
      <c r="D1003" s="205"/>
    </row>
    <row r="1004" spans="1:5" ht="17.25" customHeight="1" x14ac:dyDescent="0.25">
      <c r="A1004" s="531" t="s">
        <v>1816</v>
      </c>
      <c r="B1004" s="486"/>
      <c r="C1004" s="124"/>
      <c r="D1004" s="125"/>
    </row>
    <row r="1005" spans="1:5" x14ac:dyDescent="0.25">
      <c r="A1005" s="209" t="s">
        <v>7</v>
      </c>
      <c r="B1005" s="241" t="s">
        <v>1690</v>
      </c>
      <c r="C1005" s="274" t="s">
        <v>1632</v>
      </c>
      <c r="D1005" s="274" t="s">
        <v>1691</v>
      </c>
    </row>
    <row r="1006" spans="1:5" x14ac:dyDescent="0.25">
      <c r="A1006" s="128" t="s">
        <v>1817</v>
      </c>
      <c r="B1006" s="128" t="s">
        <v>1818</v>
      </c>
      <c r="C1006" s="128" t="s">
        <v>1738</v>
      </c>
      <c r="D1006" s="129">
        <v>250</v>
      </c>
    </row>
    <row r="1007" spans="1:5" x14ac:dyDescent="0.25">
      <c r="A1007" s="130" t="s">
        <v>1819</v>
      </c>
      <c r="B1007" s="130" t="s">
        <v>1820</v>
      </c>
      <c r="C1007" s="130" t="s">
        <v>395</v>
      </c>
      <c r="D1007" s="131">
        <v>85</v>
      </c>
    </row>
    <row r="1008" spans="1:5" x14ac:dyDescent="0.25">
      <c r="A1008" s="130" t="s">
        <v>1821</v>
      </c>
      <c r="B1008" s="130" t="s">
        <v>1822</v>
      </c>
      <c r="C1008" s="130" t="s">
        <v>1738</v>
      </c>
      <c r="D1008" s="131">
        <v>250</v>
      </c>
    </row>
    <row r="1009" spans="1:4" x14ac:dyDescent="0.25">
      <c r="A1009" s="128" t="s">
        <v>1823</v>
      </c>
      <c r="B1009" s="128" t="s">
        <v>1824</v>
      </c>
      <c r="C1009" s="128" t="s">
        <v>395</v>
      </c>
      <c r="D1009" s="129">
        <v>85</v>
      </c>
    </row>
    <row r="1010" spans="1:4" x14ac:dyDescent="0.25">
      <c r="A1010" s="128" t="s">
        <v>1825</v>
      </c>
      <c r="B1010" s="128" t="s">
        <v>1826</v>
      </c>
      <c r="C1010" s="128" t="s">
        <v>1738</v>
      </c>
      <c r="D1010" s="129">
        <v>250</v>
      </c>
    </row>
    <row r="1011" spans="1:4" x14ac:dyDescent="0.25">
      <c r="A1011" s="130" t="s">
        <v>1827</v>
      </c>
      <c r="B1011" s="130" t="s">
        <v>1828</v>
      </c>
      <c r="C1011" s="130" t="s">
        <v>395</v>
      </c>
      <c r="D1011" s="131">
        <v>85</v>
      </c>
    </row>
    <row r="1012" spans="1:4" x14ac:dyDescent="0.25">
      <c r="D1012" s="205"/>
    </row>
    <row r="1013" spans="1:4" ht="17.25" customHeight="1" x14ac:dyDescent="0.25">
      <c r="A1013" s="520" t="s">
        <v>1829</v>
      </c>
      <c r="B1013" s="486"/>
      <c r="C1013" s="206"/>
      <c r="D1013" s="207"/>
    </row>
    <row r="1014" spans="1:4" x14ac:dyDescent="0.25">
      <c r="A1014" s="209" t="s">
        <v>7</v>
      </c>
      <c r="B1014" s="241" t="s">
        <v>1690</v>
      </c>
      <c r="C1014" s="274" t="s">
        <v>1632</v>
      </c>
      <c r="D1014" s="274" t="s">
        <v>1691</v>
      </c>
    </row>
    <row r="1015" spans="1:4" x14ac:dyDescent="0.25">
      <c r="A1015" s="201" t="s">
        <v>1830</v>
      </c>
      <c r="B1015" s="201" t="s">
        <v>1831</v>
      </c>
      <c r="C1015" s="201" t="s">
        <v>1738</v>
      </c>
      <c r="D1015" s="202">
        <v>200</v>
      </c>
    </row>
    <row r="1016" spans="1:4" x14ac:dyDescent="0.25">
      <c r="A1016" s="203" t="s">
        <v>1832</v>
      </c>
      <c r="B1016" s="203" t="s">
        <v>1833</v>
      </c>
      <c r="C1016" s="203" t="s">
        <v>395</v>
      </c>
      <c r="D1016" s="204">
        <v>75</v>
      </c>
    </row>
    <row r="1017" spans="1:4" x14ac:dyDescent="0.25">
      <c r="A1017" s="201" t="s">
        <v>1834</v>
      </c>
      <c r="B1017" s="201" t="s">
        <v>1835</v>
      </c>
      <c r="C1017" s="201" t="s">
        <v>1710</v>
      </c>
      <c r="D1017" s="202">
        <v>70000</v>
      </c>
    </row>
    <row r="1018" spans="1:4" x14ac:dyDescent="0.25">
      <c r="D1018" s="205"/>
    </row>
    <row r="1019" spans="1:4" ht="17.25" customHeight="1" x14ac:dyDescent="0.25">
      <c r="A1019" s="520" t="s">
        <v>1836</v>
      </c>
      <c r="B1019" s="486"/>
      <c r="C1019" s="206"/>
      <c r="D1019" s="207"/>
    </row>
    <row r="1020" spans="1:4" x14ac:dyDescent="0.25">
      <c r="A1020" s="209" t="s">
        <v>7</v>
      </c>
      <c r="B1020" s="241" t="s">
        <v>1690</v>
      </c>
      <c r="C1020" s="274" t="s">
        <v>1632</v>
      </c>
      <c r="D1020" s="274" t="s">
        <v>1691</v>
      </c>
    </row>
    <row r="1021" spans="1:4" x14ac:dyDescent="0.25">
      <c r="A1021" s="201" t="s">
        <v>1837</v>
      </c>
      <c r="B1021" s="201" t="s">
        <v>1838</v>
      </c>
      <c r="C1021" s="201" t="s">
        <v>1738</v>
      </c>
      <c r="D1021" s="202">
        <v>550</v>
      </c>
    </row>
    <row r="1022" spans="1:4" x14ac:dyDescent="0.25">
      <c r="A1022" s="203" t="s">
        <v>1839</v>
      </c>
      <c r="B1022" s="203" t="s">
        <v>1840</v>
      </c>
      <c r="C1022" s="203" t="s">
        <v>1738</v>
      </c>
      <c r="D1022" s="204">
        <v>400</v>
      </c>
    </row>
    <row r="1023" spans="1:4" x14ac:dyDescent="0.25">
      <c r="A1023" s="201" t="s">
        <v>1841</v>
      </c>
      <c r="B1023" s="201" t="s">
        <v>1842</v>
      </c>
      <c r="C1023" s="201" t="s">
        <v>1710</v>
      </c>
      <c r="D1023" s="202">
        <v>150</v>
      </c>
    </row>
    <row r="1024" spans="1:4" x14ac:dyDescent="0.25">
      <c r="A1024" s="203" t="s">
        <v>1843</v>
      </c>
      <c r="B1024" s="203" t="s">
        <v>1844</v>
      </c>
      <c r="C1024" s="203" t="s">
        <v>1738</v>
      </c>
      <c r="D1024" s="204">
        <v>550</v>
      </c>
    </row>
    <row r="1025" spans="1:4" x14ac:dyDescent="0.25">
      <c r="A1025" s="201" t="s">
        <v>1845</v>
      </c>
      <c r="B1025" s="201" t="s">
        <v>1846</v>
      </c>
      <c r="C1025" s="201" t="s">
        <v>1847</v>
      </c>
      <c r="D1025" s="202">
        <v>120</v>
      </c>
    </row>
    <row r="1026" spans="1:4" x14ac:dyDescent="0.25">
      <c r="A1026" s="203" t="s">
        <v>1848</v>
      </c>
      <c r="B1026" s="203" t="s">
        <v>1849</v>
      </c>
      <c r="C1026" s="203" t="s">
        <v>1710</v>
      </c>
      <c r="D1026" s="204">
        <v>250</v>
      </c>
    </row>
    <row r="1027" spans="1:4" x14ac:dyDescent="0.25">
      <c r="A1027" s="201" t="s">
        <v>1850</v>
      </c>
      <c r="B1027" s="201" t="s">
        <v>1851</v>
      </c>
      <c r="C1027" s="201" t="s">
        <v>1710</v>
      </c>
      <c r="D1027" s="202">
        <v>490</v>
      </c>
    </row>
    <row r="1028" spans="1:4" x14ac:dyDescent="0.25">
      <c r="A1028" s="203" t="s">
        <v>1852</v>
      </c>
      <c r="B1028" s="203" t="s">
        <v>1853</v>
      </c>
      <c r="C1028" s="203" t="s">
        <v>1854</v>
      </c>
      <c r="D1028" s="204">
        <v>20</v>
      </c>
    </row>
    <row r="1029" spans="1:4" x14ac:dyDescent="0.25">
      <c r="A1029" s="201" t="s">
        <v>1855</v>
      </c>
      <c r="B1029" s="201" t="s">
        <v>1856</v>
      </c>
      <c r="C1029" s="201" t="s">
        <v>1857</v>
      </c>
      <c r="D1029" s="202">
        <v>15</v>
      </c>
    </row>
    <row r="1031" spans="1:4" ht="17.25" customHeight="1" x14ac:dyDescent="0.25">
      <c r="A1031" s="487" t="s">
        <v>1858</v>
      </c>
      <c r="B1031" s="488"/>
      <c r="C1031" s="206"/>
      <c r="D1031" s="207"/>
    </row>
    <row r="1032" spans="1:4" x14ac:dyDescent="0.25">
      <c r="A1032" s="209" t="s">
        <v>7</v>
      </c>
      <c r="B1032" s="241" t="s">
        <v>1690</v>
      </c>
      <c r="C1032" s="274" t="s">
        <v>1632</v>
      </c>
      <c r="D1032" s="274" t="s">
        <v>1691</v>
      </c>
    </row>
    <row r="1033" spans="1:4" x14ac:dyDescent="0.25">
      <c r="A1033" s="201" t="s">
        <v>1859</v>
      </c>
      <c r="B1033" s="201" t="s">
        <v>1860</v>
      </c>
      <c r="C1033" s="201" t="s">
        <v>1738</v>
      </c>
      <c r="D1033" s="202">
        <v>1100</v>
      </c>
    </row>
    <row r="1034" spans="1:4" x14ac:dyDescent="0.25">
      <c r="A1034" s="203" t="s">
        <v>1861</v>
      </c>
      <c r="B1034" s="203" t="s">
        <v>1862</v>
      </c>
      <c r="C1034" s="203" t="s">
        <v>1863</v>
      </c>
      <c r="D1034" s="204">
        <v>100</v>
      </c>
    </row>
    <row r="1035" spans="1:4" x14ac:dyDescent="0.25">
      <c r="A1035" s="201" t="s">
        <v>1864</v>
      </c>
      <c r="B1035" s="201" t="s">
        <v>1865</v>
      </c>
      <c r="C1035" s="201" t="s">
        <v>1710</v>
      </c>
      <c r="D1035" s="202">
        <v>150</v>
      </c>
    </row>
    <row r="1036" spans="1:4" x14ac:dyDescent="0.25">
      <c r="A1036" s="203" t="s">
        <v>1866</v>
      </c>
      <c r="B1036" s="203" t="s">
        <v>1867</v>
      </c>
      <c r="C1036" s="203" t="s">
        <v>1710</v>
      </c>
      <c r="D1036" s="204">
        <v>95</v>
      </c>
    </row>
    <row r="1037" spans="1:4" x14ac:dyDescent="0.25">
      <c r="D1037" s="205"/>
    </row>
    <row r="1038" spans="1:4" ht="17.25" customHeight="1" x14ac:dyDescent="0.25">
      <c r="A1038" s="520" t="s">
        <v>1868</v>
      </c>
      <c r="B1038" s="486"/>
      <c r="C1038" s="206"/>
      <c r="D1038" s="207"/>
    </row>
    <row r="1039" spans="1:4" x14ac:dyDescent="0.25">
      <c r="A1039" s="209" t="s">
        <v>7</v>
      </c>
      <c r="B1039" s="241" t="s">
        <v>1690</v>
      </c>
      <c r="C1039" s="274" t="s">
        <v>1632</v>
      </c>
      <c r="D1039" s="274" t="s">
        <v>1691</v>
      </c>
    </row>
    <row r="1040" spans="1:4" x14ac:dyDescent="0.25">
      <c r="A1040" s="201" t="s">
        <v>1869</v>
      </c>
      <c r="B1040" s="201" t="s">
        <v>1870</v>
      </c>
      <c r="C1040" s="201" t="s">
        <v>1871</v>
      </c>
      <c r="D1040" s="202">
        <v>8</v>
      </c>
    </row>
    <row r="1041" spans="1:4" x14ac:dyDescent="0.25">
      <c r="A1041" s="203" t="s">
        <v>1872</v>
      </c>
      <c r="B1041" s="203" t="s">
        <v>1873</v>
      </c>
      <c r="C1041" s="203" t="s">
        <v>1874</v>
      </c>
      <c r="D1041" s="204">
        <v>4.5</v>
      </c>
    </row>
    <row r="1042" spans="1:4" x14ac:dyDescent="0.25">
      <c r="A1042" s="201" t="s">
        <v>1875</v>
      </c>
      <c r="B1042" s="201" t="s">
        <v>1876</v>
      </c>
      <c r="C1042" s="201" t="s">
        <v>1738</v>
      </c>
      <c r="D1042" s="202">
        <v>500</v>
      </c>
    </row>
    <row r="1043" spans="1:4" x14ac:dyDescent="0.25">
      <c r="A1043" s="203" t="s">
        <v>1877</v>
      </c>
      <c r="B1043" s="203" t="s">
        <v>1878</v>
      </c>
      <c r="C1043" s="203" t="s">
        <v>1879</v>
      </c>
      <c r="D1043" s="204">
        <v>80</v>
      </c>
    </row>
    <row r="1044" spans="1:4" x14ac:dyDescent="0.25">
      <c r="A1044" s="201" t="s">
        <v>1880</v>
      </c>
      <c r="B1044" s="201" t="s">
        <v>1881</v>
      </c>
      <c r="C1044" s="201" t="s">
        <v>1738</v>
      </c>
      <c r="D1044" s="202">
        <v>600</v>
      </c>
    </row>
    <row r="1045" spans="1:4" x14ac:dyDescent="0.25">
      <c r="A1045" s="203" t="s">
        <v>1882</v>
      </c>
      <c r="B1045" s="203" t="s">
        <v>1883</v>
      </c>
      <c r="C1045" s="203" t="s">
        <v>1738</v>
      </c>
      <c r="D1045" s="204">
        <v>150</v>
      </c>
    </row>
    <row r="1046" spans="1:4" x14ac:dyDescent="0.25">
      <c r="A1046" s="201" t="s">
        <v>1884</v>
      </c>
      <c r="B1046" s="201" t="s">
        <v>1885</v>
      </c>
      <c r="C1046" s="201" t="s">
        <v>1710</v>
      </c>
      <c r="D1046" s="202">
        <v>2600</v>
      </c>
    </row>
    <row r="1047" spans="1:4" x14ac:dyDescent="0.25">
      <c r="D1047" s="205"/>
    </row>
    <row r="1048" spans="1:4" ht="17.25" customHeight="1" x14ac:dyDescent="0.25">
      <c r="A1048" s="487" t="s">
        <v>1886</v>
      </c>
      <c r="B1048" s="488"/>
      <c r="C1048" s="206"/>
      <c r="D1048" s="207"/>
    </row>
    <row r="1049" spans="1:4" x14ac:dyDescent="0.25">
      <c r="A1049" s="209" t="s">
        <v>7</v>
      </c>
      <c r="B1049" s="241" t="s">
        <v>1690</v>
      </c>
      <c r="C1049" s="274" t="s">
        <v>1632</v>
      </c>
      <c r="D1049" s="274" t="s">
        <v>1691</v>
      </c>
    </row>
    <row r="1050" spans="1:4" x14ac:dyDescent="0.25">
      <c r="A1050" s="201" t="s">
        <v>1887</v>
      </c>
      <c r="B1050" s="201" t="s">
        <v>1888</v>
      </c>
      <c r="C1050" s="201" t="s">
        <v>1863</v>
      </c>
      <c r="D1050" s="202">
        <v>300</v>
      </c>
    </row>
    <row r="1051" spans="1:4" x14ac:dyDescent="0.25">
      <c r="A1051" s="203" t="s">
        <v>1889</v>
      </c>
      <c r="B1051" s="203" t="s">
        <v>1890</v>
      </c>
      <c r="C1051" s="203" t="s">
        <v>1891</v>
      </c>
      <c r="D1051" s="204">
        <v>1500</v>
      </c>
    </row>
    <row r="1052" spans="1:4" x14ac:dyDescent="0.25">
      <c r="A1052" s="313"/>
      <c r="D1052" s="314"/>
    </row>
    <row r="1053" spans="1:4" x14ac:dyDescent="0.25">
      <c r="A1053" s="313"/>
      <c r="D1053" s="314"/>
    </row>
    <row r="1054" spans="1:4" x14ac:dyDescent="0.25">
      <c r="A1054" s="311" t="s">
        <v>1892</v>
      </c>
      <c r="B1054" s="302"/>
      <c r="C1054" s="302"/>
      <c r="D1054" s="312"/>
    </row>
    <row r="1055" spans="1:4" x14ac:dyDescent="0.25">
      <c r="A1055" s="311" t="s">
        <v>1893</v>
      </c>
      <c r="B1055" s="302"/>
      <c r="C1055" s="302"/>
      <c r="D1055" s="312"/>
    </row>
    <row r="1056" spans="1:4" x14ac:dyDescent="0.25">
      <c r="A1056" s="316" t="s">
        <v>1894</v>
      </c>
      <c r="B1056" s="317"/>
      <c r="C1056" s="317"/>
      <c r="D1056" s="318"/>
    </row>
    <row r="1058" spans="1:4" ht="17.25" customHeight="1" x14ac:dyDescent="0.3">
      <c r="A1058" s="254" t="s">
        <v>1895</v>
      </c>
      <c r="B1058" s="254"/>
      <c r="C1058" s="254"/>
      <c r="D1058" s="273"/>
    </row>
    <row r="1059" spans="1:4" x14ac:dyDescent="0.25">
      <c r="D1059" s="267"/>
    </row>
    <row r="1060" spans="1:4" ht="17.25" customHeight="1" x14ac:dyDescent="0.3">
      <c r="A1060" s="254" t="s">
        <v>1896</v>
      </c>
      <c r="B1060" s="254"/>
      <c r="C1060" s="254"/>
      <c r="D1060" s="273"/>
    </row>
    <row r="1061" spans="1:4" x14ac:dyDescent="0.25">
      <c r="D1061" s="267"/>
    </row>
    <row r="1062" spans="1:4" ht="17.25" customHeight="1" x14ac:dyDescent="0.3">
      <c r="A1062" s="254" t="s">
        <v>1897</v>
      </c>
      <c r="B1062" s="254"/>
      <c r="C1062" s="254"/>
      <c r="D1062" s="273"/>
    </row>
    <row r="1063" spans="1:4" x14ac:dyDescent="0.25">
      <c r="A1063" s="241" t="s">
        <v>1898</v>
      </c>
      <c r="B1063" s="142" t="s">
        <v>8</v>
      </c>
      <c r="C1063" s="241" t="s">
        <v>404</v>
      </c>
      <c r="D1063" s="274" t="s">
        <v>1691</v>
      </c>
    </row>
    <row r="1064" spans="1:4" x14ac:dyDescent="0.25">
      <c r="A1064" s="268" t="s">
        <v>1899</v>
      </c>
      <c r="B1064" s="268" t="s">
        <v>1900</v>
      </c>
      <c r="C1064" s="268" t="s">
        <v>1901</v>
      </c>
      <c r="D1064" s="269">
        <v>30</v>
      </c>
    </row>
    <row r="1065" spans="1:4" x14ac:dyDescent="0.25">
      <c r="A1065" s="270" t="s">
        <v>1902</v>
      </c>
      <c r="B1065" s="270" t="s">
        <v>1903</v>
      </c>
      <c r="C1065" s="270" t="s">
        <v>1901</v>
      </c>
      <c r="D1065" s="271">
        <v>32</v>
      </c>
    </row>
    <row r="1066" spans="1:4" x14ac:dyDescent="0.25">
      <c r="A1066" s="268" t="s">
        <v>1904</v>
      </c>
      <c r="B1066" s="268" t="s">
        <v>1905</v>
      </c>
      <c r="C1066" s="268" t="s">
        <v>1901</v>
      </c>
      <c r="D1066" s="269">
        <v>33.299999999999997</v>
      </c>
    </row>
    <row r="1067" spans="1:4" x14ac:dyDescent="0.25">
      <c r="A1067" s="270" t="s">
        <v>1906</v>
      </c>
      <c r="B1067" s="270" t="s">
        <v>1907</v>
      </c>
      <c r="C1067" s="270" t="s">
        <v>1901</v>
      </c>
      <c r="D1067" s="271">
        <v>30</v>
      </c>
    </row>
    <row r="1068" spans="1:4" x14ac:dyDescent="0.25">
      <c r="A1068" s="268" t="s">
        <v>1908</v>
      </c>
      <c r="B1068" s="268" t="s">
        <v>1909</v>
      </c>
      <c r="C1068" s="268" t="s">
        <v>1901</v>
      </c>
      <c r="D1068" s="269">
        <v>45</v>
      </c>
    </row>
    <row r="1069" spans="1:4" x14ac:dyDescent="0.25">
      <c r="D1069" s="267"/>
    </row>
    <row r="1070" spans="1:4" ht="17.25" customHeight="1" x14ac:dyDescent="0.3">
      <c r="A1070" s="254" t="s">
        <v>1910</v>
      </c>
      <c r="B1070" s="254"/>
      <c r="C1070" s="254"/>
      <c r="D1070" s="273"/>
    </row>
    <row r="1071" spans="1:4" ht="17.25" customHeight="1" x14ac:dyDescent="0.3">
      <c r="A1071" s="254" t="s">
        <v>1911</v>
      </c>
      <c r="B1071" s="254"/>
      <c r="C1071" s="254"/>
      <c r="D1071" s="273"/>
    </row>
    <row r="1072" spans="1:4" x14ac:dyDescent="0.25">
      <c r="A1072" s="209" t="s">
        <v>1898</v>
      </c>
      <c r="B1072" s="142" t="s">
        <v>8</v>
      </c>
      <c r="C1072" s="209" t="s">
        <v>404</v>
      </c>
      <c r="D1072" s="274" t="s">
        <v>1691</v>
      </c>
    </row>
    <row r="1073" spans="1:4" x14ac:dyDescent="0.25">
      <c r="A1073" s="268" t="s">
        <v>1912</v>
      </c>
      <c r="B1073" s="268" t="s">
        <v>1913</v>
      </c>
      <c r="C1073" s="268" t="s">
        <v>1901</v>
      </c>
      <c r="D1073" s="269">
        <v>45</v>
      </c>
    </row>
    <row r="1074" spans="1:4" x14ac:dyDescent="0.25">
      <c r="A1074" s="270" t="s">
        <v>1914</v>
      </c>
      <c r="B1074" s="270" t="s">
        <v>1915</v>
      </c>
      <c r="C1074" s="270" t="s">
        <v>1901</v>
      </c>
      <c r="D1074" s="271">
        <v>55</v>
      </c>
    </row>
    <row r="1075" spans="1:4" x14ac:dyDescent="0.25">
      <c r="A1075" s="268" t="s">
        <v>1916</v>
      </c>
      <c r="B1075" s="268" t="s">
        <v>1917</v>
      </c>
      <c r="C1075" s="268" t="s">
        <v>1901</v>
      </c>
      <c r="D1075" s="269">
        <v>45</v>
      </c>
    </row>
    <row r="1076" spans="1:4" x14ac:dyDescent="0.25">
      <c r="D1076" s="267"/>
    </row>
    <row r="1077" spans="1:4" ht="17.25" customHeight="1" x14ac:dyDescent="0.3">
      <c r="A1077" s="254" t="s">
        <v>1918</v>
      </c>
      <c r="B1077" s="254"/>
      <c r="C1077" s="254"/>
      <c r="D1077" s="273"/>
    </row>
    <row r="1078" spans="1:4" ht="17.25" customHeight="1" x14ac:dyDescent="0.3">
      <c r="A1078" s="254" t="s">
        <v>1919</v>
      </c>
      <c r="B1078" s="254"/>
      <c r="C1078" s="254"/>
      <c r="D1078" s="273"/>
    </row>
    <row r="1079" spans="1:4" x14ac:dyDescent="0.25">
      <c r="A1079" s="241" t="s">
        <v>1898</v>
      </c>
      <c r="B1079" s="142" t="s">
        <v>8</v>
      </c>
      <c r="C1079" s="241" t="s">
        <v>404</v>
      </c>
      <c r="D1079" s="274" t="s">
        <v>1691</v>
      </c>
    </row>
    <row r="1080" spans="1:4" x14ac:dyDescent="0.25">
      <c r="A1080" s="268" t="s">
        <v>1920</v>
      </c>
      <c r="B1080" s="268" t="s">
        <v>1921</v>
      </c>
      <c r="C1080" s="268" t="s">
        <v>1922</v>
      </c>
      <c r="D1080" s="269">
        <v>3</v>
      </c>
    </row>
    <row r="1081" spans="1:4" x14ac:dyDescent="0.25">
      <c r="A1081" s="270" t="s">
        <v>1923</v>
      </c>
      <c r="B1081" s="270" t="s">
        <v>1924</v>
      </c>
      <c r="C1081" s="270" t="s">
        <v>671</v>
      </c>
      <c r="D1081" s="271">
        <v>34</v>
      </c>
    </row>
    <row r="1082" spans="1:4" x14ac:dyDescent="0.25">
      <c r="D1082" s="267"/>
    </row>
    <row r="1083" spans="1:4" ht="17.25" customHeight="1" x14ac:dyDescent="0.3">
      <c r="A1083" s="254" t="s">
        <v>1925</v>
      </c>
      <c r="B1083" s="254"/>
      <c r="C1083" s="254"/>
      <c r="D1083" s="273"/>
    </row>
    <row r="1084" spans="1:4" x14ac:dyDescent="0.25">
      <c r="A1084" s="241" t="s">
        <v>1898</v>
      </c>
      <c r="B1084" s="142" t="s">
        <v>8</v>
      </c>
      <c r="C1084" s="241" t="s">
        <v>404</v>
      </c>
      <c r="D1084" s="274" t="s">
        <v>1691</v>
      </c>
    </row>
    <row r="1085" spans="1:4" x14ac:dyDescent="0.25">
      <c r="A1085" s="268" t="s">
        <v>1926</v>
      </c>
      <c r="B1085" s="268" t="s">
        <v>1927</v>
      </c>
      <c r="C1085" s="268" t="s">
        <v>1922</v>
      </c>
      <c r="D1085" s="269">
        <v>55</v>
      </c>
    </row>
    <row r="1086" spans="1:4" x14ac:dyDescent="0.25">
      <c r="A1086" s="270" t="s">
        <v>1928</v>
      </c>
      <c r="B1086" s="270" t="s">
        <v>1929</v>
      </c>
      <c r="C1086" s="270" t="s">
        <v>671</v>
      </c>
      <c r="D1086" s="271">
        <v>53</v>
      </c>
    </row>
    <row r="1087" spans="1:4" x14ac:dyDescent="0.25">
      <c r="A1087" s="268" t="s">
        <v>1930</v>
      </c>
      <c r="B1087" s="268" t="s">
        <v>1931</v>
      </c>
      <c r="C1087" s="268" t="s">
        <v>1922</v>
      </c>
      <c r="D1087" s="269">
        <v>66</v>
      </c>
    </row>
    <row r="1088" spans="1:4" x14ac:dyDescent="0.25">
      <c r="A1088" s="270" t="s">
        <v>1932</v>
      </c>
      <c r="B1088" s="270" t="s">
        <v>1933</v>
      </c>
      <c r="C1088" s="270" t="s">
        <v>671</v>
      </c>
      <c r="D1088" s="271">
        <v>73</v>
      </c>
    </row>
    <row r="1089" spans="1:4" x14ac:dyDescent="0.25">
      <c r="D1089" s="267"/>
    </row>
    <row r="1090" spans="1:4" ht="17.25" customHeight="1" x14ac:dyDescent="0.3">
      <c r="A1090" s="254" t="s">
        <v>1934</v>
      </c>
      <c r="B1090" s="254"/>
      <c r="C1090" s="254"/>
      <c r="D1090" s="273"/>
    </row>
    <row r="1091" spans="1:4" x14ac:dyDescent="0.25">
      <c r="A1091" s="241" t="s">
        <v>7</v>
      </c>
      <c r="B1091" s="142" t="s">
        <v>8</v>
      </c>
      <c r="C1091" s="241" t="s">
        <v>404</v>
      </c>
      <c r="D1091" s="274" t="s">
        <v>1691</v>
      </c>
    </row>
    <row r="1092" spans="1:4" x14ac:dyDescent="0.25">
      <c r="A1092" s="268" t="s">
        <v>1935</v>
      </c>
      <c r="B1092" s="268" t="s">
        <v>1936</v>
      </c>
      <c r="C1092" s="268" t="s">
        <v>1922</v>
      </c>
      <c r="D1092" s="269">
        <v>62</v>
      </c>
    </row>
    <row r="1093" spans="1:4" x14ac:dyDescent="0.25">
      <c r="A1093" s="270" t="s">
        <v>1937</v>
      </c>
      <c r="B1093" s="270" t="s">
        <v>1938</v>
      </c>
      <c r="C1093" s="270" t="s">
        <v>671</v>
      </c>
      <c r="D1093" s="271">
        <v>89</v>
      </c>
    </row>
    <row r="1095" spans="1:4" ht="17.25" customHeight="1" x14ac:dyDescent="0.3">
      <c r="A1095" s="306" t="s">
        <v>1939</v>
      </c>
      <c r="B1095" s="254"/>
      <c r="C1095" s="254"/>
      <c r="D1095" s="307"/>
    </row>
    <row r="1096" spans="1:4" ht="17.25" customHeight="1" x14ac:dyDescent="0.25">
      <c r="A1096" s="534" t="s">
        <v>1940</v>
      </c>
      <c r="B1096" s="485"/>
      <c r="C1096" s="485"/>
      <c r="D1096" s="485"/>
    </row>
    <row r="1097" spans="1:4" x14ac:dyDescent="0.25">
      <c r="A1097" s="209" t="s">
        <v>7</v>
      </c>
      <c r="B1097" s="142" t="s">
        <v>8</v>
      </c>
      <c r="C1097" s="209" t="s">
        <v>404</v>
      </c>
      <c r="D1097" s="274" t="s">
        <v>1691</v>
      </c>
    </row>
    <row r="1098" spans="1:4" x14ac:dyDescent="0.25">
      <c r="A1098" s="201" t="s">
        <v>1941</v>
      </c>
      <c r="B1098" s="201" t="s">
        <v>1942</v>
      </c>
      <c r="C1098" s="201" t="s">
        <v>1922</v>
      </c>
      <c r="D1098" s="202">
        <v>33</v>
      </c>
    </row>
    <row r="1099" spans="1:4" x14ac:dyDescent="0.25">
      <c r="A1099" s="203" t="s">
        <v>1943</v>
      </c>
      <c r="B1099" s="203" t="s">
        <v>1944</v>
      </c>
      <c r="C1099" s="203" t="s">
        <v>671</v>
      </c>
      <c r="D1099" s="204">
        <v>58</v>
      </c>
    </row>
    <row r="1100" spans="1:4" x14ac:dyDescent="0.25">
      <c r="A1100" s="201" t="s">
        <v>1945</v>
      </c>
      <c r="B1100" s="201" t="s">
        <v>1946</v>
      </c>
      <c r="C1100" s="201" t="s">
        <v>1922</v>
      </c>
      <c r="D1100" s="202">
        <v>36</v>
      </c>
    </row>
    <row r="1101" spans="1:4" x14ac:dyDescent="0.25">
      <c r="A1101" s="203" t="s">
        <v>1947</v>
      </c>
      <c r="B1101" s="203" t="s">
        <v>1948</v>
      </c>
      <c r="C1101" s="203" t="s">
        <v>671</v>
      </c>
      <c r="D1101" s="204">
        <v>96</v>
      </c>
    </row>
    <row r="1102" spans="1:4" x14ac:dyDescent="0.25">
      <c r="A1102" s="201" t="s">
        <v>1949</v>
      </c>
      <c r="B1102" s="201" t="s">
        <v>1950</v>
      </c>
      <c r="C1102" s="201" t="s">
        <v>1922</v>
      </c>
      <c r="D1102" s="202">
        <v>58</v>
      </c>
    </row>
    <row r="1103" spans="1:4" x14ac:dyDescent="0.25">
      <c r="A1103" s="203" t="s">
        <v>1951</v>
      </c>
      <c r="B1103" s="203" t="s">
        <v>1952</v>
      </c>
      <c r="C1103" s="203" t="s">
        <v>671</v>
      </c>
      <c r="D1103" s="204">
        <v>111</v>
      </c>
    </row>
    <row r="1105" spans="1:4" ht="17.25" customHeight="1" x14ac:dyDescent="0.3">
      <c r="A1105" s="306" t="s">
        <v>1953</v>
      </c>
      <c r="B1105" s="254"/>
      <c r="C1105" s="254"/>
      <c r="D1105" s="307"/>
    </row>
    <row r="1106" spans="1:4" x14ac:dyDescent="0.25">
      <c r="A1106" s="209" t="s">
        <v>7</v>
      </c>
      <c r="B1106" s="142" t="s">
        <v>8</v>
      </c>
      <c r="C1106" s="209" t="s">
        <v>404</v>
      </c>
      <c r="D1106" s="274" t="s">
        <v>1691</v>
      </c>
    </row>
    <row r="1107" spans="1:4" x14ac:dyDescent="0.25">
      <c r="A1107" s="201" t="s">
        <v>1954</v>
      </c>
      <c r="B1107" s="201" t="s">
        <v>1955</v>
      </c>
      <c r="C1107" s="201" t="s">
        <v>1874</v>
      </c>
      <c r="D1107" s="202">
        <v>110</v>
      </c>
    </row>
    <row r="1108" spans="1:4" x14ac:dyDescent="0.25">
      <c r="A1108" s="203" t="s">
        <v>1956</v>
      </c>
      <c r="B1108" s="203" t="s">
        <v>1957</v>
      </c>
      <c r="C1108" s="203" t="s">
        <v>1874</v>
      </c>
      <c r="D1108" s="204">
        <v>109</v>
      </c>
    </row>
    <row r="1109" spans="1:4" x14ac:dyDescent="0.25">
      <c r="A1109" s="201" t="s">
        <v>1958</v>
      </c>
      <c r="B1109" s="201" t="s">
        <v>1959</v>
      </c>
      <c r="C1109" s="201" t="s">
        <v>1922</v>
      </c>
      <c r="D1109" s="202">
        <v>57</v>
      </c>
    </row>
    <row r="1110" spans="1:4" x14ac:dyDescent="0.25">
      <c r="A1110" s="203" t="s">
        <v>1960</v>
      </c>
      <c r="B1110" s="203" t="s">
        <v>1961</v>
      </c>
      <c r="C1110" s="203" t="s">
        <v>1922</v>
      </c>
      <c r="D1110" s="204">
        <v>39</v>
      </c>
    </row>
    <row r="1112" spans="1:4" ht="17.25" customHeight="1" x14ac:dyDescent="0.3">
      <c r="A1112" s="306" t="s">
        <v>1962</v>
      </c>
      <c r="B1112" s="254"/>
      <c r="C1112" s="254"/>
      <c r="D1112" s="307"/>
    </row>
    <row r="1113" spans="1:4" x14ac:dyDescent="0.25">
      <c r="A1113" s="209" t="s">
        <v>7</v>
      </c>
      <c r="B1113" s="142" t="s">
        <v>8</v>
      </c>
      <c r="C1113" s="209" t="s">
        <v>404</v>
      </c>
      <c r="D1113" s="274" t="s">
        <v>1691</v>
      </c>
    </row>
    <row r="1114" spans="1:4" x14ac:dyDescent="0.25">
      <c r="A1114" s="201" t="s">
        <v>1963</v>
      </c>
      <c r="B1114" s="201" t="s">
        <v>1964</v>
      </c>
      <c r="C1114" s="201" t="s">
        <v>671</v>
      </c>
      <c r="D1114" s="202">
        <v>57</v>
      </c>
    </row>
    <row r="1115" spans="1:4" x14ac:dyDescent="0.25">
      <c r="A1115" s="203" t="s">
        <v>1965</v>
      </c>
      <c r="B1115" s="203" t="s">
        <v>1966</v>
      </c>
      <c r="C1115" s="203" t="s">
        <v>671</v>
      </c>
      <c r="D1115" s="204">
        <v>49</v>
      </c>
    </row>
    <row r="1116" spans="1:4" x14ac:dyDescent="0.25">
      <c r="A1116" s="201" t="s">
        <v>1967</v>
      </c>
      <c r="B1116" s="201" t="s">
        <v>1968</v>
      </c>
      <c r="C1116" s="201" t="s">
        <v>671</v>
      </c>
      <c r="D1116" s="202">
        <v>63</v>
      </c>
    </row>
    <row r="1117" spans="1:4" x14ac:dyDescent="0.25">
      <c r="A1117" s="203" t="s">
        <v>1969</v>
      </c>
      <c r="B1117" s="203" t="s">
        <v>1970</v>
      </c>
      <c r="C1117" s="203" t="s">
        <v>671</v>
      </c>
      <c r="D1117" s="204">
        <v>103</v>
      </c>
    </row>
    <row r="1118" spans="1:4" x14ac:dyDescent="0.25">
      <c r="A1118" s="201" t="s">
        <v>1971</v>
      </c>
      <c r="B1118" s="201" t="s">
        <v>1972</v>
      </c>
      <c r="C1118" s="201" t="s">
        <v>671</v>
      </c>
      <c r="D1118" s="202">
        <v>68</v>
      </c>
    </row>
    <row r="1120" spans="1:4" ht="17.25" customHeight="1" x14ac:dyDescent="0.3">
      <c r="A1120" s="306" t="s">
        <v>1973</v>
      </c>
      <c r="B1120" s="254"/>
      <c r="C1120" s="254"/>
      <c r="D1120" s="307"/>
    </row>
    <row r="1121" spans="1:4" x14ac:dyDescent="0.25">
      <c r="A1121" s="209" t="s">
        <v>7</v>
      </c>
      <c r="B1121" s="142" t="s">
        <v>8</v>
      </c>
      <c r="C1121" s="209" t="s">
        <v>404</v>
      </c>
      <c r="D1121" s="274" t="s">
        <v>1691</v>
      </c>
    </row>
    <row r="1122" spans="1:4" x14ac:dyDescent="0.25">
      <c r="A1122" s="201" t="s">
        <v>1974</v>
      </c>
      <c r="B1122" s="201" t="s">
        <v>1975</v>
      </c>
      <c r="C1122" s="201" t="s">
        <v>1922</v>
      </c>
      <c r="D1122" s="202">
        <v>42</v>
      </c>
    </row>
    <row r="1123" spans="1:4" x14ac:dyDescent="0.25">
      <c r="A1123" s="203" t="s">
        <v>1976</v>
      </c>
      <c r="B1123" s="203" t="s">
        <v>1977</v>
      </c>
      <c r="C1123" s="203" t="s">
        <v>1922</v>
      </c>
      <c r="D1123" s="204">
        <v>62</v>
      </c>
    </row>
    <row r="1124" spans="1:4" x14ac:dyDescent="0.25">
      <c r="A1124" s="201" t="s">
        <v>1978</v>
      </c>
      <c r="B1124" s="201" t="s">
        <v>1979</v>
      </c>
      <c r="C1124" s="201" t="s">
        <v>671</v>
      </c>
      <c r="D1124" s="202">
        <v>63</v>
      </c>
    </row>
    <row r="1125" spans="1:4" x14ac:dyDescent="0.25">
      <c r="A1125" s="203" t="s">
        <v>1980</v>
      </c>
      <c r="B1125" s="203" t="s">
        <v>1981</v>
      </c>
      <c r="C1125" s="203" t="s">
        <v>1922</v>
      </c>
      <c r="D1125" s="204">
        <v>3</v>
      </c>
    </row>
    <row r="1126" spans="1:4" x14ac:dyDescent="0.25">
      <c r="A1126" s="201" t="s">
        <v>1982</v>
      </c>
      <c r="B1126" s="201" t="s">
        <v>1983</v>
      </c>
      <c r="C1126" s="201" t="s">
        <v>671</v>
      </c>
      <c r="D1126" s="202">
        <v>67</v>
      </c>
    </row>
    <row r="1127" spans="1:4" x14ac:dyDescent="0.25">
      <c r="A1127" s="203" t="s">
        <v>1984</v>
      </c>
      <c r="B1127" s="203" t="s">
        <v>1985</v>
      </c>
      <c r="C1127" s="203" t="s">
        <v>1922</v>
      </c>
      <c r="D1127" s="204">
        <v>5</v>
      </c>
    </row>
    <row r="1128" spans="1:4" x14ac:dyDescent="0.25">
      <c r="A1128" s="201" t="s">
        <v>1986</v>
      </c>
      <c r="B1128" s="201" t="s">
        <v>1987</v>
      </c>
      <c r="C1128" s="201" t="s">
        <v>1922</v>
      </c>
      <c r="D1128" s="202">
        <v>14</v>
      </c>
    </row>
    <row r="1129" spans="1:4" x14ac:dyDescent="0.25">
      <c r="A1129" s="203" t="s">
        <v>1988</v>
      </c>
      <c r="B1129" s="203" t="s">
        <v>1989</v>
      </c>
      <c r="C1129" s="203" t="s">
        <v>1922</v>
      </c>
      <c r="D1129" s="204">
        <v>9</v>
      </c>
    </row>
    <row r="1131" spans="1:4" ht="17.25" customHeight="1" x14ac:dyDescent="0.3">
      <c r="A1131" s="306" t="s">
        <v>1990</v>
      </c>
      <c r="B1131" s="254"/>
      <c r="C1131" s="254"/>
      <c r="D1131" s="307"/>
    </row>
    <row r="1132" spans="1:4" x14ac:dyDescent="0.25">
      <c r="A1132" s="209" t="s">
        <v>7</v>
      </c>
      <c r="B1132" s="142" t="s">
        <v>8</v>
      </c>
      <c r="C1132" s="209" t="s">
        <v>404</v>
      </c>
      <c r="D1132" s="274" t="s">
        <v>1691</v>
      </c>
    </row>
    <row r="1133" spans="1:4" x14ac:dyDescent="0.25">
      <c r="A1133" s="201" t="s">
        <v>1991</v>
      </c>
      <c r="B1133" s="201" t="s">
        <v>1992</v>
      </c>
      <c r="C1133" s="201" t="s">
        <v>1993</v>
      </c>
      <c r="D1133" s="202">
        <v>11</v>
      </c>
    </row>
    <row r="1134" spans="1:4" x14ac:dyDescent="0.25">
      <c r="A1134" s="203" t="s">
        <v>1994</v>
      </c>
      <c r="B1134" s="203" t="s">
        <v>1995</v>
      </c>
      <c r="C1134" s="203" t="s">
        <v>1993</v>
      </c>
      <c r="D1134" s="204">
        <v>6.2</v>
      </c>
    </row>
    <row r="1135" spans="1:4" x14ac:dyDescent="0.25">
      <c r="A1135" s="201" t="s">
        <v>1996</v>
      </c>
      <c r="B1135" s="201" t="s">
        <v>1997</v>
      </c>
      <c r="C1135" s="201" t="s">
        <v>1993</v>
      </c>
      <c r="D1135" s="202">
        <v>4.2</v>
      </c>
    </row>
    <row r="1136" spans="1:4" x14ac:dyDescent="0.25">
      <c r="A1136" s="203" t="s">
        <v>1998</v>
      </c>
      <c r="B1136" s="203" t="s">
        <v>1999</v>
      </c>
      <c r="C1136" s="203" t="s">
        <v>1993</v>
      </c>
      <c r="D1136" s="204">
        <v>3.93</v>
      </c>
    </row>
    <row r="1137" spans="1:4" x14ac:dyDescent="0.25">
      <c r="A1137" s="201" t="s">
        <v>2000</v>
      </c>
      <c r="B1137" s="201" t="s">
        <v>2001</v>
      </c>
      <c r="C1137" s="201" t="s">
        <v>1993</v>
      </c>
      <c r="D1137" s="202">
        <v>3.4</v>
      </c>
    </row>
    <row r="1139" spans="1:4" ht="17.25" customHeight="1" x14ac:dyDescent="0.3">
      <c r="A1139" s="306" t="s">
        <v>2002</v>
      </c>
      <c r="B1139" s="254"/>
      <c r="C1139" s="254"/>
      <c r="D1139" s="307"/>
    </row>
    <row r="1140" spans="1:4" x14ac:dyDescent="0.25">
      <c r="A1140" s="209" t="s">
        <v>7</v>
      </c>
      <c r="B1140" s="142" t="s">
        <v>8</v>
      </c>
      <c r="C1140" s="209" t="s">
        <v>404</v>
      </c>
      <c r="D1140" s="274" t="s">
        <v>1691</v>
      </c>
    </row>
    <row r="1141" spans="1:4" x14ac:dyDescent="0.25">
      <c r="A1141" s="201" t="s">
        <v>2003</v>
      </c>
      <c r="B1141" s="201" t="s">
        <v>2004</v>
      </c>
      <c r="C1141" s="201" t="s">
        <v>1993</v>
      </c>
      <c r="D1141" s="202">
        <v>11</v>
      </c>
    </row>
    <row r="1142" spans="1:4" x14ac:dyDescent="0.25">
      <c r="A1142" s="203" t="s">
        <v>2005</v>
      </c>
      <c r="B1142" s="203" t="s">
        <v>2006</v>
      </c>
      <c r="C1142" s="203" t="s">
        <v>1993</v>
      </c>
      <c r="D1142" s="204">
        <v>6.3</v>
      </c>
    </row>
    <row r="1143" spans="1:4" x14ac:dyDescent="0.25">
      <c r="A1143" s="201" t="s">
        <v>2007</v>
      </c>
      <c r="B1143" s="201" t="s">
        <v>2008</v>
      </c>
      <c r="C1143" s="201" t="s">
        <v>1993</v>
      </c>
      <c r="D1143" s="202">
        <v>14</v>
      </c>
    </row>
    <row r="1144" spans="1:4" x14ac:dyDescent="0.25">
      <c r="D1144" s="205"/>
    </row>
    <row r="1145" spans="1:4" ht="17.25" customHeight="1" x14ac:dyDescent="0.3">
      <c r="A1145" s="306" t="s">
        <v>2009</v>
      </c>
      <c r="B1145" s="254"/>
      <c r="C1145" s="254"/>
      <c r="D1145" s="307"/>
    </row>
    <row r="1146" spans="1:4" x14ac:dyDescent="0.25">
      <c r="A1146" s="209" t="s">
        <v>7</v>
      </c>
      <c r="B1146" s="142" t="s">
        <v>8</v>
      </c>
      <c r="C1146" s="209" t="s">
        <v>404</v>
      </c>
      <c r="D1146" s="274" t="s">
        <v>1691</v>
      </c>
    </row>
    <row r="1147" spans="1:4" x14ac:dyDescent="0.25">
      <c r="A1147" s="201" t="s">
        <v>2010</v>
      </c>
      <c r="B1147" s="201" t="s">
        <v>2011</v>
      </c>
      <c r="C1147" s="201" t="s">
        <v>1993</v>
      </c>
      <c r="D1147" s="202">
        <v>19</v>
      </c>
    </row>
    <row r="1148" spans="1:4" x14ac:dyDescent="0.25">
      <c r="A1148" s="203" t="s">
        <v>2012</v>
      </c>
      <c r="B1148" s="203" t="s">
        <v>2013</v>
      </c>
      <c r="C1148" s="203" t="s">
        <v>1993</v>
      </c>
      <c r="D1148" s="204">
        <v>32</v>
      </c>
    </row>
    <row r="1149" spans="1:4" x14ac:dyDescent="0.25">
      <c r="A1149" s="201" t="s">
        <v>2014</v>
      </c>
      <c r="B1149" s="201" t="s">
        <v>2015</v>
      </c>
      <c r="C1149" s="201" t="s">
        <v>1993</v>
      </c>
      <c r="D1149" s="202">
        <v>65</v>
      </c>
    </row>
    <row r="1150" spans="1:4" x14ac:dyDescent="0.25">
      <c r="A1150" s="203" t="s">
        <v>2016</v>
      </c>
      <c r="B1150" s="203" t="s">
        <v>2017</v>
      </c>
      <c r="C1150" s="203" t="s">
        <v>1993</v>
      </c>
      <c r="D1150" s="204">
        <v>83</v>
      </c>
    </row>
    <row r="1151" spans="1:4" x14ac:dyDescent="0.25">
      <c r="D1151" s="205"/>
    </row>
    <row r="1152" spans="1:4" ht="17.25" customHeight="1" x14ac:dyDescent="0.3">
      <c r="A1152" s="306" t="s">
        <v>2018</v>
      </c>
      <c r="B1152" s="254"/>
      <c r="C1152" s="254"/>
      <c r="D1152" s="307"/>
    </row>
    <row r="1153" spans="1:4" x14ac:dyDescent="0.25">
      <c r="A1153" s="209" t="s">
        <v>7</v>
      </c>
      <c r="B1153" s="142" t="s">
        <v>8</v>
      </c>
      <c r="C1153" s="209" t="s">
        <v>404</v>
      </c>
      <c r="D1153" s="274" t="s">
        <v>1691</v>
      </c>
    </row>
    <row r="1154" spans="1:4" x14ac:dyDescent="0.25">
      <c r="A1154" s="201" t="s">
        <v>2019</v>
      </c>
      <c r="B1154" s="201" t="s">
        <v>2020</v>
      </c>
      <c r="C1154" s="201" t="s">
        <v>1922</v>
      </c>
      <c r="D1154" s="202">
        <v>22</v>
      </c>
    </row>
    <row r="1155" spans="1:4" x14ac:dyDescent="0.25">
      <c r="A1155" s="203" t="s">
        <v>2021</v>
      </c>
      <c r="B1155" s="203" t="s">
        <v>2022</v>
      </c>
      <c r="C1155" s="203" t="s">
        <v>1993</v>
      </c>
      <c r="D1155" s="204">
        <v>86</v>
      </c>
    </row>
    <row r="1156" spans="1:4" x14ac:dyDescent="0.25">
      <c r="A1156" s="201" t="s">
        <v>2023</v>
      </c>
      <c r="B1156" s="201" t="s">
        <v>2024</v>
      </c>
      <c r="C1156" s="201" t="s">
        <v>1993</v>
      </c>
      <c r="D1156" s="202">
        <v>73</v>
      </c>
    </row>
    <row r="1157" spans="1:4" x14ac:dyDescent="0.25">
      <c r="A1157" s="203" t="s">
        <v>2025</v>
      </c>
      <c r="B1157" s="203" t="s">
        <v>2026</v>
      </c>
      <c r="C1157" s="203" t="s">
        <v>1993</v>
      </c>
      <c r="D1157" s="204">
        <v>73</v>
      </c>
    </row>
    <row r="1158" spans="1:4" x14ac:dyDescent="0.25">
      <c r="D1158" s="205"/>
    </row>
    <row r="1159" spans="1:4" ht="17.25" customHeight="1" x14ac:dyDescent="0.3">
      <c r="A1159" s="306" t="s">
        <v>2027</v>
      </c>
      <c r="B1159" s="254"/>
      <c r="C1159" s="254"/>
      <c r="D1159" s="307"/>
    </row>
    <row r="1160" spans="1:4" x14ac:dyDescent="0.25">
      <c r="A1160" s="209" t="s">
        <v>7</v>
      </c>
      <c r="B1160" s="142" t="s">
        <v>8</v>
      </c>
      <c r="C1160" s="209" t="s">
        <v>404</v>
      </c>
      <c r="D1160" s="274" t="s">
        <v>1691</v>
      </c>
    </row>
    <row r="1161" spans="1:4" x14ac:dyDescent="0.25">
      <c r="A1161" s="201" t="s">
        <v>2028</v>
      </c>
      <c r="B1161" s="201" t="s">
        <v>2029</v>
      </c>
      <c r="C1161" s="201" t="s">
        <v>1993</v>
      </c>
      <c r="D1161" s="202">
        <v>83</v>
      </c>
    </row>
    <row r="1162" spans="1:4" x14ac:dyDescent="0.25">
      <c r="D1162" s="205"/>
    </row>
    <row r="1163" spans="1:4" ht="17.25" customHeight="1" x14ac:dyDescent="0.3">
      <c r="A1163" s="306" t="s">
        <v>2030</v>
      </c>
      <c r="B1163" s="254"/>
      <c r="C1163" s="254"/>
      <c r="D1163" s="307"/>
    </row>
    <row r="1164" spans="1:4" x14ac:dyDescent="0.25">
      <c r="A1164" s="209" t="s">
        <v>7</v>
      </c>
      <c r="B1164" s="142" t="s">
        <v>8</v>
      </c>
      <c r="C1164" s="209" t="s">
        <v>404</v>
      </c>
      <c r="D1164" s="274" t="s">
        <v>1691</v>
      </c>
    </row>
    <row r="1165" spans="1:4" x14ac:dyDescent="0.25">
      <c r="A1165" s="201" t="s">
        <v>2031</v>
      </c>
      <c r="B1165" s="201" t="s">
        <v>2032</v>
      </c>
      <c r="C1165" s="201" t="s">
        <v>1922</v>
      </c>
      <c r="D1165" s="202">
        <v>7</v>
      </c>
    </row>
    <row r="1166" spans="1:4" x14ac:dyDescent="0.25">
      <c r="A1166" s="203" t="s">
        <v>2033</v>
      </c>
      <c r="B1166" s="203" t="s">
        <v>2034</v>
      </c>
      <c r="C1166" s="203" t="s">
        <v>1922</v>
      </c>
      <c r="D1166" s="204">
        <v>7</v>
      </c>
    </row>
    <row r="1167" spans="1:4" x14ac:dyDescent="0.25">
      <c r="A1167" s="201" t="s">
        <v>2035</v>
      </c>
      <c r="B1167" s="201" t="s">
        <v>1989</v>
      </c>
      <c r="C1167" s="201" t="s">
        <v>1922</v>
      </c>
      <c r="D1167" s="202">
        <v>2</v>
      </c>
    </row>
    <row r="1168" spans="1:4" x14ac:dyDescent="0.25">
      <c r="A1168" s="203" t="s">
        <v>2036</v>
      </c>
      <c r="B1168" s="203" t="s">
        <v>2037</v>
      </c>
      <c r="C1168" s="203" t="s">
        <v>1922</v>
      </c>
      <c r="D1168" s="204">
        <v>12</v>
      </c>
    </row>
    <row r="1169" spans="1:4" x14ac:dyDescent="0.25">
      <c r="A1169" s="201" t="s">
        <v>2038</v>
      </c>
      <c r="B1169" s="201" t="s">
        <v>2039</v>
      </c>
      <c r="C1169" s="201" t="s">
        <v>1922</v>
      </c>
      <c r="D1169" s="202">
        <v>3</v>
      </c>
    </row>
    <row r="1170" spans="1:4" x14ac:dyDescent="0.25">
      <c r="A1170" s="203" t="s">
        <v>2040</v>
      </c>
      <c r="B1170" s="203" t="s">
        <v>2041</v>
      </c>
      <c r="C1170" s="203" t="s">
        <v>1922</v>
      </c>
      <c r="D1170" s="204">
        <v>28</v>
      </c>
    </row>
    <row r="1171" spans="1:4" x14ac:dyDescent="0.25">
      <c r="A1171" s="201" t="s">
        <v>2042</v>
      </c>
      <c r="B1171" s="201" t="s">
        <v>2043</v>
      </c>
      <c r="C1171" s="201" t="s">
        <v>1922</v>
      </c>
      <c r="D1171" s="202">
        <v>9</v>
      </c>
    </row>
    <row r="1172" spans="1:4" x14ac:dyDescent="0.25">
      <c r="A1172" s="203" t="s">
        <v>2044</v>
      </c>
      <c r="B1172" s="203" t="s">
        <v>2045</v>
      </c>
      <c r="C1172" s="203" t="s">
        <v>1922</v>
      </c>
      <c r="D1172" s="204">
        <v>9</v>
      </c>
    </row>
    <row r="1173" spans="1:4" x14ac:dyDescent="0.25">
      <c r="D1173" s="205"/>
    </row>
    <row r="1174" spans="1:4" ht="17.25" customHeight="1" x14ac:dyDescent="0.3">
      <c r="A1174" s="306" t="s">
        <v>2046</v>
      </c>
      <c r="B1174" s="254"/>
      <c r="C1174" s="254"/>
      <c r="D1174" s="307"/>
    </row>
    <row r="1175" spans="1:4" x14ac:dyDescent="0.25">
      <c r="A1175" s="209" t="s">
        <v>7</v>
      </c>
      <c r="B1175" s="142" t="s">
        <v>8</v>
      </c>
      <c r="C1175" s="209" t="s">
        <v>404</v>
      </c>
      <c r="D1175" s="274" t="s">
        <v>1691</v>
      </c>
    </row>
    <row r="1176" spans="1:4" x14ac:dyDescent="0.25">
      <c r="A1176" s="201" t="s">
        <v>2047</v>
      </c>
      <c r="B1176" s="201" t="s">
        <v>2048</v>
      </c>
      <c r="C1176" s="201" t="s">
        <v>1993</v>
      </c>
      <c r="D1176" s="202">
        <v>63</v>
      </c>
    </row>
    <row r="1177" spans="1:4" x14ac:dyDescent="0.25">
      <c r="A1177" s="203" t="s">
        <v>2049</v>
      </c>
      <c r="B1177" s="203" t="s">
        <v>2050</v>
      </c>
      <c r="C1177" s="203" t="s">
        <v>1993</v>
      </c>
      <c r="D1177" s="204">
        <v>74</v>
      </c>
    </row>
    <row r="1179" spans="1:4" ht="17.25" customHeight="1" x14ac:dyDescent="0.3">
      <c r="A1179" s="306" t="s">
        <v>2051</v>
      </c>
      <c r="B1179" s="254"/>
      <c r="C1179" s="254"/>
      <c r="D1179" s="307"/>
    </row>
    <row r="1180" spans="1:4" x14ac:dyDescent="0.25">
      <c r="A1180" s="209" t="s">
        <v>7</v>
      </c>
      <c r="B1180" s="142" t="s">
        <v>8</v>
      </c>
      <c r="C1180" s="209" t="s">
        <v>404</v>
      </c>
      <c r="D1180" s="274" t="s">
        <v>1691</v>
      </c>
    </row>
    <row r="1181" spans="1:4" x14ac:dyDescent="0.25">
      <c r="A1181" s="201" t="s">
        <v>2052</v>
      </c>
      <c r="B1181" s="201" t="s">
        <v>2053</v>
      </c>
      <c r="C1181" s="201" t="s">
        <v>1993</v>
      </c>
      <c r="D1181" s="202">
        <v>87</v>
      </c>
    </row>
    <row r="1182" spans="1:4" x14ac:dyDescent="0.25">
      <c r="A1182" s="203" t="s">
        <v>2054</v>
      </c>
      <c r="B1182" s="203" t="s">
        <v>2055</v>
      </c>
      <c r="C1182" s="203" t="s">
        <v>1993</v>
      </c>
      <c r="D1182" s="204">
        <v>78</v>
      </c>
    </row>
    <row r="1183" spans="1:4" x14ac:dyDescent="0.25">
      <c r="D1183" s="205"/>
    </row>
    <row r="1184" spans="1:4" ht="17.25" customHeight="1" x14ac:dyDescent="0.3">
      <c r="A1184" s="306" t="s">
        <v>2056</v>
      </c>
      <c r="B1184" s="254"/>
      <c r="C1184" s="254"/>
      <c r="D1184" s="307"/>
    </row>
    <row r="1185" spans="1:4" x14ac:dyDescent="0.25">
      <c r="A1185" s="209" t="s">
        <v>7</v>
      </c>
      <c r="B1185" s="142" t="s">
        <v>8</v>
      </c>
      <c r="C1185" s="209" t="s">
        <v>404</v>
      </c>
      <c r="D1185" s="274" t="s">
        <v>1691</v>
      </c>
    </row>
    <row r="1186" spans="1:4" x14ac:dyDescent="0.25">
      <c r="A1186" s="201" t="s">
        <v>2057</v>
      </c>
      <c r="B1186" s="201" t="s">
        <v>2058</v>
      </c>
      <c r="C1186" s="201" t="s">
        <v>1922</v>
      </c>
      <c r="D1186" s="202">
        <v>19</v>
      </c>
    </row>
    <row r="1187" spans="1:4" x14ac:dyDescent="0.25">
      <c r="A1187" s="203" t="s">
        <v>2059</v>
      </c>
      <c r="B1187" s="203" t="s">
        <v>2060</v>
      </c>
      <c r="C1187" s="203" t="s">
        <v>1993</v>
      </c>
      <c r="D1187" s="204">
        <v>83</v>
      </c>
    </row>
    <row r="1188" spans="1:4" x14ac:dyDescent="0.25">
      <c r="A1188" s="201" t="s">
        <v>2061</v>
      </c>
      <c r="B1188" s="201" t="s">
        <v>2062</v>
      </c>
      <c r="C1188" s="201" t="s">
        <v>1993</v>
      </c>
      <c r="D1188" s="202">
        <v>61</v>
      </c>
    </row>
    <row r="1189" spans="1:4" x14ac:dyDescent="0.25">
      <c r="A1189" s="203" t="s">
        <v>2063</v>
      </c>
      <c r="B1189" s="203" t="s">
        <v>2060</v>
      </c>
      <c r="C1189" s="203" t="s">
        <v>1993</v>
      </c>
      <c r="D1189" s="204">
        <v>79</v>
      </c>
    </row>
    <row r="1190" spans="1:4" x14ac:dyDescent="0.25">
      <c r="D1190" s="205"/>
    </row>
    <row r="1191" spans="1:4" ht="17.25" customHeight="1" x14ac:dyDescent="0.3">
      <c r="A1191" s="306" t="s">
        <v>2064</v>
      </c>
      <c r="B1191" s="254"/>
      <c r="C1191" s="254"/>
      <c r="D1191" s="307"/>
    </row>
    <row r="1192" spans="1:4" x14ac:dyDescent="0.25">
      <c r="A1192" s="209" t="s">
        <v>7</v>
      </c>
      <c r="B1192" s="142" t="s">
        <v>8</v>
      </c>
      <c r="C1192" s="209" t="s">
        <v>404</v>
      </c>
      <c r="D1192" s="274" t="s">
        <v>1691</v>
      </c>
    </row>
    <row r="1193" spans="1:4" x14ac:dyDescent="0.25">
      <c r="A1193" s="201" t="s">
        <v>2065</v>
      </c>
      <c r="B1193" s="201" t="s">
        <v>2066</v>
      </c>
      <c r="C1193" s="201" t="s">
        <v>1922</v>
      </c>
      <c r="D1193" s="202">
        <v>19</v>
      </c>
    </row>
    <row r="1194" spans="1:4" x14ac:dyDescent="0.25">
      <c r="A1194" s="203" t="s">
        <v>2067</v>
      </c>
      <c r="B1194" s="203" t="s">
        <v>2068</v>
      </c>
      <c r="C1194" s="203" t="s">
        <v>1922</v>
      </c>
      <c r="D1194" s="204">
        <v>22</v>
      </c>
    </row>
    <row r="1195" spans="1:4" x14ac:dyDescent="0.25">
      <c r="A1195" s="201" t="s">
        <v>2069</v>
      </c>
      <c r="B1195" s="201" t="s">
        <v>2070</v>
      </c>
      <c r="C1195" s="201" t="s">
        <v>1922</v>
      </c>
      <c r="D1195" s="202">
        <v>29</v>
      </c>
    </row>
    <row r="1196" spans="1:4" x14ac:dyDescent="0.25">
      <c r="A1196" s="203" t="s">
        <v>2071</v>
      </c>
      <c r="B1196" s="203" t="s">
        <v>2072</v>
      </c>
      <c r="C1196" s="203" t="s">
        <v>1922</v>
      </c>
      <c r="D1196" s="204">
        <v>53</v>
      </c>
    </row>
    <row r="1197" spans="1:4" x14ac:dyDescent="0.25">
      <c r="A1197" s="201" t="s">
        <v>2073</v>
      </c>
      <c r="B1197" s="201" t="s">
        <v>2074</v>
      </c>
      <c r="C1197" s="201" t="s">
        <v>1922</v>
      </c>
      <c r="D1197" s="202">
        <v>32</v>
      </c>
    </row>
    <row r="1198" spans="1:4" x14ac:dyDescent="0.25">
      <c r="A1198" s="203" t="s">
        <v>2075</v>
      </c>
      <c r="B1198" s="203" t="s">
        <v>2076</v>
      </c>
      <c r="C1198" s="203" t="s">
        <v>1993</v>
      </c>
      <c r="D1198" s="204">
        <v>113</v>
      </c>
    </row>
    <row r="1199" spans="1:4" x14ac:dyDescent="0.25">
      <c r="A1199" s="201" t="s">
        <v>2077</v>
      </c>
      <c r="B1199" s="201" t="s">
        <v>2078</v>
      </c>
      <c r="C1199" s="201" t="s">
        <v>1993</v>
      </c>
      <c r="D1199" s="202">
        <v>99</v>
      </c>
    </row>
    <row r="1200" spans="1:4" x14ac:dyDescent="0.25">
      <c r="D1200" s="205"/>
    </row>
    <row r="1201" spans="1:4" ht="17.25" customHeight="1" x14ac:dyDescent="0.3">
      <c r="A1201" s="306" t="s">
        <v>2079</v>
      </c>
      <c r="B1201" s="254"/>
      <c r="C1201" s="254"/>
      <c r="D1201" s="307"/>
    </row>
    <row r="1202" spans="1:4" x14ac:dyDescent="0.25">
      <c r="A1202" s="209" t="s">
        <v>7</v>
      </c>
      <c r="B1202" s="142" t="s">
        <v>8</v>
      </c>
      <c r="C1202" s="209" t="s">
        <v>404</v>
      </c>
      <c r="D1202" s="274" t="s">
        <v>1691</v>
      </c>
    </row>
    <row r="1203" spans="1:4" x14ac:dyDescent="0.25">
      <c r="A1203" s="201" t="s">
        <v>2080</v>
      </c>
      <c r="B1203" s="201" t="s">
        <v>2081</v>
      </c>
      <c r="C1203" s="201" t="s">
        <v>1993</v>
      </c>
      <c r="D1203" s="202">
        <v>130</v>
      </c>
    </row>
    <row r="1204" spans="1:4" x14ac:dyDescent="0.25">
      <c r="A1204" s="203" t="s">
        <v>2082</v>
      </c>
      <c r="B1204" s="203" t="s">
        <v>2083</v>
      </c>
      <c r="C1204" s="203" t="s">
        <v>1993</v>
      </c>
      <c r="D1204" s="204">
        <v>129</v>
      </c>
    </row>
    <row r="1205" spans="1:4" x14ac:dyDescent="0.25">
      <c r="D1205" s="205"/>
    </row>
    <row r="1206" spans="1:4" ht="17.25" customHeight="1" x14ac:dyDescent="0.3">
      <c r="A1206" s="306" t="s">
        <v>2084</v>
      </c>
      <c r="B1206" s="254"/>
      <c r="C1206" s="254"/>
      <c r="D1206" s="307"/>
    </row>
    <row r="1207" spans="1:4" x14ac:dyDescent="0.25">
      <c r="A1207" s="209" t="s">
        <v>7</v>
      </c>
      <c r="B1207" s="142" t="s">
        <v>8</v>
      </c>
      <c r="C1207" s="209" t="s">
        <v>404</v>
      </c>
      <c r="D1207" s="274" t="s">
        <v>1691</v>
      </c>
    </row>
    <row r="1208" spans="1:4" x14ac:dyDescent="0.25">
      <c r="A1208" s="201" t="s">
        <v>2085</v>
      </c>
      <c r="B1208" s="201" t="s">
        <v>2084</v>
      </c>
      <c r="C1208" s="201" t="s">
        <v>1993</v>
      </c>
      <c r="D1208" s="202">
        <v>89</v>
      </c>
    </row>
    <row r="1209" spans="1:4" x14ac:dyDescent="0.25">
      <c r="A1209" s="203" t="s">
        <v>2086</v>
      </c>
      <c r="B1209" s="203" t="s">
        <v>2084</v>
      </c>
      <c r="C1209" s="203" t="s">
        <v>1922</v>
      </c>
      <c r="D1209" s="204">
        <v>89</v>
      </c>
    </row>
    <row r="1210" spans="1:4" x14ac:dyDescent="0.25">
      <c r="D1210" s="205"/>
    </row>
    <row r="1211" spans="1:4" ht="17.25" customHeight="1" x14ac:dyDescent="0.3">
      <c r="A1211" s="306" t="s">
        <v>2087</v>
      </c>
      <c r="B1211" s="254"/>
      <c r="C1211" s="254"/>
      <c r="D1211" s="307"/>
    </row>
    <row r="1212" spans="1:4" x14ac:dyDescent="0.25">
      <c r="A1212" s="209" t="s">
        <v>7</v>
      </c>
      <c r="B1212" s="142" t="s">
        <v>8</v>
      </c>
      <c r="C1212" s="209" t="s">
        <v>404</v>
      </c>
      <c r="D1212" s="274" t="s">
        <v>1691</v>
      </c>
    </row>
    <row r="1213" spans="1:4" x14ac:dyDescent="0.25">
      <c r="A1213" s="201" t="s">
        <v>2088</v>
      </c>
      <c r="B1213" s="201" t="s">
        <v>2087</v>
      </c>
      <c r="C1213" s="201" t="s">
        <v>1993</v>
      </c>
      <c r="D1213" s="202">
        <v>88.3</v>
      </c>
    </row>
    <row r="1214" spans="1:4" x14ac:dyDescent="0.25">
      <c r="D1214" s="205"/>
    </row>
    <row r="1215" spans="1:4" ht="17.25" customHeight="1" x14ac:dyDescent="0.3">
      <c r="A1215" s="306" t="s">
        <v>2089</v>
      </c>
      <c r="B1215" s="254"/>
      <c r="C1215" s="254"/>
      <c r="D1215" s="307"/>
    </row>
    <row r="1216" spans="1:4" x14ac:dyDescent="0.25">
      <c r="A1216" s="209" t="s">
        <v>7</v>
      </c>
      <c r="B1216" s="142" t="s">
        <v>8</v>
      </c>
      <c r="C1216" s="209" t="s">
        <v>404</v>
      </c>
      <c r="D1216" s="274" t="s">
        <v>1691</v>
      </c>
    </row>
    <row r="1217" spans="1:4" x14ac:dyDescent="0.25">
      <c r="A1217" s="201" t="s">
        <v>2090</v>
      </c>
      <c r="B1217" s="201" t="s">
        <v>2091</v>
      </c>
      <c r="C1217" s="201" t="s">
        <v>1993</v>
      </c>
      <c r="D1217" s="202">
        <v>91</v>
      </c>
    </row>
    <row r="1218" spans="1:4" x14ac:dyDescent="0.25">
      <c r="A1218" s="203" t="s">
        <v>2092</v>
      </c>
      <c r="B1218" s="203" t="s">
        <v>2093</v>
      </c>
      <c r="C1218" s="203" t="s">
        <v>1922</v>
      </c>
      <c r="D1218" s="204">
        <v>13</v>
      </c>
    </row>
    <row r="1219" spans="1:4" x14ac:dyDescent="0.25">
      <c r="A1219" s="201" t="s">
        <v>2094</v>
      </c>
      <c r="B1219" s="201" t="s">
        <v>2095</v>
      </c>
      <c r="C1219" s="201" t="s">
        <v>1922</v>
      </c>
      <c r="D1219" s="202">
        <v>44</v>
      </c>
    </row>
    <row r="1221" spans="1:4" ht="17.25" customHeight="1" x14ac:dyDescent="0.3">
      <c r="A1221" s="306" t="s">
        <v>2096</v>
      </c>
      <c r="B1221" s="254"/>
      <c r="C1221" s="254"/>
      <c r="D1221" s="307"/>
    </row>
    <row r="1222" spans="1:4" x14ac:dyDescent="0.25">
      <c r="A1222" s="209" t="s">
        <v>7</v>
      </c>
      <c r="B1222" s="142" t="s">
        <v>8</v>
      </c>
      <c r="C1222" s="209" t="s">
        <v>404</v>
      </c>
      <c r="D1222" s="274" t="s">
        <v>1691</v>
      </c>
    </row>
    <row r="1223" spans="1:4" x14ac:dyDescent="0.25">
      <c r="A1223" s="201" t="s">
        <v>2097</v>
      </c>
      <c r="B1223" s="201" t="s">
        <v>2098</v>
      </c>
      <c r="C1223" s="201" t="s">
        <v>1993</v>
      </c>
      <c r="D1223" s="202">
        <v>93</v>
      </c>
    </row>
    <row r="1224" spans="1:4" x14ac:dyDescent="0.25">
      <c r="A1224" s="203" t="s">
        <v>2099</v>
      </c>
      <c r="B1224" s="203" t="s">
        <v>2100</v>
      </c>
      <c r="C1224" s="203" t="s">
        <v>1993</v>
      </c>
      <c r="D1224" s="204">
        <v>132</v>
      </c>
    </row>
    <row r="1225" spans="1:4" x14ac:dyDescent="0.25">
      <c r="A1225" s="201" t="s">
        <v>2101</v>
      </c>
      <c r="B1225" s="201" t="s">
        <v>2102</v>
      </c>
      <c r="C1225" s="201" t="s">
        <v>1993</v>
      </c>
      <c r="D1225" s="202">
        <v>125</v>
      </c>
    </row>
    <row r="1226" spans="1:4" x14ac:dyDescent="0.25">
      <c r="D1226" s="205"/>
    </row>
    <row r="1227" spans="1:4" ht="17.25" customHeight="1" x14ac:dyDescent="0.3">
      <c r="A1227" s="306" t="s">
        <v>2103</v>
      </c>
      <c r="B1227" s="254"/>
      <c r="C1227" s="254"/>
      <c r="D1227" s="307"/>
    </row>
    <row r="1228" spans="1:4" x14ac:dyDescent="0.25">
      <c r="A1228" s="209" t="s">
        <v>7</v>
      </c>
      <c r="B1228" s="142" t="s">
        <v>8</v>
      </c>
      <c r="C1228" s="209" t="s">
        <v>404</v>
      </c>
      <c r="D1228" s="274" t="s">
        <v>1691</v>
      </c>
    </row>
    <row r="1229" spans="1:4" x14ac:dyDescent="0.25">
      <c r="A1229" s="201" t="s">
        <v>2104</v>
      </c>
      <c r="B1229" s="201" t="s">
        <v>2105</v>
      </c>
      <c r="C1229" s="201" t="s">
        <v>1922</v>
      </c>
      <c r="D1229" s="202">
        <v>24</v>
      </c>
    </row>
    <row r="1230" spans="1:4" x14ac:dyDescent="0.25">
      <c r="A1230" s="203" t="s">
        <v>2106</v>
      </c>
      <c r="B1230" s="203" t="s">
        <v>2107</v>
      </c>
      <c r="C1230" s="203" t="s">
        <v>1993</v>
      </c>
      <c r="D1230" s="204">
        <v>88</v>
      </c>
    </row>
    <row r="1231" spans="1:4" x14ac:dyDescent="0.25">
      <c r="D1231" s="205"/>
    </row>
    <row r="1232" spans="1:4" ht="17.25" customHeight="1" x14ac:dyDescent="0.3">
      <c r="A1232" s="306" t="s">
        <v>2108</v>
      </c>
      <c r="B1232" s="254"/>
      <c r="C1232" s="254"/>
      <c r="D1232" s="307"/>
    </row>
    <row r="1233" spans="1:4" x14ac:dyDescent="0.25">
      <c r="A1233" s="209" t="s">
        <v>7</v>
      </c>
      <c r="B1233" s="142" t="s">
        <v>8</v>
      </c>
      <c r="C1233" s="209" t="s">
        <v>404</v>
      </c>
      <c r="D1233" s="274" t="s">
        <v>1691</v>
      </c>
    </row>
    <row r="1234" spans="1:4" x14ac:dyDescent="0.25">
      <c r="A1234" s="201" t="s">
        <v>2109</v>
      </c>
      <c r="B1234" s="201" t="s">
        <v>2110</v>
      </c>
      <c r="C1234" s="201" t="s">
        <v>1922</v>
      </c>
      <c r="D1234" s="202">
        <v>43</v>
      </c>
    </row>
    <row r="1235" spans="1:4" x14ac:dyDescent="0.25">
      <c r="A1235" s="203" t="s">
        <v>2111</v>
      </c>
      <c r="B1235" s="203" t="s">
        <v>2112</v>
      </c>
      <c r="C1235" s="203" t="s">
        <v>1993</v>
      </c>
      <c r="D1235" s="204">
        <v>84</v>
      </c>
    </row>
    <row r="1236" spans="1:4" x14ac:dyDescent="0.25">
      <c r="A1236" s="201" t="s">
        <v>2113</v>
      </c>
      <c r="B1236" s="201" t="s">
        <v>2110</v>
      </c>
      <c r="C1236" s="201" t="s">
        <v>1993</v>
      </c>
      <c r="D1236" s="202">
        <v>84</v>
      </c>
    </row>
    <row r="1237" spans="1:4" x14ac:dyDescent="0.25">
      <c r="D1237" s="205"/>
    </row>
    <row r="1238" spans="1:4" ht="17.25" customHeight="1" x14ac:dyDescent="0.3">
      <c r="A1238" s="306" t="s">
        <v>2114</v>
      </c>
      <c r="B1238" s="254"/>
      <c r="C1238" s="254"/>
      <c r="D1238" s="307"/>
    </row>
    <row r="1239" spans="1:4" x14ac:dyDescent="0.25">
      <c r="A1239" s="209" t="s">
        <v>7</v>
      </c>
      <c r="B1239" s="142" t="s">
        <v>8</v>
      </c>
      <c r="C1239" s="209" t="s">
        <v>404</v>
      </c>
      <c r="D1239" s="274" t="s">
        <v>1691</v>
      </c>
    </row>
    <row r="1240" spans="1:4" x14ac:dyDescent="0.25">
      <c r="A1240" s="201" t="s">
        <v>2115</v>
      </c>
      <c r="B1240" s="201" t="s">
        <v>2116</v>
      </c>
      <c r="C1240" s="201" t="s">
        <v>1993</v>
      </c>
      <c r="D1240" s="202">
        <v>77</v>
      </c>
    </row>
    <row r="1241" spans="1:4" x14ac:dyDescent="0.25">
      <c r="A1241" s="203" t="s">
        <v>2117</v>
      </c>
      <c r="B1241" s="203" t="s">
        <v>2118</v>
      </c>
      <c r="C1241" s="203" t="s">
        <v>1993</v>
      </c>
      <c r="D1241" s="204">
        <v>87</v>
      </c>
    </row>
    <row r="1242" spans="1:4" x14ac:dyDescent="0.25">
      <c r="D1242" s="205"/>
    </row>
    <row r="1243" spans="1:4" ht="17.25" customHeight="1" x14ac:dyDescent="0.3">
      <c r="A1243" s="306" t="s">
        <v>2119</v>
      </c>
      <c r="B1243" s="254"/>
      <c r="C1243" s="254"/>
      <c r="D1243" s="307"/>
    </row>
    <row r="1244" spans="1:4" x14ac:dyDescent="0.25">
      <c r="A1244" s="209" t="s">
        <v>7</v>
      </c>
      <c r="B1244" s="142" t="s">
        <v>8</v>
      </c>
      <c r="C1244" s="209" t="s">
        <v>404</v>
      </c>
      <c r="D1244" s="274" t="s">
        <v>1691</v>
      </c>
    </row>
    <row r="1245" spans="1:4" x14ac:dyDescent="0.25">
      <c r="A1245" s="201" t="s">
        <v>2120</v>
      </c>
      <c r="B1245" s="201" t="s">
        <v>2121</v>
      </c>
      <c r="C1245" s="201" t="s">
        <v>1993</v>
      </c>
      <c r="D1245" s="202">
        <v>67</v>
      </c>
    </row>
    <row r="1246" spans="1:4" x14ac:dyDescent="0.25">
      <c r="A1246" s="203" t="s">
        <v>2122</v>
      </c>
      <c r="B1246" s="203" t="s">
        <v>2123</v>
      </c>
      <c r="C1246" s="203" t="s">
        <v>1993</v>
      </c>
      <c r="D1246" s="204">
        <v>64</v>
      </c>
    </row>
    <row r="1248" spans="1:4" ht="17.25" customHeight="1" x14ac:dyDescent="0.3">
      <c r="A1248" s="293" t="s">
        <v>2124</v>
      </c>
      <c r="B1248" s="254"/>
      <c r="C1248" s="319"/>
      <c r="D1248" s="319"/>
    </row>
    <row r="1249" spans="1:4" x14ac:dyDescent="0.25">
      <c r="C1249" s="169"/>
      <c r="D1249" s="169"/>
    </row>
    <row r="1250" spans="1:4" ht="17.25" customHeight="1" x14ac:dyDescent="0.3">
      <c r="A1250" s="254" t="s">
        <v>2125</v>
      </c>
      <c r="B1250" s="254"/>
      <c r="C1250" s="319"/>
      <c r="D1250" s="319"/>
    </row>
    <row r="1251" spans="1:4" x14ac:dyDescent="0.25">
      <c r="A1251" s="209" t="s">
        <v>7</v>
      </c>
      <c r="B1251" s="142" t="s">
        <v>8</v>
      </c>
      <c r="C1251" s="143" t="s">
        <v>404</v>
      </c>
      <c r="D1251" s="274" t="s">
        <v>1691</v>
      </c>
    </row>
    <row r="1252" spans="1:4" x14ac:dyDescent="0.25">
      <c r="A1252" s="128" t="s">
        <v>2126</v>
      </c>
      <c r="B1252" s="128" t="s">
        <v>2127</v>
      </c>
      <c r="C1252" s="129" t="s">
        <v>85</v>
      </c>
      <c r="D1252" s="129">
        <v>1500</v>
      </c>
    </row>
    <row r="1253" spans="1:4" x14ac:dyDescent="0.25">
      <c r="A1253" s="130" t="s">
        <v>2128</v>
      </c>
      <c r="B1253" s="130" t="s">
        <v>2129</v>
      </c>
      <c r="C1253" s="131" t="s">
        <v>85</v>
      </c>
      <c r="D1253" s="131">
        <v>1750</v>
      </c>
    </row>
    <row r="1254" spans="1:4" x14ac:dyDescent="0.25">
      <c r="A1254" s="128" t="s">
        <v>2130</v>
      </c>
      <c r="B1254" s="128" t="s">
        <v>2131</v>
      </c>
      <c r="C1254" s="129" t="s">
        <v>85</v>
      </c>
      <c r="D1254" s="129">
        <v>1900</v>
      </c>
    </row>
    <row r="1255" spans="1:4" x14ac:dyDescent="0.25">
      <c r="A1255" s="130" t="s">
        <v>2132</v>
      </c>
      <c r="B1255" s="130" t="s">
        <v>2133</v>
      </c>
      <c r="C1255" s="131" t="s">
        <v>85</v>
      </c>
      <c r="D1255" s="131">
        <v>950</v>
      </c>
    </row>
    <row r="1256" spans="1:4" x14ac:dyDescent="0.25">
      <c r="A1256" s="128" t="s">
        <v>2134</v>
      </c>
      <c r="B1256" s="128" t="s">
        <v>2135</v>
      </c>
      <c r="C1256" s="129" t="s">
        <v>85</v>
      </c>
      <c r="D1256" s="129">
        <v>3500</v>
      </c>
    </row>
    <row r="1257" spans="1:4" x14ac:dyDescent="0.25">
      <c r="A1257" s="130" t="s">
        <v>2136</v>
      </c>
      <c r="B1257" s="130" t="s">
        <v>2137</v>
      </c>
      <c r="C1257" s="131" t="s">
        <v>85</v>
      </c>
      <c r="D1257" s="131">
        <v>195</v>
      </c>
    </row>
    <row r="1258" spans="1:4" x14ac:dyDescent="0.25">
      <c r="A1258" s="128" t="s">
        <v>2138</v>
      </c>
      <c r="B1258" s="128" t="s">
        <v>2139</v>
      </c>
      <c r="C1258" s="129" t="s">
        <v>85</v>
      </c>
      <c r="D1258" s="129">
        <v>170</v>
      </c>
    </row>
    <row r="1259" spans="1:4" x14ac:dyDescent="0.25">
      <c r="A1259" s="130" t="s">
        <v>2140</v>
      </c>
      <c r="B1259" s="130" t="s">
        <v>2141</v>
      </c>
      <c r="C1259" s="131" t="s">
        <v>85</v>
      </c>
      <c r="D1259" s="131">
        <v>275</v>
      </c>
    </row>
    <row r="1260" spans="1:4" x14ac:dyDescent="0.25">
      <c r="A1260" s="128" t="s">
        <v>2142</v>
      </c>
      <c r="B1260" s="128" t="s">
        <v>2143</v>
      </c>
      <c r="C1260" s="129" t="s">
        <v>2144</v>
      </c>
      <c r="D1260" s="129">
        <v>450</v>
      </c>
    </row>
    <row r="1261" spans="1:4" x14ac:dyDescent="0.25">
      <c r="C1261" s="169"/>
      <c r="D1261" s="169"/>
    </row>
    <row r="1262" spans="1:4" ht="17.25" customHeight="1" x14ac:dyDescent="0.3">
      <c r="A1262" s="293" t="s">
        <v>2145</v>
      </c>
      <c r="B1262" s="254"/>
      <c r="C1262" s="319"/>
      <c r="D1262" s="319"/>
    </row>
    <row r="1263" spans="1:4" x14ac:dyDescent="0.25">
      <c r="A1263" s="209" t="s">
        <v>7</v>
      </c>
      <c r="B1263" s="142" t="s">
        <v>8</v>
      </c>
      <c r="C1263" s="143" t="s">
        <v>404</v>
      </c>
      <c r="D1263" s="274" t="s">
        <v>1691</v>
      </c>
    </row>
    <row r="1264" spans="1:4" x14ac:dyDescent="0.25">
      <c r="A1264" s="128" t="s">
        <v>2146</v>
      </c>
      <c r="B1264" s="128" t="s">
        <v>2147</v>
      </c>
      <c r="C1264" s="129">
        <v>0.75</v>
      </c>
      <c r="D1264" s="129">
        <v>0.85</v>
      </c>
    </row>
    <row r="1265" spans="1:4" x14ac:dyDescent="0.25">
      <c r="A1265" s="130" t="s">
        <v>2148</v>
      </c>
      <c r="B1265" s="130" t="s">
        <v>2149</v>
      </c>
      <c r="C1265" s="131">
        <v>0.9</v>
      </c>
      <c r="D1265" s="131">
        <v>1.5</v>
      </c>
    </row>
    <row r="1266" spans="1:4" x14ac:dyDescent="0.25">
      <c r="A1266" s="128" t="s">
        <v>2150</v>
      </c>
      <c r="B1266" s="128" t="s">
        <v>2129</v>
      </c>
      <c r="C1266" s="129">
        <v>1.95</v>
      </c>
      <c r="D1266" s="129">
        <v>2.1</v>
      </c>
    </row>
    <row r="1267" spans="1:4" x14ac:dyDescent="0.25">
      <c r="A1267" s="130" t="s">
        <v>2151</v>
      </c>
      <c r="B1267" s="130" t="s">
        <v>2131</v>
      </c>
      <c r="C1267" s="131">
        <v>2.5</v>
      </c>
      <c r="D1267" s="131">
        <v>3</v>
      </c>
    </row>
    <row r="1268" spans="1:4" x14ac:dyDescent="0.25">
      <c r="C1268" s="169"/>
      <c r="D1268" s="169"/>
    </row>
    <row r="1269" spans="1:4" ht="17.25" customHeight="1" x14ac:dyDescent="0.3">
      <c r="A1269" s="293" t="s">
        <v>2152</v>
      </c>
      <c r="B1269" s="254"/>
      <c r="C1269" s="319"/>
      <c r="D1269" s="319"/>
    </row>
    <row r="1270" spans="1:4" x14ac:dyDescent="0.25">
      <c r="A1270" s="209" t="s">
        <v>7</v>
      </c>
      <c r="B1270" s="142" t="s">
        <v>8</v>
      </c>
      <c r="C1270" s="143" t="s">
        <v>404</v>
      </c>
      <c r="D1270" s="274" t="s">
        <v>1691</v>
      </c>
    </row>
    <row r="1271" spans="1:4" x14ac:dyDescent="0.25">
      <c r="A1271" s="128" t="s">
        <v>2153</v>
      </c>
      <c r="B1271" s="128" t="s">
        <v>2154</v>
      </c>
      <c r="C1271" s="129" t="s">
        <v>85</v>
      </c>
      <c r="D1271" s="129">
        <v>950</v>
      </c>
    </row>
    <row r="1272" spans="1:4" x14ac:dyDescent="0.25">
      <c r="A1272" s="130" t="s">
        <v>2155</v>
      </c>
      <c r="B1272" s="130" t="s">
        <v>2156</v>
      </c>
      <c r="C1272" s="131" t="s">
        <v>85</v>
      </c>
      <c r="D1272" s="131">
        <v>1200</v>
      </c>
    </row>
    <row r="1273" spans="1:4" x14ac:dyDescent="0.25">
      <c r="A1273" s="128" t="s">
        <v>2157</v>
      </c>
      <c r="B1273" s="128" t="s">
        <v>2158</v>
      </c>
      <c r="C1273" s="129" t="s">
        <v>85</v>
      </c>
      <c r="D1273" s="129">
        <v>850</v>
      </c>
    </row>
    <row r="1274" spans="1:4" x14ac:dyDescent="0.25">
      <c r="A1274" s="130" t="s">
        <v>2159</v>
      </c>
      <c r="B1274" s="130" t="s">
        <v>2160</v>
      </c>
      <c r="C1274" s="131" t="s">
        <v>85</v>
      </c>
      <c r="D1274" s="131">
        <v>1100</v>
      </c>
    </row>
    <row r="1275" spans="1:4" x14ac:dyDescent="0.25">
      <c r="C1275" s="169"/>
      <c r="D1275" s="169"/>
    </row>
    <row r="1276" spans="1:4" ht="17.25" customHeight="1" x14ac:dyDescent="0.3">
      <c r="A1276" s="293" t="s">
        <v>2161</v>
      </c>
      <c r="B1276" s="254"/>
      <c r="C1276" s="319"/>
      <c r="D1276" s="319"/>
    </row>
    <row r="1277" spans="1:4" x14ac:dyDescent="0.25">
      <c r="A1277" s="209" t="s">
        <v>7</v>
      </c>
      <c r="B1277" s="209" t="s">
        <v>8</v>
      </c>
      <c r="C1277" s="143" t="s">
        <v>404</v>
      </c>
      <c r="D1277" s="274" t="s">
        <v>1691</v>
      </c>
    </row>
    <row r="1278" spans="1:4" x14ac:dyDescent="0.25">
      <c r="A1278" s="128" t="s">
        <v>2162</v>
      </c>
      <c r="B1278" s="128" t="s">
        <v>2163</v>
      </c>
      <c r="C1278" s="129" t="s">
        <v>85</v>
      </c>
      <c r="D1278" s="129">
        <v>3500</v>
      </c>
    </row>
    <row r="1279" spans="1:4" x14ac:dyDescent="0.25">
      <c r="A1279" s="130" t="s">
        <v>2164</v>
      </c>
      <c r="B1279" s="130" t="s">
        <v>2165</v>
      </c>
      <c r="C1279" s="131" t="s">
        <v>85</v>
      </c>
      <c r="D1279" s="131">
        <v>3000</v>
      </c>
    </row>
    <row r="1280" spans="1:4" x14ac:dyDescent="0.25">
      <c r="C1280" s="169"/>
      <c r="D1280" s="169"/>
    </row>
    <row r="1281" spans="1:6" ht="17.25" customHeight="1" x14ac:dyDescent="0.3">
      <c r="A1281" s="293" t="s">
        <v>2166</v>
      </c>
      <c r="B1281" s="254"/>
      <c r="C1281" s="319"/>
      <c r="D1281" s="169"/>
    </row>
    <row r="1282" spans="1:6" x14ac:dyDescent="0.25">
      <c r="A1282" s="209" t="s">
        <v>7</v>
      </c>
      <c r="B1282" s="142" t="s">
        <v>8</v>
      </c>
      <c r="C1282" s="143" t="s">
        <v>1691</v>
      </c>
      <c r="D1282" s="169"/>
    </row>
    <row r="1283" spans="1:6" x14ac:dyDescent="0.25">
      <c r="A1283" s="128" t="s">
        <v>2167</v>
      </c>
      <c r="B1283" s="135" t="s">
        <v>2168</v>
      </c>
      <c r="C1283" s="129">
        <v>1500</v>
      </c>
      <c r="D1283" s="169"/>
    </row>
    <row r="1284" spans="1:6" ht="25.5" customHeight="1" x14ac:dyDescent="0.25">
      <c r="A1284" s="130" t="s">
        <v>2169</v>
      </c>
      <c r="B1284" s="132" t="s">
        <v>2170</v>
      </c>
      <c r="C1284" s="131">
        <v>9750</v>
      </c>
      <c r="D1284" s="169"/>
    </row>
    <row r="1286" spans="1:6" ht="17.25" customHeight="1" x14ac:dyDescent="0.25">
      <c r="A1286" s="534" t="s">
        <v>2171</v>
      </c>
      <c r="B1286" s="485"/>
      <c r="C1286" s="307"/>
      <c r="D1286" s="307"/>
      <c r="E1286" s="307"/>
      <c r="F1286" s="307"/>
    </row>
    <row r="1287" spans="1:6" x14ac:dyDescent="0.25">
      <c r="A1287" s="516" t="s">
        <v>7</v>
      </c>
      <c r="B1287" s="516" t="s">
        <v>8</v>
      </c>
      <c r="C1287" s="517" t="s">
        <v>2172</v>
      </c>
      <c r="D1287" s="483"/>
      <c r="E1287" s="483"/>
      <c r="F1287" s="488"/>
    </row>
    <row r="1288" spans="1:6" x14ac:dyDescent="0.25">
      <c r="A1288" s="480"/>
      <c r="B1288" s="480"/>
      <c r="C1288" s="274" t="s">
        <v>573</v>
      </c>
      <c r="D1288" s="274" t="s">
        <v>571</v>
      </c>
      <c r="E1288" s="274" t="s">
        <v>2173</v>
      </c>
      <c r="F1288" s="274" t="s">
        <v>567</v>
      </c>
    </row>
    <row r="1289" spans="1:6" x14ac:dyDescent="0.25">
      <c r="A1289" s="201" t="s">
        <v>2174</v>
      </c>
      <c r="B1289" s="201" t="s">
        <v>2175</v>
      </c>
      <c r="C1289" s="202">
        <v>4100</v>
      </c>
      <c r="D1289" s="202">
        <v>3250</v>
      </c>
      <c r="E1289" s="202">
        <v>2750</v>
      </c>
      <c r="F1289" s="202">
        <v>2710</v>
      </c>
    </row>
    <row r="1290" spans="1:6" x14ac:dyDescent="0.25">
      <c r="A1290" s="203" t="s">
        <v>2176</v>
      </c>
      <c r="B1290" s="203" t="s">
        <v>2177</v>
      </c>
      <c r="C1290" s="204">
        <v>3900</v>
      </c>
      <c r="D1290" s="204">
        <v>3600</v>
      </c>
      <c r="E1290" s="204">
        <v>3250</v>
      </c>
      <c r="F1290" s="204">
        <v>3200</v>
      </c>
    </row>
    <row r="1292" spans="1:6" ht="17.25" customHeight="1" x14ac:dyDescent="0.3">
      <c r="A1292" s="306" t="s">
        <v>2178</v>
      </c>
      <c r="B1292" s="254"/>
      <c r="C1292" s="307"/>
      <c r="D1292" s="254"/>
    </row>
    <row r="1293" spans="1:6" x14ac:dyDescent="0.25">
      <c r="C1293" s="205"/>
    </row>
    <row r="1294" spans="1:6" ht="17.25" customHeight="1" x14ac:dyDescent="0.3">
      <c r="A1294" s="306" t="s">
        <v>2179</v>
      </c>
      <c r="B1294" s="254"/>
      <c r="C1294" s="307"/>
    </row>
    <row r="1295" spans="1:6" x14ac:dyDescent="0.25">
      <c r="A1295" s="209" t="s">
        <v>7</v>
      </c>
      <c r="B1295" s="142" t="s">
        <v>8</v>
      </c>
      <c r="C1295" s="274" t="s">
        <v>1691</v>
      </c>
    </row>
    <row r="1296" spans="1:6" x14ac:dyDescent="0.25">
      <c r="A1296" s="201" t="s">
        <v>2180</v>
      </c>
      <c r="B1296" s="201" t="s">
        <v>2181</v>
      </c>
      <c r="C1296" s="202">
        <v>4400</v>
      </c>
    </row>
    <row r="1297" spans="1:3" x14ac:dyDescent="0.25">
      <c r="A1297" s="203" t="s">
        <v>2182</v>
      </c>
      <c r="B1297" s="203" t="s">
        <v>2183</v>
      </c>
      <c r="C1297" s="204">
        <v>4750</v>
      </c>
    </row>
    <row r="1298" spans="1:3" x14ac:dyDescent="0.25">
      <c r="A1298" s="201" t="s">
        <v>2184</v>
      </c>
      <c r="B1298" s="201" t="s">
        <v>2185</v>
      </c>
      <c r="C1298" s="202">
        <v>5800</v>
      </c>
    </row>
    <row r="1299" spans="1:3" x14ac:dyDescent="0.25">
      <c r="A1299" s="203" t="s">
        <v>2186</v>
      </c>
      <c r="B1299" s="203" t="s">
        <v>2187</v>
      </c>
      <c r="C1299" s="204">
        <v>7500</v>
      </c>
    </row>
    <row r="1300" spans="1:3" x14ac:dyDescent="0.25">
      <c r="A1300" s="201" t="s">
        <v>2188</v>
      </c>
      <c r="B1300" s="201" t="s">
        <v>2189</v>
      </c>
      <c r="C1300" s="202">
        <v>8500</v>
      </c>
    </row>
    <row r="1301" spans="1:3" x14ac:dyDescent="0.25">
      <c r="A1301" s="203" t="s">
        <v>2190</v>
      </c>
      <c r="B1301" s="203" t="s">
        <v>2191</v>
      </c>
      <c r="C1301" s="204">
        <v>8500</v>
      </c>
    </row>
    <row r="1302" spans="1:3" x14ac:dyDescent="0.25">
      <c r="A1302" s="201" t="s">
        <v>2192</v>
      </c>
      <c r="B1302" s="201" t="s">
        <v>2193</v>
      </c>
      <c r="C1302" s="202">
        <v>9500</v>
      </c>
    </row>
    <row r="1303" spans="1:3" x14ac:dyDescent="0.25">
      <c r="A1303" s="203" t="s">
        <v>2194</v>
      </c>
      <c r="B1303" s="203" t="s">
        <v>2195</v>
      </c>
      <c r="C1303" s="204">
        <v>9750</v>
      </c>
    </row>
    <row r="1304" spans="1:3" x14ac:dyDescent="0.25">
      <c r="C1304" s="205"/>
    </row>
    <row r="1305" spans="1:3" ht="17.25" customHeight="1" x14ac:dyDescent="0.3">
      <c r="A1305" s="306" t="s">
        <v>2196</v>
      </c>
      <c r="B1305" s="254"/>
      <c r="C1305" s="307"/>
    </row>
    <row r="1306" spans="1:3" x14ac:dyDescent="0.25">
      <c r="A1306" s="209" t="s">
        <v>7</v>
      </c>
      <c r="B1306" s="142" t="s">
        <v>8</v>
      </c>
      <c r="C1306" s="274" t="s">
        <v>1691</v>
      </c>
    </row>
    <row r="1307" spans="1:3" x14ac:dyDescent="0.25">
      <c r="A1307" s="201" t="s">
        <v>2197</v>
      </c>
      <c r="B1307" s="201" t="s">
        <v>2198</v>
      </c>
      <c r="C1307" s="202">
        <v>5400</v>
      </c>
    </row>
    <row r="1308" spans="1:3" x14ac:dyDescent="0.25">
      <c r="A1308" s="203" t="s">
        <v>2199</v>
      </c>
      <c r="B1308" s="203" t="s">
        <v>2200</v>
      </c>
      <c r="C1308" s="204">
        <v>5600</v>
      </c>
    </row>
    <row r="1309" spans="1:3" x14ac:dyDescent="0.25">
      <c r="A1309" s="201" t="s">
        <v>2201</v>
      </c>
      <c r="B1309" s="201" t="s">
        <v>2202</v>
      </c>
      <c r="C1309" s="202">
        <v>5670</v>
      </c>
    </row>
    <row r="1310" spans="1:3" x14ac:dyDescent="0.25">
      <c r="A1310" s="203" t="s">
        <v>2203</v>
      </c>
      <c r="B1310" s="203" t="s">
        <v>2204</v>
      </c>
      <c r="C1310" s="204">
        <v>6650</v>
      </c>
    </row>
    <row r="1311" spans="1:3" x14ac:dyDescent="0.25">
      <c r="A1311" s="201" t="s">
        <v>2205</v>
      </c>
      <c r="B1311" s="201" t="s">
        <v>2206</v>
      </c>
      <c r="C1311" s="202">
        <v>6800</v>
      </c>
    </row>
    <row r="1312" spans="1:3" x14ac:dyDescent="0.25">
      <c r="A1312" s="203" t="s">
        <v>2207</v>
      </c>
      <c r="B1312" s="203" t="s">
        <v>2208</v>
      </c>
      <c r="C1312" s="204">
        <v>7900</v>
      </c>
    </row>
    <row r="1313" spans="1:3" x14ac:dyDescent="0.25">
      <c r="A1313" s="201" t="s">
        <v>2209</v>
      </c>
      <c r="B1313" s="201" t="s">
        <v>2210</v>
      </c>
      <c r="C1313" s="202">
        <v>7900</v>
      </c>
    </row>
    <row r="1314" spans="1:3" x14ac:dyDescent="0.25">
      <c r="A1314" s="203" t="s">
        <v>2211</v>
      </c>
      <c r="B1314" s="203" t="s">
        <v>2212</v>
      </c>
      <c r="C1314" s="204">
        <v>7900</v>
      </c>
    </row>
    <row r="1315" spans="1:3" x14ac:dyDescent="0.25">
      <c r="A1315" s="201" t="s">
        <v>2213</v>
      </c>
      <c r="B1315" s="201" t="s">
        <v>2214</v>
      </c>
      <c r="C1315" s="202">
        <v>9500</v>
      </c>
    </row>
    <row r="1316" spans="1:3" x14ac:dyDescent="0.25">
      <c r="A1316" s="203" t="s">
        <v>2215</v>
      </c>
      <c r="B1316" s="203" t="s">
        <v>2216</v>
      </c>
      <c r="C1316" s="204">
        <v>9500</v>
      </c>
    </row>
    <row r="1317" spans="1:3" x14ac:dyDescent="0.25">
      <c r="C1317" s="205"/>
    </row>
    <row r="1318" spans="1:3" ht="17.25" customHeight="1" x14ac:dyDescent="0.3">
      <c r="A1318" s="254" t="s">
        <v>2217</v>
      </c>
      <c r="B1318" s="254"/>
      <c r="C1318" s="273"/>
    </row>
    <row r="1319" spans="1:3" x14ac:dyDescent="0.25">
      <c r="A1319" s="209" t="s">
        <v>7</v>
      </c>
      <c r="B1319" s="142" t="s">
        <v>8</v>
      </c>
      <c r="C1319" s="274" t="s">
        <v>1691</v>
      </c>
    </row>
    <row r="1320" spans="1:3" x14ac:dyDescent="0.25">
      <c r="A1320" s="268" t="s">
        <v>2218</v>
      </c>
      <c r="B1320" s="268" t="s">
        <v>2219</v>
      </c>
      <c r="C1320" s="269">
        <v>8850</v>
      </c>
    </row>
    <row r="1321" spans="1:3" x14ac:dyDescent="0.25">
      <c r="A1321" s="270" t="s">
        <v>2220</v>
      </c>
      <c r="B1321" s="270" t="s">
        <v>2221</v>
      </c>
      <c r="C1321" s="271">
        <v>8850</v>
      </c>
    </row>
    <row r="1322" spans="1:3" x14ac:dyDescent="0.25">
      <c r="A1322" s="268" t="s">
        <v>2222</v>
      </c>
      <c r="B1322" s="268" t="s">
        <v>2223</v>
      </c>
      <c r="C1322" s="269">
        <v>9700</v>
      </c>
    </row>
    <row r="1323" spans="1:3" x14ac:dyDescent="0.25">
      <c r="A1323" s="270" t="s">
        <v>2224</v>
      </c>
      <c r="B1323" s="270" t="s">
        <v>2225</v>
      </c>
      <c r="C1323" s="271">
        <v>9700</v>
      </c>
    </row>
    <row r="1324" spans="1:3" x14ac:dyDescent="0.25">
      <c r="C1324" s="205"/>
    </row>
    <row r="1325" spans="1:3" ht="17.25" customHeight="1" x14ac:dyDescent="0.3">
      <c r="A1325" s="254" t="s">
        <v>2226</v>
      </c>
      <c r="B1325" s="254"/>
      <c r="C1325" s="273"/>
    </row>
    <row r="1326" spans="1:3" x14ac:dyDescent="0.25">
      <c r="A1326" s="209" t="s">
        <v>7</v>
      </c>
      <c r="B1326" s="142" t="s">
        <v>8</v>
      </c>
      <c r="C1326" s="274" t="s">
        <v>1691</v>
      </c>
    </row>
    <row r="1327" spans="1:3" x14ac:dyDescent="0.25">
      <c r="A1327" s="268" t="s">
        <v>2227</v>
      </c>
      <c r="B1327" s="268" t="s">
        <v>2228</v>
      </c>
      <c r="C1327" s="269">
        <v>5800</v>
      </c>
    </row>
    <row r="1328" spans="1:3" x14ac:dyDescent="0.25">
      <c r="A1328" s="270" t="s">
        <v>2229</v>
      </c>
      <c r="B1328" s="270" t="s">
        <v>2202</v>
      </c>
      <c r="C1328" s="271">
        <v>5970</v>
      </c>
    </row>
    <row r="1329" spans="1:3" x14ac:dyDescent="0.25">
      <c r="A1329" s="268" t="s">
        <v>2230</v>
      </c>
      <c r="B1329" s="268" t="s">
        <v>2231</v>
      </c>
      <c r="C1329" s="269">
        <v>7950</v>
      </c>
    </row>
    <row r="1330" spans="1:3" x14ac:dyDescent="0.25">
      <c r="A1330" s="270" t="s">
        <v>2232</v>
      </c>
      <c r="B1330" s="270" t="s">
        <v>2206</v>
      </c>
      <c r="C1330" s="271">
        <v>7950</v>
      </c>
    </row>
    <row r="1331" spans="1:3" x14ac:dyDescent="0.25">
      <c r="A1331" s="268" t="s">
        <v>2233</v>
      </c>
      <c r="B1331" s="268" t="s">
        <v>2234</v>
      </c>
      <c r="C1331" s="269">
        <v>9800</v>
      </c>
    </row>
    <row r="1332" spans="1:3" x14ac:dyDescent="0.25">
      <c r="A1332" s="270" t="s">
        <v>2235</v>
      </c>
      <c r="B1332" s="270" t="s">
        <v>2210</v>
      </c>
      <c r="C1332" s="271">
        <v>9800</v>
      </c>
    </row>
    <row r="1333" spans="1:3" x14ac:dyDescent="0.25">
      <c r="A1333" s="268" t="s">
        <v>2236</v>
      </c>
      <c r="B1333" s="268" t="s">
        <v>2212</v>
      </c>
      <c r="C1333" s="269">
        <v>9950</v>
      </c>
    </row>
    <row r="1334" spans="1:3" x14ac:dyDescent="0.25">
      <c r="A1334" s="270" t="s">
        <v>2237</v>
      </c>
      <c r="B1334" s="270" t="s">
        <v>2193</v>
      </c>
      <c r="C1334" s="271">
        <v>10780</v>
      </c>
    </row>
    <row r="1335" spans="1:3" x14ac:dyDescent="0.25">
      <c r="A1335" s="268" t="s">
        <v>2238</v>
      </c>
      <c r="B1335" s="268" t="s">
        <v>2239</v>
      </c>
      <c r="C1335" s="269">
        <v>10780</v>
      </c>
    </row>
    <row r="1337" spans="1:3" ht="17.25" customHeight="1" x14ac:dyDescent="0.3">
      <c r="A1337" s="306" t="s">
        <v>2240</v>
      </c>
      <c r="B1337" s="254"/>
      <c r="C1337" s="307"/>
    </row>
    <row r="1338" spans="1:3" x14ac:dyDescent="0.25">
      <c r="A1338" s="209" t="s">
        <v>7</v>
      </c>
      <c r="B1338" s="209" t="s">
        <v>8</v>
      </c>
      <c r="C1338" s="274" t="s">
        <v>1691</v>
      </c>
    </row>
    <row r="1339" spans="1:3" x14ac:dyDescent="0.25">
      <c r="A1339" s="201" t="s">
        <v>2241</v>
      </c>
      <c r="B1339" s="201" t="s">
        <v>2216</v>
      </c>
      <c r="C1339" s="202">
        <v>10900</v>
      </c>
    </row>
    <row r="1340" spans="1:3" x14ac:dyDescent="0.25">
      <c r="C1340" s="205"/>
    </row>
    <row r="1341" spans="1:3" ht="17.25" customHeight="1" x14ac:dyDescent="0.3">
      <c r="A1341" s="306" t="s">
        <v>2242</v>
      </c>
      <c r="B1341" s="254"/>
      <c r="C1341" s="307"/>
    </row>
    <row r="1342" spans="1:3" x14ac:dyDescent="0.25">
      <c r="A1342" s="209" t="s">
        <v>7</v>
      </c>
      <c r="B1342" s="209" t="s">
        <v>8</v>
      </c>
      <c r="C1342" s="274" t="s">
        <v>1691</v>
      </c>
    </row>
    <row r="1343" spans="1:3" x14ac:dyDescent="0.25">
      <c r="A1343" s="201" t="s">
        <v>2243</v>
      </c>
      <c r="B1343" s="201" t="s">
        <v>2244</v>
      </c>
      <c r="C1343" s="202">
        <v>975</v>
      </c>
    </row>
    <row r="1344" spans="1:3" x14ac:dyDescent="0.25">
      <c r="A1344" s="203" t="s">
        <v>2245</v>
      </c>
      <c r="B1344" s="203" t="s">
        <v>2246</v>
      </c>
      <c r="C1344" s="204">
        <v>1150</v>
      </c>
    </row>
    <row r="1345" spans="1:3" x14ac:dyDescent="0.25">
      <c r="A1345" s="201" t="s">
        <v>2247</v>
      </c>
      <c r="B1345" s="201" t="s">
        <v>2248</v>
      </c>
      <c r="C1345" s="202">
        <v>1350</v>
      </c>
    </row>
    <row r="1346" spans="1:3" x14ac:dyDescent="0.25">
      <c r="A1346" s="203" t="s">
        <v>2249</v>
      </c>
      <c r="B1346" s="203" t="s">
        <v>2250</v>
      </c>
      <c r="C1346" s="204">
        <v>500</v>
      </c>
    </row>
    <row r="1347" spans="1:3" x14ac:dyDescent="0.25">
      <c r="A1347" s="201" t="s">
        <v>2251</v>
      </c>
      <c r="B1347" s="201" t="s">
        <v>2252</v>
      </c>
      <c r="C1347" s="202">
        <v>150</v>
      </c>
    </row>
    <row r="1348" spans="1:3" x14ac:dyDescent="0.25">
      <c r="A1348" s="203" t="s">
        <v>2253</v>
      </c>
      <c r="B1348" s="203" t="s">
        <v>2254</v>
      </c>
      <c r="C1348" s="204">
        <v>195</v>
      </c>
    </row>
    <row r="1349" spans="1:3" x14ac:dyDescent="0.25">
      <c r="A1349" s="201" t="s">
        <v>2255</v>
      </c>
      <c r="B1349" s="201" t="s">
        <v>2256</v>
      </c>
      <c r="C1349" s="202">
        <v>185</v>
      </c>
    </row>
    <row r="1350" spans="1:3" x14ac:dyDescent="0.25">
      <c r="A1350" s="203" t="s">
        <v>2257</v>
      </c>
      <c r="B1350" s="203" t="s">
        <v>2258</v>
      </c>
      <c r="C1350" s="204">
        <v>185</v>
      </c>
    </row>
    <row r="1351" spans="1:3" x14ac:dyDescent="0.25">
      <c r="A1351" s="201" t="s">
        <v>2259</v>
      </c>
      <c r="B1351" s="201" t="s">
        <v>2260</v>
      </c>
      <c r="C1351" s="202">
        <v>170</v>
      </c>
    </row>
    <row r="1352" spans="1:3" x14ac:dyDescent="0.25">
      <c r="A1352" s="203" t="s">
        <v>2261</v>
      </c>
      <c r="B1352" s="203" t="s">
        <v>2262</v>
      </c>
      <c r="C1352" s="204">
        <v>165</v>
      </c>
    </row>
    <row r="1353" spans="1:3" x14ac:dyDescent="0.25">
      <c r="A1353" s="201" t="s">
        <v>2263</v>
      </c>
      <c r="B1353" s="201" t="s">
        <v>2264</v>
      </c>
      <c r="C1353" s="202">
        <v>155</v>
      </c>
    </row>
    <row r="1354" spans="1:3" x14ac:dyDescent="0.25">
      <c r="A1354" s="203" t="s">
        <v>2265</v>
      </c>
      <c r="B1354" s="203" t="s">
        <v>2266</v>
      </c>
      <c r="C1354" s="204">
        <v>155</v>
      </c>
    </row>
    <row r="1355" spans="1:3" x14ac:dyDescent="0.25">
      <c r="A1355" s="201" t="s">
        <v>2267</v>
      </c>
      <c r="B1355" s="201" t="s">
        <v>2268</v>
      </c>
      <c r="C1355" s="202">
        <v>150</v>
      </c>
    </row>
    <row r="1356" spans="1:3" x14ac:dyDescent="0.25">
      <c r="A1356" s="203" t="s">
        <v>2269</v>
      </c>
      <c r="B1356" s="203" t="s">
        <v>2270</v>
      </c>
      <c r="C1356" s="204">
        <v>150</v>
      </c>
    </row>
    <row r="1357" spans="1:3" x14ac:dyDescent="0.25">
      <c r="C1357" s="205"/>
    </row>
    <row r="1358" spans="1:3" ht="17.25" customHeight="1" x14ac:dyDescent="0.3">
      <c r="A1358" s="306" t="s">
        <v>2271</v>
      </c>
      <c r="B1358" s="254"/>
      <c r="C1358" s="307"/>
    </row>
    <row r="1359" spans="1:3" x14ac:dyDescent="0.25">
      <c r="A1359" s="209" t="s">
        <v>7</v>
      </c>
      <c r="B1359" s="142" t="s">
        <v>8</v>
      </c>
      <c r="C1359" s="274" t="s">
        <v>1691</v>
      </c>
    </row>
    <row r="1360" spans="1:3" x14ac:dyDescent="0.25">
      <c r="A1360" s="201" t="s">
        <v>2272</v>
      </c>
      <c r="B1360" s="201" t="s">
        <v>2273</v>
      </c>
      <c r="C1360" s="202">
        <v>175</v>
      </c>
    </row>
    <row r="1361" spans="1:3" x14ac:dyDescent="0.25">
      <c r="A1361" s="203" t="s">
        <v>2274</v>
      </c>
      <c r="B1361" s="203" t="s">
        <v>2275</v>
      </c>
      <c r="C1361" s="204">
        <v>165</v>
      </c>
    </row>
    <row r="1362" spans="1:3" x14ac:dyDescent="0.25">
      <c r="A1362" s="201" t="s">
        <v>2276</v>
      </c>
      <c r="B1362" s="201" t="s">
        <v>2277</v>
      </c>
      <c r="C1362" s="202">
        <v>125</v>
      </c>
    </row>
    <row r="1363" spans="1:3" x14ac:dyDescent="0.25">
      <c r="A1363" s="203" t="s">
        <v>2278</v>
      </c>
      <c r="B1363" s="203" t="s">
        <v>2279</v>
      </c>
      <c r="C1363" s="204">
        <v>99</v>
      </c>
    </row>
    <row r="1364" spans="1:3" x14ac:dyDescent="0.25">
      <c r="C1364" s="205"/>
    </row>
    <row r="1365" spans="1:3" ht="17.25" customHeight="1" x14ac:dyDescent="0.3">
      <c r="A1365" s="254" t="s">
        <v>2280</v>
      </c>
      <c r="B1365" s="254"/>
      <c r="C1365" s="273"/>
    </row>
    <row r="1366" spans="1:3" x14ac:dyDescent="0.25">
      <c r="A1366" s="209" t="s">
        <v>7</v>
      </c>
      <c r="B1366" s="142" t="s">
        <v>8</v>
      </c>
      <c r="C1366" s="274" t="s">
        <v>1691</v>
      </c>
    </row>
    <row r="1367" spans="1:3" x14ac:dyDescent="0.25">
      <c r="A1367" s="268" t="s">
        <v>2281</v>
      </c>
      <c r="B1367" s="268" t="s">
        <v>2282</v>
      </c>
      <c r="C1367" s="269">
        <v>125</v>
      </c>
    </row>
    <row r="1368" spans="1:3" x14ac:dyDescent="0.25">
      <c r="A1368" s="270" t="s">
        <v>2283</v>
      </c>
      <c r="B1368" s="270" t="s">
        <v>2284</v>
      </c>
      <c r="C1368" s="271">
        <v>100</v>
      </c>
    </row>
    <row r="1369" spans="1:3" x14ac:dyDescent="0.25">
      <c r="A1369" s="268" t="s">
        <v>2285</v>
      </c>
      <c r="B1369" s="268" t="s">
        <v>2286</v>
      </c>
      <c r="C1369" s="269">
        <v>100</v>
      </c>
    </row>
    <row r="1370" spans="1:3" x14ac:dyDescent="0.25">
      <c r="A1370" s="270" t="s">
        <v>2287</v>
      </c>
      <c r="B1370" s="270" t="s">
        <v>2288</v>
      </c>
      <c r="C1370" s="271">
        <v>95</v>
      </c>
    </row>
    <row r="1371" spans="1:3" x14ac:dyDescent="0.25">
      <c r="A1371" s="268" t="s">
        <v>2289</v>
      </c>
      <c r="B1371" s="268" t="s">
        <v>2290</v>
      </c>
      <c r="C1371" s="269">
        <v>87</v>
      </c>
    </row>
    <row r="1372" spans="1:3" x14ac:dyDescent="0.25">
      <c r="A1372" s="270" t="s">
        <v>2291</v>
      </c>
      <c r="B1372" s="270" t="s">
        <v>2292</v>
      </c>
      <c r="C1372" s="271">
        <v>68</v>
      </c>
    </row>
    <row r="1373" spans="1:3" x14ac:dyDescent="0.25">
      <c r="A1373" s="268" t="s">
        <v>2293</v>
      </c>
      <c r="B1373" s="268" t="s">
        <v>2294</v>
      </c>
      <c r="C1373" s="269">
        <v>60</v>
      </c>
    </row>
    <row r="1374" spans="1:3" x14ac:dyDescent="0.25">
      <c r="A1374" s="270" t="s">
        <v>2295</v>
      </c>
      <c r="B1374" s="270" t="s">
        <v>2296</v>
      </c>
      <c r="C1374" s="271">
        <v>60</v>
      </c>
    </row>
    <row r="1375" spans="1:3" x14ac:dyDescent="0.25">
      <c r="C1375" s="205"/>
    </row>
    <row r="1376" spans="1:3" ht="17.25" customHeight="1" x14ac:dyDescent="0.3">
      <c r="A1376" s="254" t="s">
        <v>2297</v>
      </c>
      <c r="B1376" s="254"/>
      <c r="C1376" s="273"/>
    </row>
    <row r="1377" spans="1:3" x14ac:dyDescent="0.25">
      <c r="A1377" s="209" t="s">
        <v>7</v>
      </c>
      <c r="B1377" s="142" t="s">
        <v>8</v>
      </c>
      <c r="C1377" s="274" t="s">
        <v>1691</v>
      </c>
    </row>
    <row r="1378" spans="1:3" x14ac:dyDescent="0.25">
      <c r="A1378" s="268" t="s">
        <v>2298</v>
      </c>
      <c r="B1378" s="268" t="s">
        <v>2299</v>
      </c>
      <c r="C1378" s="269">
        <v>175</v>
      </c>
    </row>
    <row r="1379" spans="1:3" x14ac:dyDescent="0.25">
      <c r="A1379" s="270" t="s">
        <v>2300</v>
      </c>
      <c r="B1379" s="270" t="s">
        <v>2286</v>
      </c>
      <c r="C1379" s="271">
        <v>165</v>
      </c>
    </row>
    <row r="1380" spans="1:3" x14ac:dyDescent="0.25">
      <c r="A1380" s="268" t="s">
        <v>2301</v>
      </c>
      <c r="B1380" s="268" t="s">
        <v>2290</v>
      </c>
      <c r="C1380" s="269">
        <v>155</v>
      </c>
    </row>
    <row r="1381" spans="1:3" x14ac:dyDescent="0.25">
      <c r="A1381" s="270" t="s">
        <v>2302</v>
      </c>
      <c r="B1381" s="270" t="s">
        <v>2292</v>
      </c>
      <c r="C1381" s="271">
        <v>150</v>
      </c>
    </row>
    <row r="1383" spans="1:3" ht="17.25" customHeight="1" x14ac:dyDescent="0.3">
      <c r="A1383" s="293" t="s">
        <v>2303</v>
      </c>
      <c r="B1383" s="254"/>
      <c r="C1383" s="319"/>
    </row>
    <row r="1384" spans="1:3" x14ac:dyDescent="0.25">
      <c r="A1384" s="209" t="s">
        <v>7</v>
      </c>
      <c r="B1384" s="142" t="s">
        <v>8</v>
      </c>
      <c r="C1384" s="274" t="s">
        <v>1691</v>
      </c>
    </row>
    <row r="1385" spans="1:3" x14ac:dyDescent="0.25">
      <c r="A1385" s="128" t="s">
        <v>2304</v>
      </c>
      <c r="B1385" s="128" t="s">
        <v>2305</v>
      </c>
      <c r="C1385" s="129">
        <v>300</v>
      </c>
    </row>
    <row r="1386" spans="1:3" x14ac:dyDescent="0.25">
      <c r="A1386" s="130" t="s">
        <v>2306</v>
      </c>
      <c r="B1386" s="130" t="s">
        <v>2307</v>
      </c>
      <c r="C1386" s="131">
        <v>450</v>
      </c>
    </row>
    <row r="1387" spans="1:3" x14ac:dyDescent="0.25">
      <c r="A1387" s="128" t="s">
        <v>2308</v>
      </c>
      <c r="B1387" s="128" t="s">
        <v>2309</v>
      </c>
      <c r="C1387" s="129">
        <v>90</v>
      </c>
    </row>
    <row r="1388" spans="1:3" x14ac:dyDescent="0.25">
      <c r="C1388" s="169"/>
    </row>
    <row r="1389" spans="1:3" ht="17.25" customHeight="1" x14ac:dyDescent="0.3">
      <c r="A1389" s="293" t="s">
        <v>2310</v>
      </c>
      <c r="B1389" s="254"/>
      <c r="C1389" s="319"/>
    </row>
    <row r="1390" spans="1:3" x14ac:dyDescent="0.25">
      <c r="A1390" s="209" t="s">
        <v>7</v>
      </c>
      <c r="B1390" s="142" t="s">
        <v>8</v>
      </c>
      <c r="C1390" s="274" t="s">
        <v>1691</v>
      </c>
    </row>
    <row r="1391" spans="1:3" x14ac:dyDescent="0.25">
      <c r="A1391" s="128" t="s">
        <v>2311</v>
      </c>
      <c r="B1391" s="128" t="s">
        <v>2312</v>
      </c>
      <c r="C1391" s="129">
        <v>2100</v>
      </c>
    </row>
    <row r="1392" spans="1:3" x14ac:dyDescent="0.25">
      <c r="A1392" s="130" t="s">
        <v>2313</v>
      </c>
      <c r="B1392" s="130" t="s">
        <v>2314</v>
      </c>
      <c r="C1392" s="131">
        <v>3000</v>
      </c>
    </row>
    <row r="1393" spans="1:3" x14ac:dyDescent="0.25">
      <c r="A1393" s="128" t="s">
        <v>2315</v>
      </c>
      <c r="B1393" s="128" t="s">
        <v>2316</v>
      </c>
      <c r="C1393" s="129">
        <v>4000</v>
      </c>
    </row>
    <row r="1394" spans="1:3" x14ac:dyDescent="0.25">
      <c r="A1394" s="130" t="s">
        <v>2317</v>
      </c>
      <c r="B1394" s="130" t="s">
        <v>2318</v>
      </c>
      <c r="C1394" s="131">
        <v>5000</v>
      </c>
    </row>
    <row r="1395" spans="1:3" x14ac:dyDescent="0.25">
      <c r="C1395" s="169"/>
    </row>
    <row r="1396" spans="1:3" ht="17.25" customHeight="1" x14ac:dyDescent="0.3">
      <c r="A1396" s="293" t="s">
        <v>2319</v>
      </c>
      <c r="B1396" s="254"/>
      <c r="C1396" s="319"/>
    </row>
    <row r="1397" spans="1:3" x14ac:dyDescent="0.25">
      <c r="A1397" s="209" t="s">
        <v>7</v>
      </c>
      <c r="B1397" s="142" t="s">
        <v>8</v>
      </c>
      <c r="C1397" s="274" t="s">
        <v>1691</v>
      </c>
    </row>
    <row r="1398" spans="1:3" ht="25.5" customHeight="1" x14ac:dyDescent="0.25">
      <c r="A1398" s="128" t="s">
        <v>2320</v>
      </c>
      <c r="B1398" s="135" t="s">
        <v>2321</v>
      </c>
      <c r="C1398" s="129">
        <v>68200</v>
      </c>
    </row>
    <row r="1399" spans="1:3" ht="25.5" customHeight="1" x14ac:dyDescent="0.25">
      <c r="A1399" s="130" t="s">
        <v>2322</v>
      </c>
      <c r="B1399" s="132" t="s">
        <v>2323</v>
      </c>
      <c r="C1399" s="131">
        <v>59800</v>
      </c>
    </row>
    <row r="1400" spans="1:3" ht="25.5" customHeight="1" x14ac:dyDescent="0.25">
      <c r="A1400" s="128" t="s">
        <v>2324</v>
      </c>
      <c r="B1400" s="135" t="s">
        <v>2325</v>
      </c>
      <c r="C1400" s="129">
        <v>80000</v>
      </c>
    </row>
    <row r="1401" spans="1:3" ht="25.5" customHeight="1" x14ac:dyDescent="0.25">
      <c r="A1401" s="130" t="s">
        <v>2326</v>
      </c>
      <c r="B1401" s="132" t="s">
        <v>2327</v>
      </c>
      <c r="C1401" s="131">
        <v>75500</v>
      </c>
    </row>
    <row r="1402" spans="1:3" x14ac:dyDescent="0.25">
      <c r="A1402" s="128" t="s">
        <v>2328</v>
      </c>
      <c r="B1402" s="128" t="s">
        <v>2329</v>
      </c>
      <c r="C1402" s="129">
        <v>19250</v>
      </c>
    </row>
    <row r="1403" spans="1:3" x14ac:dyDescent="0.25">
      <c r="A1403" s="130" t="s">
        <v>2330</v>
      </c>
      <c r="B1403" s="130" t="s">
        <v>2331</v>
      </c>
      <c r="C1403" s="131">
        <v>1800</v>
      </c>
    </row>
    <row r="1404" spans="1:3" x14ac:dyDescent="0.25">
      <c r="A1404" s="128" t="s">
        <v>2332</v>
      </c>
      <c r="B1404" s="128" t="s">
        <v>2333</v>
      </c>
      <c r="C1404" s="129">
        <v>1200</v>
      </c>
    </row>
    <row r="1405" spans="1:3" x14ac:dyDescent="0.25">
      <c r="A1405" s="130" t="s">
        <v>2334</v>
      </c>
      <c r="B1405" s="130" t="s">
        <v>2335</v>
      </c>
      <c r="C1405" s="131">
        <v>2600</v>
      </c>
    </row>
    <row r="1406" spans="1:3" x14ac:dyDescent="0.25">
      <c r="A1406" s="128" t="s">
        <v>2336</v>
      </c>
      <c r="B1406" s="128" t="s">
        <v>2337</v>
      </c>
      <c r="C1406" s="129">
        <v>2850</v>
      </c>
    </row>
    <row r="1408" spans="1:3" ht="17.25" customHeight="1" x14ac:dyDescent="0.25">
      <c r="A1408" s="535" t="s">
        <v>2338</v>
      </c>
      <c r="B1408" s="477"/>
      <c r="C1408" s="207"/>
    </row>
    <row r="1409" spans="1:3" x14ac:dyDescent="0.25">
      <c r="C1409" s="205"/>
    </row>
    <row r="1410" spans="1:3" ht="17.25" customHeight="1" x14ac:dyDescent="0.3">
      <c r="A1410" s="254" t="s">
        <v>2339</v>
      </c>
      <c r="B1410" s="254"/>
      <c r="C1410" s="307"/>
    </row>
    <row r="1411" spans="1:3" x14ac:dyDescent="0.25">
      <c r="A1411" s="209" t="s">
        <v>7</v>
      </c>
      <c r="B1411" s="142" t="s">
        <v>8</v>
      </c>
      <c r="C1411" s="274" t="s">
        <v>1691</v>
      </c>
    </row>
    <row r="1412" spans="1:3" x14ac:dyDescent="0.25">
      <c r="A1412" s="201" t="s">
        <v>2340</v>
      </c>
      <c r="B1412" s="201" t="s">
        <v>2341</v>
      </c>
      <c r="C1412" s="202">
        <v>1750</v>
      </c>
    </row>
    <row r="1413" spans="1:3" x14ac:dyDescent="0.25">
      <c r="A1413" s="203" t="s">
        <v>2342</v>
      </c>
      <c r="B1413" s="203" t="s">
        <v>2343</v>
      </c>
      <c r="C1413" s="204">
        <v>6125</v>
      </c>
    </row>
    <row r="1414" spans="1:3" x14ac:dyDescent="0.25">
      <c r="A1414" s="201" t="s">
        <v>2344</v>
      </c>
      <c r="B1414" s="201" t="s">
        <v>2345</v>
      </c>
      <c r="C1414" s="202">
        <v>15312.5</v>
      </c>
    </row>
    <row r="1415" spans="1:3" x14ac:dyDescent="0.25">
      <c r="C1415" s="205"/>
    </row>
    <row r="1416" spans="1:3" ht="17.25" customHeight="1" x14ac:dyDescent="0.3">
      <c r="A1416" s="254" t="s">
        <v>2346</v>
      </c>
      <c r="B1416" s="254"/>
      <c r="C1416" s="307"/>
    </row>
    <row r="1417" spans="1:3" x14ac:dyDescent="0.25">
      <c r="A1417" s="209" t="s">
        <v>7</v>
      </c>
      <c r="B1417" s="142" t="s">
        <v>8</v>
      </c>
      <c r="C1417" s="274" t="s">
        <v>1691</v>
      </c>
    </row>
    <row r="1418" spans="1:3" x14ac:dyDescent="0.25">
      <c r="A1418" s="201" t="s">
        <v>2347</v>
      </c>
      <c r="B1418" s="201" t="s">
        <v>2341</v>
      </c>
      <c r="C1418" s="202">
        <v>1750</v>
      </c>
    </row>
    <row r="1419" spans="1:3" x14ac:dyDescent="0.25">
      <c r="A1419" s="203" t="s">
        <v>2348</v>
      </c>
      <c r="B1419" s="203" t="s">
        <v>2349</v>
      </c>
      <c r="C1419" s="204">
        <v>6125</v>
      </c>
    </row>
    <row r="1420" spans="1:3" x14ac:dyDescent="0.25">
      <c r="A1420" s="201" t="s">
        <v>2350</v>
      </c>
      <c r="B1420" s="201" t="s">
        <v>2351</v>
      </c>
      <c r="C1420" s="202">
        <v>15312.5</v>
      </c>
    </row>
    <row r="1421" spans="1:3" x14ac:dyDescent="0.25">
      <c r="C1421" s="205"/>
    </row>
    <row r="1422" spans="1:3" ht="17.25" customHeight="1" x14ac:dyDescent="0.3">
      <c r="A1422" s="254" t="s">
        <v>2352</v>
      </c>
      <c r="B1422" s="254"/>
      <c r="C1422" s="307"/>
    </row>
    <row r="1423" spans="1:3" x14ac:dyDescent="0.25">
      <c r="A1423" s="209" t="s">
        <v>7</v>
      </c>
      <c r="B1423" s="142" t="s">
        <v>8</v>
      </c>
      <c r="C1423" s="274" t="s">
        <v>1691</v>
      </c>
    </row>
    <row r="1424" spans="1:3" x14ac:dyDescent="0.25">
      <c r="A1424" s="201" t="s">
        <v>2353</v>
      </c>
      <c r="B1424" s="201" t="s">
        <v>2341</v>
      </c>
      <c r="C1424" s="202">
        <v>657</v>
      </c>
    </row>
    <row r="1425" spans="1:3" x14ac:dyDescent="0.25">
      <c r="A1425" s="203" t="s">
        <v>2354</v>
      </c>
      <c r="B1425" s="203" t="s">
        <v>2349</v>
      </c>
      <c r="C1425" s="204">
        <v>2625</v>
      </c>
    </row>
    <row r="1426" spans="1:3" x14ac:dyDescent="0.25">
      <c r="A1426" s="201" t="s">
        <v>2355</v>
      </c>
      <c r="B1426" s="201" t="s">
        <v>2351</v>
      </c>
      <c r="C1426" s="202">
        <v>4922</v>
      </c>
    </row>
    <row r="1427" spans="1:3" x14ac:dyDescent="0.25">
      <c r="C1427" s="205"/>
    </row>
    <row r="1428" spans="1:3" ht="17.25" customHeight="1" x14ac:dyDescent="0.3">
      <c r="A1428" s="254" t="s">
        <v>1745</v>
      </c>
      <c r="B1428" s="254"/>
      <c r="C1428" s="307"/>
    </row>
    <row r="1429" spans="1:3" x14ac:dyDescent="0.25">
      <c r="A1429" s="209" t="s">
        <v>7</v>
      </c>
      <c r="B1429" s="142" t="s">
        <v>8</v>
      </c>
      <c r="C1429" s="274" t="s">
        <v>1691</v>
      </c>
    </row>
    <row r="1430" spans="1:3" x14ac:dyDescent="0.25">
      <c r="A1430" s="201" t="s">
        <v>2356</v>
      </c>
      <c r="B1430" s="201" t="s">
        <v>2357</v>
      </c>
      <c r="C1430" s="202">
        <v>1050</v>
      </c>
    </row>
    <row r="1431" spans="1:3" x14ac:dyDescent="0.25">
      <c r="A1431" s="203" t="s">
        <v>2358</v>
      </c>
      <c r="B1431" s="203" t="s">
        <v>2359</v>
      </c>
      <c r="C1431" s="204">
        <v>840</v>
      </c>
    </row>
    <row r="1432" spans="1:3" x14ac:dyDescent="0.25">
      <c r="A1432" s="201" t="s">
        <v>2360</v>
      </c>
      <c r="B1432" s="201" t="s">
        <v>2361</v>
      </c>
      <c r="C1432" s="202">
        <v>525</v>
      </c>
    </row>
    <row r="1433" spans="1:3" x14ac:dyDescent="0.25">
      <c r="A1433" s="203" t="s">
        <v>2362</v>
      </c>
      <c r="B1433" s="203" t="s">
        <v>2363</v>
      </c>
      <c r="C1433" s="204">
        <v>350</v>
      </c>
    </row>
    <row r="1434" spans="1:3" x14ac:dyDescent="0.25">
      <c r="A1434" s="201" t="s">
        <v>2364</v>
      </c>
      <c r="B1434" s="201" t="s">
        <v>2365</v>
      </c>
      <c r="C1434" s="202">
        <v>3850</v>
      </c>
    </row>
    <row r="1435" spans="1:3" x14ac:dyDescent="0.25">
      <c r="C1435" s="205"/>
    </row>
    <row r="1436" spans="1:3" ht="17.25" customHeight="1" x14ac:dyDescent="0.3">
      <c r="A1436" s="254" t="s">
        <v>2366</v>
      </c>
      <c r="B1436" s="306"/>
      <c r="C1436" s="307"/>
    </row>
    <row r="1437" spans="1:3" x14ac:dyDescent="0.25">
      <c r="C1437" s="205"/>
    </row>
    <row r="1438" spans="1:3" ht="17.25" customHeight="1" x14ac:dyDescent="0.3">
      <c r="A1438" s="254" t="s">
        <v>2367</v>
      </c>
      <c r="B1438" s="306"/>
      <c r="C1438" s="307"/>
    </row>
    <row r="1439" spans="1:3" x14ac:dyDescent="0.25">
      <c r="A1439" s="209" t="s">
        <v>7</v>
      </c>
      <c r="B1439" s="142" t="s">
        <v>8</v>
      </c>
      <c r="C1439" s="274" t="s">
        <v>1691</v>
      </c>
    </row>
    <row r="1440" spans="1:3" x14ac:dyDescent="0.25">
      <c r="A1440" s="201" t="s">
        <v>2368</v>
      </c>
      <c r="B1440" s="201" t="s">
        <v>2369</v>
      </c>
      <c r="C1440" s="202">
        <v>122500</v>
      </c>
    </row>
    <row r="1441" spans="1:4" x14ac:dyDescent="0.25">
      <c r="A1441" s="203" t="s">
        <v>2370</v>
      </c>
      <c r="B1441" s="203" t="s">
        <v>2371</v>
      </c>
      <c r="C1441" s="204">
        <v>9957</v>
      </c>
    </row>
    <row r="1442" spans="1:4" x14ac:dyDescent="0.25">
      <c r="A1442" s="201" t="s">
        <v>2372</v>
      </c>
      <c r="B1442" s="201" t="s">
        <v>2373</v>
      </c>
      <c r="C1442" s="202">
        <v>4305</v>
      </c>
    </row>
    <row r="1443" spans="1:4" x14ac:dyDescent="0.25">
      <c r="A1443" s="203" t="s">
        <v>2374</v>
      </c>
      <c r="B1443" s="203" t="s">
        <v>2375</v>
      </c>
      <c r="C1443" s="204">
        <v>1050</v>
      </c>
    </row>
    <row r="1444" spans="1:4" x14ac:dyDescent="0.25">
      <c r="A1444" s="201" t="s">
        <v>2376</v>
      </c>
      <c r="B1444" s="201" t="s">
        <v>2377</v>
      </c>
      <c r="C1444" s="202" t="s">
        <v>2378</v>
      </c>
    </row>
    <row r="1445" spans="1:4" x14ac:dyDescent="0.25">
      <c r="A1445" s="203" t="s">
        <v>2379</v>
      </c>
      <c r="B1445" s="203" t="s">
        <v>2380</v>
      </c>
      <c r="C1445" s="204">
        <v>22750</v>
      </c>
    </row>
    <row r="1446" spans="1:4" x14ac:dyDescent="0.25">
      <c r="A1446" s="201" t="s">
        <v>2381</v>
      </c>
      <c r="B1446" s="201" t="s">
        <v>2382</v>
      </c>
      <c r="C1446" s="202">
        <v>1732.5</v>
      </c>
    </row>
    <row r="1447" spans="1:4" x14ac:dyDescent="0.25">
      <c r="A1447" s="203" t="s">
        <v>2383</v>
      </c>
      <c r="B1447" s="203" t="s">
        <v>2384</v>
      </c>
      <c r="C1447" s="204">
        <v>1417.5</v>
      </c>
    </row>
    <row r="1448" spans="1:4" x14ac:dyDescent="0.25">
      <c r="A1448" s="201" t="s">
        <v>2385</v>
      </c>
      <c r="B1448" s="201" t="s">
        <v>2386</v>
      </c>
      <c r="C1448" s="202">
        <v>833</v>
      </c>
    </row>
    <row r="1449" spans="1:4" x14ac:dyDescent="0.25">
      <c r="A1449" s="203" t="s">
        <v>2387</v>
      </c>
      <c r="B1449" s="203" t="s">
        <v>2388</v>
      </c>
      <c r="C1449" s="204">
        <v>325.5</v>
      </c>
    </row>
    <row r="1451" spans="1:4" x14ac:dyDescent="0.25">
      <c r="B1451" s="320"/>
      <c r="D1451" s="205"/>
    </row>
    <row r="1452" spans="1:4" ht="17.25" customHeight="1" x14ac:dyDescent="0.3">
      <c r="A1452" s="306" t="s">
        <v>2389</v>
      </c>
      <c r="B1452" s="254"/>
      <c r="C1452" s="254"/>
      <c r="D1452" s="307"/>
    </row>
    <row r="1453" spans="1:4" x14ac:dyDescent="0.25">
      <c r="A1453" s="241" t="s">
        <v>7</v>
      </c>
      <c r="B1453" s="142" t="s">
        <v>8</v>
      </c>
      <c r="C1453" s="241" t="s">
        <v>404</v>
      </c>
      <c r="D1453" s="274" t="s">
        <v>1691</v>
      </c>
    </row>
    <row r="1454" spans="1:4" x14ac:dyDescent="0.25">
      <c r="A1454" s="201" t="s">
        <v>2390</v>
      </c>
      <c r="B1454" s="201" t="s">
        <v>2391</v>
      </c>
      <c r="C1454" s="201"/>
      <c r="D1454" s="202">
        <v>23740.5</v>
      </c>
    </row>
    <row r="1455" spans="1:4" x14ac:dyDescent="0.25">
      <c r="A1455" s="203" t="s">
        <v>2392</v>
      </c>
      <c r="B1455" s="203" t="s">
        <v>2393</v>
      </c>
      <c r="C1455" s="203"/>
      <c r="D1455" s="204">
        <v>76.42</v>
      </c>
    </row>
    <row r="1456" spans="1:4" x14ac:dyDescent="0.25">
      <c r="A1456" s="201" t="s">
        <v>2394</v>
      </c>
      <c r="B1456" s="201" t="s">
        <v>2395</v>
      </c>
      <c r="C1456" s="201"/>
      <c r="D1456" s="202">
        <v>6625.5</v>
      </c>
    </row>
    <row r="1457" spans="1:4" x14ac:dyDescent="0.25">
      <c r="A1457" s="203" t="s">
        <v>2396</v>
      </c>
      <c r="B1457" s="203" t="s">
        <v>2397</v>
      </c>
      <c r="C1457" s="203"/>
      <c r="D1457" s="204">
        <v>25200</v>
      </c>
    </row>
    <row r="1458" spans="1:4" x14ac:dyDescent="0.25">
      <c r="A1458" s="201" t="s">
        <v>2398</v>
      </c>
      <c r="B1458" s="201" t="s">
        <v>2399</v>
      </c>
      <c r="C1458" s="201"/>
      <c r="D1458" s="202">
        <v>1.92</v>
      </c>
    </row>
    <row r="1459" spans="1:4" x14ac:dyDescent="0.25">
      <c r="A1459" s="203" t="s">
        <v>2400</v>
      </c>
      <c r="B1459" s="203" t="s">
        <v>2401</v>
      </c>
      <c r="C1459" s="203"/>
      <c r="D1459" s="204">
        <v>26.57</v>
      </c>
    </row>
    <row r="1460" spans="1:4" x14ac:dyDescent="0.25">
      <c r="A1460" s="201" t="s">
        <v>2402</v>
      </c>
      <c r="B1460" s="201" t="s">
        <v>2403</v>
      </c>
      <c r="C1460" s="201"/>
      <c r="D1460" s="202">
        <v>199.5</v>
      </c>
    </row>
    <row r="1461" spans="1:4" x14ac:dyDescent="0.25">
      <c r="A1461" s="203" t="s">
        <v>2404</v>
      </c>
      <c r="B1461" s="203" t="s">
        <v>2405</v>
      </c>
      <c r="C1461" s="203"/>
      <c r="D1461" s="204">
        <v>136.5</v>
      </c>
    </row>
    <row r="1462" spans="1:4" x14ac:dyDescent="0.25">
      <c r="A1462" s="201" t="s">
        <v>2406</v>
      </c>
      <c r="B1462" s="201" t="s">
        <v>2407</v>
      </c>
      <c r="C1462" s="201"/>
      <c r="D1462" s="202">
        <v>294</v>
      </c>
    </row>
    <row r="1463" spans="1:4" x14ac:dyDescent="0.25">
      <c r="A1463" s="203" t="s">
        <v>2408</v>
      </c>
      <c r="B1463" s="203" t="s">
        <v>2409</v>
      </c>
      <c r="C1463" s="203"/>
      <c r="D1463" s="204">
        <v>102.9</v>
      </c>
    </row>
    <row r="1464" spans="1:4" x14ac:dyDescent="0.25">
      <c r="A1464" s="201" t="s">
        <v>2410</v>
      </c>
      <c r="B1464" s="201" t="s">
        <v>2411</v>
      </c>
      <c r="C1464" s="201"/>
      <c r="D1464" s="202">
        <v>109.2</v>
      </c>
    </row>
    <row r="1465" spans="1:4" x14ac:dyDescent="0.25">
      <c r="A1465" s="203" t="s">
        <v>2412</v>
      </c>
      <c r="B1465" s="203" t="s">
        <v>2413</v>
      </c>
      <c r="C1465" s="203"/>
      <c r="D1465" s="204">
        <v>6170.85</v>
      </c>
    </row>
    <row r="1466" spans="1:4" x14ac:dyDescent="0.25">
      <c r="A1466" s="201" t="s">
        <v>2414</v>
      </c>
      <c r="B1466" s="201" t="s">
        <v>2415</v>
      </c>
      <c r="C1466" s="201"/>
      <c r="D1466" s="202">
        <v>113.4</v>
      </c>
    </row>
    <row r="1467" spans="1:4" x14ac:dyDescent="0.25">
      <c r="A1467" s="203" t="s">
        <v>2416</v>
      </c>
      <c r="B1467" s="203" t="s">
        <v>2417</v>
      </c>
      <c r="C1467" s="203"/>
      <c r="D1467" s="204">
        <v>47.25</v>
      </c>
    </row>
    <row r="1468" spans="1:4" ht="25.5" customHeight="1" x14ac:dyDescent="0.25">
      <c r="A1468" s="201" t="s">
        <v>2418</v>
      </c>
      <c r="B1468" s="292" t="s">
        <v>2419</v>
      </c>
      <c r="C1468" s="201"/>
      <c r="D1468" s="202">
        <v>40545.75</v>
      </c>
    </row>
    <row r="1469" spans="1:4" x14ac:dyDescent="0.25">
      <c r="A1469" s="203" t="s">
        <v>2420</v>
      </c>
      <c r="B1469" s="203" t="s">
        <v>2421</v>
      </c>
      <c r="C1469" s="203"/>
      <c r="D1469" s="204">
        <v>17150.7</v>
      </c>
    </row>
    <row r="1471" spans="1:4" ht="17.25" customHeight="1" x14ac:dyDescent="0.3">
      <c r="A1471" s="526" t="s">
        <v>2422</v>
      </c>
      <c r="B1471" s="488"/>
      <c r="C1471" s="272"/>
      <c r="D1471" s="272"/>
    </row>
    <row r="1472" spans="1:4" x14ac:dyDescent="0.25">
      <c r="A1472" s="286" t="s">
        <v>7</v>
      </c>
      <c r="B1472" s="286" t="s">
        <v>8</v>
      </c>
      <c r="C1472" s="286" t="s">
        <v>9</v>
      </c>
      <c r="D1472" s="286" t="s">
        <v>1691</v>
      </c>
    </row>
    <row r="1473" spans="1:4" x14ac:dyDescent="0.25">
      <c r="A1473" s="268" t="s">
        <v>2423</v>
      </c>
      <c r="B1473" s="268" t="s">
        <v>2424</v>
      </c>
      <c r="C1473" s="268" t="s">
        <v>150</v>
      </c>
      <c r="D1473" s="287">
        <v>63200</v>
      </c>
    </row>
    <row r="1474" spans="1:4" x14ac:dyDescent="0.25">
      <c r="A1474" s="270" t="s">
        <v>2425</v>
      </c>
      <c r="B1474" s="270" t="s">
        <v>2426</v>
      </c>
      <c r="C1474" s="270" t="s">
        <v>150</v>
      </c>
      <c r="D1474" s="288">
        <v>62000</v>
      </c>
    </row>
    <row r="1475" spans="1:4" x14ac:dyDescent="0.25">
      <c r="A1475" s="268" t="s">
        <v>2427</v>
      </c>
      <c r="B1475" s="268" t="s">
        <v>2428</v>
      </c>
      <c r="C1475" s="268" t="s">
        <v>127</v>
      </c>
      <c r="D1475" s="287">
        <v>78000</v>
      </c>
    </row>
    <row r="1477" spans="1:4" ht="17.25" customHeight="1" x14ac:dyDescent="0.25">
      <c r="A1477" s="487" t="s">
        <v>2429</v>
      </c>
      <c r="B1477" s="488"/>
      <c r="C1477" s="206"/>
      <c r="D1477" s="206"/>
    </row>
    <row r="1478" spans="1:4" x14ac:dyDescent="0.25">
      <c r="A1478" s="241" t="s">
        <v>7</v>
      </c>
      <c r="B1478" s="241" t="s">
        <v>8</v>
      </c>
      <c r="C1478" s="241" t="s">
        <v>404</v>
      </c>
      <c r="D1478" s="241" t="s">
        <v>1691</v>
      </c>
    </row>
    <row r="1479" spans="1:4" ht="27" customHeight="1" x14ac:dyDescent="0.25">
      <c r="A1479" s="201" t="s">
        <v>2430</v>
      </c>
      <c r="B1479" s="532" t="s">
        <v>2431</v>
      </c>
      <c r="C1479" s="488"/>
      <c r="D1479" s="321">
        <v>1330.56</v>
      </c>
    </row>
    <row r="1480" spans="1:4" ht="28.5" customHeight="1" x14ac:dyDescent="0.25">
      <c r="A1480" s="203" t="s">
        <v>2432</v>
      </c>
      <c r="B1480" s="533" t="s">
        <v>2433</v>
      </c>
      <c r="C1480" s="488"/>
      <c r="D1480" s="322">
        <v>810.81</v>
      </c>
    </row>
    <row r="1481" spans="1:4" x14ac:dyDescent="0.25">
      <c r="A1481" s="201" t="s">
        <v>2434</v>
      </c>
      <c r="B1481" s="128" t="s">
        <v>2435</v>
      </c>
      <c r="C1481" s="128"/>
      <c r="D1481" s="321">
        <v>1871.1</v>
      </c>
    </row>
    <row r="1482" spans="1:4" x14ac:dyDescent="0.25">
      <c r="A1482" s="203" t="s">
        <v>2436</v>
      </c>
      <c r="B1482" s="130" t="s">
        <v>2437</v>
      </c>
      <c r="C1482" s="130"/>
      <c r="D1482" s="322">
        <v>2494.8000000000002</v>
      </c>
    </row>
    <row r="1483" spans="1:4" x14ac:dyDescent="0.25">
      <c r="A1483" s="201" t="s">
        <v>2438</v>
      </c>
      <c r="B1483" s="128" t="s">
        <v>2439</v>
      </c>
      <c r="C1483" s="128"/>
      <c r="D1483" s="321">
        <v>41372.1</v>
      </c>
    </row>
    <row r="1484" spans="1:4" ht="30.75" customHeight="1" x14ac:dyDescent="0.25">
      <c r="A1484" s="203" t="s">
        <v>2440</v>
      </c>
      <c r="B1484" s="533" t="s">
        <v>2441</v>
      </c>
      <c r="C1484" s="488"/>
      <c r="D1484" s="322">
        <v>4072.76</v>
      </c>
    </row>
    <row r="1485" spans="1:4" ht="29.25" customHeight="1" x14ac:dyDescent="0.25">
      <c r="A1485" s="201" t="s">
        <v>2442</v>
      </c>
      <c r="B1485" s="532" t="s">
        <v>2443</v>
      </c>
      <c r="C1485" s="488"/>
      <c r="D1485" s="321">
        <v>89792.01</v>
      </c>
    </row>
    <row r="1486" spans="1:4" x14ac:dyDescent="0.25">
      <c r="A1486" s="203" t="s">
        <v>2444</v>
      </c>
      <c r="B1486" s="130" t="s">
        <v>2445</v>
      </c>
      <c r="C1486" s="130"/>
      <c r="D1486" s="322">
        <v>2494.8000000000002</v>
      </c>
    </row>
    <row r="1487" spans="1:4" ht="30.75" customHeight="1" x14ac:dyDescent="0.25">
      <c r="A1487" s="201" t="s">
        <v>2446</v>
      </c>
      <c r="B1487" s="532" t="s">
        <v>2447</v>
      </c>
      <c r="C1487" s="488"/>
      <c r="D1487" s="321">
        <v>3430.35</v>
      </c>
    </row>
    <row r="1488" spans="1:4" ht="30" customHeight="1" x14ac:dyDescent="0.25">
      <c r="A1488" s="203" t="s">
        <v>2448</v>
      </c>
      <c r="B1488" s="533" t="s">
        <v>2449</v>
      </c>
      <c r="C1488" s="488"/>
      <c r="D1488" s="322">
        <v>77130.899999999994</v>
      </c>
    </row>
    <row r="1489" spans="1:5" x14ac:dyDescent="0.25">
      <c r="A1489" s="201" t="s">
        <v>2450</v>
      </c>
      <c r="B1489" s="478" t="s">
        <v>2451</v>
      </c>
      <c r="C1489" s="488"/>
      <c r="D1489" s="321">
        <v>10187.1</v>
      </c>
    </row>
    <row r="1490" spans="1:5" x14ac:dyDescent="0.25">
      <c r="A1490" s="203" t="s">
        <v>2452</v>
      </c>
      <c r="B1490" s="489" t="s">
        <v>2453</v>
      </c>
      <c r="C1490" s="488"/>
      <c r="D1490" s="322">
        <v>9251.5499999999993</v>
      </c>
    </row>
    <row r="1491" spans="1:5" x14ac:dyDescent="0.25">
      <c r="A1491" s="201" t="s">
        <v>2454</v>
      </c>
      <c r="B1491" s="478" t="s">
        <v>2455</v>
      </c>
      <c r="C1491" s="488"/>
      <c r="D1491" s="321">
        <v>16663.5</v>
      </c>
    </row>
    <row r="1492" spans="1:5" x14ac:dyDescent="0.25">
      <c r="A1492" s="203" t="s">
        <v>2456</v>
      </c>
      <c r="B1492" s="489" t="s">
        <v>2457</v>
      </c>
      <c r="C1492" s="488"/>
      <c r="D1492" s="322">
        <v>1247.4000000000001</v>
      </c>
    </row>
    <row r="1493" spans="1:5" x14ac:dyDescent="0.25">
      <c r="A1493" s="201" t="s">
        <v>2458</v>
      </c>
      <c r="B1493" s="478" t="s">
        <v>2457</v>
      </c>
      <c r="C1493" s="488"/>
      <c r="D1493" s="321">
        <v>22869</v>
      </c>
    </row>
    <row r="1494" spans="1:5" x14ac:dyDescent="0.25">
      <c r="A1494" s="203" t="s">
        <v>2459</v>
      </c>
      <c r="B1494" s="489" t="s">
        <v>2460</v>
      </c>
      <c r="C1494" s="488"/>
      <c r="D1494" s="322">
        <v>1247.4000000000001</v>
      </c>
    </row>
    <row r="1495" spans="1:5" x14ac:dyDescent="0.25">
      <c r="A1495" s="201" t="s">
        <v>2461</v>
      </c>
      <c r="B1495" s="478" t="s">
        <v>2462</v>
      </c>
      <c r="C1495" s="488"/>
      <c r="D1495" s="321">
        <v>25987.5</v>
      </c>
    </row>
    <row r="1497" spans="1:5" ht="17.25" customHeight="1" x14ac:dyDescent="0.3">
      <c r="A1497" s="526" t="s">
        <v>2463</v>
      </c>
      <c r="B1497" s="488"/>
      <c r="C1497" s="272"/>
    </row>
    <row r="1498" spans="1:5" x14ac:dyDescent="0.25">
      <c r="A1498" s="286" t="s">
        <v>7</v>
      </c>
      <c r="B1498" s="286" t="s">
        <v>8</v>
      </c>
      <c r="C1498" s="286" t="s">
        <v>1691</v>
      </c>
    </row>
    <row r="1499" spans="1:5" x14ac:dyDescent="0.25">
      <c r="A1499" s="268" t="s">
        <v>2464</v>
      </c>
      <c r="B1499" s="268" t="s">
        <v>2465</v>
      </c>
      <c r="C1499" s="287">
        <v>554</v>
      </c>
      <c r="D1499" s="323"/>
    </row>
    <row r="1500" spans="1:5" x14ac:dyDescent="0.25">
      <c r="A1500" s="270" t="s">
        <v>2466</v>
      </c>
      <c r="B1500" s="270" t="s">
        <v>2467</v>
      </c>
      <c r="C1500" s="288">
        <v>120</v>
      </c>
      <c r="D1500" s="323"/>
    </row>
    <row r="1502" spans="1:5" ht="17.25" customHeight="1" x14ac:dyDescent="0.3">
      <c r="A1502" s="521" t="s">
        <v>2468</v>
      </c>
      <c r="B1502" s="485"/>
      <c r="C1502" s="254"/>
      <c r="D1502" s="254"/>
      <c r="E1502" s="254"/>
    </row>
    <row r="1503" spans="1:5" x14ac:dyDescent="0.25">
      <c r="A1503" s="286" t="s">
        <v>1898</v>
      </c>
      <c r="B1503" s="286" t="s">
        <v>8</v>
      </c>
      <c r="C1503" s="286" t="s">
        <v>573</v>
      </c>
      <c r="D1503" s="286" t="s">
        <v>571</v>
      </c>
      <c r="E1503" s="286" t="s">
        <v>567</v>
      </c>
    </row>
    <row r="1504" spans="1:5" x14ac:dyDescent="0.25">
      <c r="A1504" s="268" t="s">
        <v>2469</v>
      </c>
      <c r="B1504" s="268" t="s">
        <v>2470</v>
      </c>
      <c r="C1504" s="536">
        <v>1700</v>
      </c>
      <c r="D1504" s="483"/>
      <c r="E1504" s="488"/>
    </row>
    <row r="1505" spans="1:5" x14ac:dyDescent="0.25">
      <c r="A1505" s="270" t="s">
        <v>2471</v>
      </c>
      <c r="B1505" s="270" t="s">
        <v>2472</v>
      </c>
      <c r="C1505" s="288">
        <v>64000</v>
      </c>
      <c r="D1505" s="288">
        <v>50000</v>
      </c>
      <c r="E1505" s="288">
        <v>38000</v>
      </c>
    </row>
    <row r="1506" spans="1:5" x14ac:dyDescent="0.25">
      <c r="A1506" s="268" t="s">
        <v>2473</v>
      </c>
      <c r="B1506" s="268" t="s">
        <v>2474</v>
      </c>
      <c r="C1506" s="287">
        <v>70000</v>
      </c>
      <c r="D1506" s="287">
        <v>65000</v>
      </c>
      <c r="E1506" s="287">
        <v>45000</v>
      </c>
    </row>
    <row r="1507" spans="1:5" x14ac:dyDescent="0.25">
      <c r="A1507" s="270" t="s">
        <v>2475</v>
      </c>
      <c r="B1507" s="270" t="s">
        <v>2476</v>
      </c>
      <c r="C1507" s="288">
        <v>72000</v>
      </c>
      <c r="D1507" s="288">
        <v>58000</v>
      </c>
      <c r="E1507" s="288">
        <v>47000</v>
      </c>
    </row>
    <row r="1508" spans="1:5" x14ac:dyDescent="0.25">
      <c r="A1508" s="268" t="s">
        <v>2477</v>
      </c>
      <c r="B1508" s="268" t="s">
        <v>2478</v>
      </c>
      <c r="C1508" s="287">
        <v>76000</v>
      </c>
      <c r="D1508" s="287">
        <v>71000</v>
      </c>
      <c r="E1508" s="287">
        <v>51000</v>
      </c>
    </row>
  </sheetData>
  <mergeCells count="282">
    <mergeCell ref="B1493:C1493"/>
    <mergeCell ref="B1494:C1494"/>
    <mergeCell ref="B1495:C1495"/>
    <mergeCell ref="A1497:B1497"/>
    <mergeCell ref="A1502:B1502"/>
    <mergeCell ref="C1504:E1504"/>
    <mergeCell ref="B1487:C1487"/>
    <mergeCell ref="B1488:C1488"/>
    <mergeCell ref="B1489:C1489"/>
    <mergeCell ref="B1490:C1490"/>
    <mergeCell ref="B1491:C1491"/>
    <mergeCell ref="B1492:C1492"/>
    <mergeCell ref="A1471:B1471"/>
    <mergeCell ref="A1477:B1477"/>
    <mergeCell ref="B1479:C1479"/>
    <mergeCell ref="B1480:C1480"/>
    <mergeCell ref="B1484:C1484"/>
    <mergeCell ref="B1485:C1485"/>
    <mergeCell ref="A1096:D1096"/>
    <mergeCell ref="A1286:B1286"/>
    <mergeCell ref="A1287:A1288"/>
    <mergeCell ref="B1287:B1288"/>
    <mergeCell ref="C1287:F1287"/>
    <mergeCell ref="A1408:B1408"/>
    <mergeCell ref="A1004:B1004"/>
    <mergeCell ref="A1013:B1013"/>
    <mergeCell ref="A1019:B1019"/>
    <mergeCell ref="A1031:B1031"/>
    <mergeCell ref="A1038:B1038"/>
    <mergeCell ref="A1048:B1048"/>
    <mergeCell ref="A971:B971"/>
    <mergeCell ref="C971:E971"/>
    <mergeCell ref="A983:B983"/>
    <mergeCell ref="C983:E983"/>
    <mergeCell ref="A984:B984"/>
    <mergeCell ref="A1002:B1002"/>
    <mergeCell ref="A899:B899"/>
    <mergeCell ref="A910:B910"/>
    <mergeCell ref="A920:B920"/>
    <mergeCell ref="A933:B933"/>
    <mergeCell ref="A947:B947"/>
    <mergeCell ref="A954:B954"/>
    <mergeCell ref="A878:B878"/>
    <mergeCell ref="A879:A880"/>
    <mergeCell ref="B879:B880"/>
    <mergeCell ref="C879:D879"/>
    <mergeCell ref="A886:B886"/>
    <mergeCell ref="A890:B890"/>
    <mergeCell ref="A854:B854"/>
    <mergeCell ref="A855:A856"/>
    <mergeCell ref="B855:B856"/>
    <mergeCell ref="C855:D855"/>
    <mergeCell ref="A864:B864"/>
    <mergeCell ref="A865:A866"/>
    <mergeCell ref="B865:B866"/>
    <mergeCell ref="C865:D865"/>
    <mergeCell ref="C829:D829"/>
    <mergeCell ref="A836:B836"/>
    <mergeCell ref="A837:A838"/>
    <mergeCell ref="B837:B838"/>
    <mergeCell ref="C837:D837"/>
    <mergeCell ref="A845:B845"/>
    <mergeCell ref="A794:B794"/>
    <mergeCell ref="A810:B810"/>
    <mergeCell ref="A821:B821"/>
    <mergeCell ref="A828:B828"/>
    <mergeCell ref="A829:A830"/>
    <mergeCell ref="B829:B830"/>
    <mergeCell ref="D769:E769"/>
    <mergeCell ref="D770:E770"/>
    <mergeCell ref="D771:E771"/>
    <mergeCell ref="D772:E772"/>
    <mergeCell ref="A776:B776"/>
    <mergeCell ref="A785:B785"/>
    <mergeCell ref="A749:A750"/>
    <mergeCell ref="B749:B750"/>
    <mergeCell ref="C749:C750"/>
    <mergeCell ref="A758:B758"/>
    <mergeCell ref="A765:B765"/>
    <mergeCell ref="A766:A767"/>
    <mergeCell ref="B766:B767"/>
    <mergeCell ref="C766:C767"/>
    <mergeCell ref="A709:B709"/>
    <mergeCell ref="A719:B719"/>
    <mergeCell ref="A722:B722"/>
    <mergeCell ref="A733:B733"/>
    <mergeCell ref="A740:B740"/>
    <mergeCell ref="A748:B748"/>
    <mergeCell ref="A693:B693"/>
    <mergeCell ref="A694:B694"/>
    <mergeCell ref="A699:B699"/>
    <mergeCell ref="A700:A701"/>
    <mergeCell ref="B700:B701"/>
    <mergeCell ref="C700:C701"/>
    <mergeCell ref="A664:B664"/>
    <mergeCell ref="A670:B670"/>
    <mergeCell ref="A680:B680"/>
    <mergeCell ref="A681:A682"/>
    <mergeCell ref="B681:B682"/>
    <mergeCell ref="C681:C682"/>
    <mergeCell ref="A635:B635"/>
    <mergeCell ref="A636:A637"/>
    <mergeCell ref="B636:B637"/>
    <mergeCell ref="C636:C637"/>
    <mergeCell ref="A643:B643"/>
    <mergeCell ref="A652:B652"/>
    <mergeCell ref="A617:B617"/>
    <mergeCell ref="A618:B618"/>
    <mergeCell ref="A623:B623"/>
    <mergeCell ref="A624:A625"/>
    <mergeCell ref="B624:B625"/>
    <mergeCell ref="C624:C625"/>
    <mergeCell ref="D581:E581"/>
    <mergeCell ref="A593:B593"/>
    <mergeCell ref="A599:B599"/>
    <mergeCell ref="A600:B600"/>
    <mergeCell ref="A605:B605"/>
    <mergeCell ref="A608:B608"/>
    <mergeCell ref="A567:B567"/>
    <mergeCell ref="A571:B571"/>
    <mergeCell ref="A580:B580"/>
    <mergeCell ref="A581:A582"/>
    <mergeCell ref="B581:B582"/>
    <mergeCell ref="C581:C582"/>
    <mergeCell ref="D551:E551"/>
    <mergeCell ref="A559:B559"/>
    <mergeCell ref="A560:A561"/>
    <mergeCell ref="B560:B561"/>
    <mergeCell ref="C560:C561"/>
    <mergeCell ref="D560:E560"/>
    <mergeCell ref="A537:B537"/>
    <mergeCell ref="A538:B538"/>
    <mergeCell ref="A550:B550"/>
    <mergeCell ref="A551:A552"/>
    <mergeCell ref="B551:B552"/>
    <mergeCell ref="C551:C552"/>
    <mergeCell ref="A526:B526"/>
    <mergeCell ref="A527:B527"/>
    <mergeCell ref="A528:A529"/>
    <mergeCell ref="B528:B529"/>
    <mergeCell ref="C528:C529"/>
    <mergeCell ref="D528:F528"/>
    <mergeCell ref="A516:B516"/>
    <mergeCell ref="A517:B517"/>
    <mergeCell ref="A518:A519"/>
    <mergeCell ref="B518:B519"/>
    <mergeCell ref="C518:C519"/>
    <mergeCell ref="D518:F518"/>
    <mergeCell ref="C487:C488"/>
    <mergeCell ref="D487:E487"/>
    <mergeCell ref="A496:B496"/>
    <mergeCell ref="A499:B499"/>
    <mergeCell ref="A500:B500"/>
    <mergeCell ref="A507:B507"/>
    <mergeCell ref="A475:B475"/>
    <mergeCell ref="A477:B477"/>
    <mergeCell ref="A479:B479"/>
    <mergeCell ref="A486:B486"/>
    <mergeCell ref="A487:A488"/>
    <mergeCell ref="B487:B488"/>
    <mergeCell ref="D461:F461"/>
    <mergeCell ref="A463:F463"/>
    <mergeCell ref="A466:B466"/>
    <mergeCell ref="A470:B470"/>
    <mergeCell ref="A471:A472"/>
    <mergeCell ref="B471:B472"/>
    <mergeCell ref="C471:C472"/>
    <mergeCell ref="D471:E471"/>
    <mergeCell ref="A448:B448"/>
    <mergeCell ref="A459:B459"/>
    <mergeCell ref="A460:B460"/>
    <mergeCell ref="A461:A462"/>
    <mergeCell ref="B461:B462"/>
    <mergeCell ref="C461:C462"/>
    <mergeCell ref="A434:A435"/>
    <mergeCell ref="B434:B435"/>
    <mergeCell ref="C434:C435"/>
    <mergeCell ref="D434:E434"/>
    <mergeCell ref="A439:B439"/>
    <mergeCell ref="A443:B443"/>
    <mergeCell ref="A427:E427"/>
    <mergeCell ref="D428:E428"/>
    <mergeCell ref="D429:E429"/>
    <mergeCell ref="D430:E430"/>
    <mergeCell ref="D431:E431"/>
    <mergeCell ref="A433:E433"/>
    <mergeCell ref="D414:E414"/>
    <mergeCell ref="A416:E416"/>
    <mergeCell ref="A417:A418"/>
    <mergeCell ref="B417:B418"/>
    <mergeCell ref="C417:C418"/>
    <mergeCell ref="D417:E417"/>
    <mergeCell ref="D406:E406"/>
    <mergeCell ref="A408:E408"/>
    <mergeCell ref="D409:E409"/>
    <mergeCell ref="D410:E410"/>
    <mergeCell ref="D411:E411"/>
    <mergeCell ref="A413:E413"/>
    <mergeCell ref="D399:E399"/>
    <mergeCell ref="D400:E400"/>
    <mergeCell ref="D401:E401"/>
    <mergeCell ref="A403:E403"/>
    <mergeCell ref="D404:E404"/>
    <mergeCell ref="D405:E405"/>
    <mergeCell ref="A384:E384"/>
    <mergeCell ref="A385:A386"/>
    <mergeCell ref="B385:B386"/>
    <mergeCell ref="C385:C386"/>
    <mergeCell ref="D385:E385"/>
    <mergeCell ref="A398:E398"/>
    <mergeCell ref="A364:B364"/>
    <mergeCell ref="A377:E377"/>
    <mergeCell ref="D379:E379"/>
    <mergeCell ref="D380:E380"/>
    <mergeCell ref="D381:E381"/>
    <mergeCell ref="D382:E382"/>
    <mergeCell ref="A289:B289"/>
    <mergeCell ref="A306:B306"/>
    <mergeCell ref="A325:B325"/>
    <mergeCell ref="A334:B334"/>
    <mergeCell ref="A342:B342"/>
    <mergeCell ref="A354:B354"/>
    <mergeCell ref="A258:B258"/>
    <mergeCell ref="A259:C259"/>
    <mergeCell ref="A260:C260"/>
    <mergeCell ref="A261:B261"/>
    <mergeCell ref="A276:C276"/>
    <mergeCell ref="A277:C277"/>
    <mergeCell ref="A250:D250"/>
    <mergeCell ref="A251:D251"/>
    <mergeCell ref="A252:D252"/>
    <mergeCell ref="A253:D253"/>
    <mergeCell ref="A254:D254"/>
    <mergeCell ref="A257:B257"/>
    <mergeCell ref="A244:D244"/>
    <mergeCell ref="A245:D245"/>
    <mergeCell ref="A246:D246"/>
    <mergeCell ref="A247:D247"/>
    <mergeCell ref="A248:D248"/>
    <mergeCell ref="A249:D249"/>
    <mergeCell ref="A233:B233"/>
    <mergeCell ref="A239:D239"/>
    <mergeCell ref="A240:D240"/>
    <mergeCell ref="A241:D241"/>
    <mergeCell ref="A242:D242"/>
    <mergeCell ref="A243:D243"/>
    <mergeCell ref="A194:B194"/>
    <mergeCell ref="A205:B205"/>
    <mergeCell ref="A210:B210"/>
    <mergeCell ref="A219:B219"/>
    <mergeCell ref="A220:B220"/>
    <mergeCell ref="A227:B227"/>
    <mergeCell ref="A148:B148"/>
    <mergeCell ref="A159:B159"/>
    <mergeCell ref="A170:B170"/>
    <mergeCell ref="A171:B171"/>
    <mergeCell ref="A180:B180"/>
    <mergeCell ref="A189:B189"/>
    <mergeCell ref="A84:B84"/>
    <mergeCell ref="A99:B99"/>
    <mergeCell ref="A110:B110"/>
    <mergeCell ref="A141:B141"/>
    <mergeCell ref="A142:B142"/>
    <mergeCell ref="A147:B147"/>
    <mergeCell ref="A49:C49"/>
    <mergeCell ref="A50:C50"/>
    <mergeCell ref="A51:C51"/>
    <mergeCell ref="A67:B67"/>
    <mergeCell ref="A73:C73"/>
    <mergeCell ref="A74:C74"/>
    <mergeCell ref="A17:C17"/>
    <mergeCell ref="A27:A29"/>
    <mergeCell ref="C27:C29"/>
    <mergeCell ref="A34:B34"/>
    <mergeCell ref="A35:C35"/>
    <mergeCell ref="A48:C48"/>
    <mergeCell ref="A3:B3"/>
    <mergeCell ref="A10:A11"/>
    <mergeCell ref="A12:A13"/>
    <mergeCell ref="C12:C13"/>
    <mergeCell ref="A15:B15"/>
    <mergeCell ref="A16:C16"/>
  </mergeCells>
  <pageMargins left="0.35" right="0.35" top="0.5" bottom="0.55000000000000004" header="0.2" footer="0.25"/>
  <pageSetup paperSize="9" scale="84" fitToHeight="0" orientation="landscape"/>
  <rowBreaks count="48" manualBreakCount="48">
    <brk id="33" max="16383" man="1"/>
    <brk id="66" max="16383" man="1"/>
    <brk id="98" max="16383" man="1"/>
    <brk id="126" max="16383" man="1"/>
    <brk id="158" max="16383" man="1"/>
    <brk id="193" max="16383" man="1"/>
    <brk id="226" max="16383" man="1"/>
    <brk id="255" max="16383" man="1"/>
    <brk id="287" max="16383" man="1"/>
    <brk id="304" max="16383" man="1"/>
    <brk id="333" max="16383" man="1"/>
    <brk id="363" max="16383" man="1"/>
    <brk id="397" max="16383" man="1"/>
    <brk id="432" max="16383" man="1"/>
    <brk id="458" max="16383" man="1"/>
    <brk id="485" max="16383" man="1"/>
    <brk id="515" max="16383" man="1"/>
    <brk id="549" max="16383" man="1"/>
    <brk id="579" max="16383" man="1"/>
    <brk id="607" max="16383" man="1"/>
    <brk id="642" max="16383" man="1"/>
    <brk id="669" max="16383" man="1"/>
    <brk id="698" max="16383" man="1"/>
    <brk id="732" max="16383" man="1"/>
    <brk id="764" max="16383" man="1"/>
    <brk id="793" max="16383" man="1"/>
    <brk id="827" max="16383" man="1"/>
    <brk id="863" max="16383" man="1"/>
    <brk id="889" max="16383" man="1"/>
    <brk id="919" max="16383" man="1"/>
    <brk id="953" max="16383" man="1"/>
    <brk id="982" max="16383" man="1"/>
    <brk id="1018" max="16383" man="1"/>
    <brk id="1047" max="16383" man="1"/>
    <brk id="1082" max="16383" man="1"/>
    <brk id="1111" max="16383" man="1"/>
    <brk id="1144" max="16383" man="1"/>
    <brk id="1178" max="16383" man="1"/>
    <brk id="1214" max="16383" man="1"/>
    <brk id="1247" max="16383" man="1"/>
    <brk id="1280" max="16383" man="1"/>
    <brk id="1304" max="16383" man="1"/>
    <brk id="1340" max="16383" man="1"/>
    <brk id="1375" max="16383" man="1"/>
    <brk id="1407" max="16383" man="1"/>
    <brk id="1435" max="16383" man="1"/>
    <brk id="1470" max="16383" man="1"/>
    <brk id="150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Service Ticket (Original)</vt:lpstr>
      <vt:lpstr>Service Ticket (Copy)</vt:lpstr>
      <vt:lpstr>Job Log (Original)</vt:lpstr>
      <vt:lpstr>Job Log (Copy)</vt:lpstr>
      <vt:lpstr>WAHA 1 Price List</vt:lpstr>
      <vt:lpstr>WAHA 2 Price List</vt:lpstr>
      <vt:lpstr>AGOCO Price List</vt:lpstr>
      <vt:lpstr>HOO Price List</vt:lpstr>
      <vt:lpstr>SOC Price List</vt:lpstr>
      <vt:lpstr>Zueitina Price List</vt:lpstr>
      <vt:lpstr>'HOO Price List'!Print_Area</vt:lpstr>
      <vt:lpstr>'Job Log (Copy)'!Print_Area</vt:lpstr>
      <vt:lpstr>'Job Log (Original)'!Print_Area</vt:lpstr>
      <vt:lpstr>'Service Ticket (Copy)'!Print_Area</vt:lpstr>
      <vt:lpstr>'Service Ticket (Original)'!Print_Area</vt:lpstr>
      <vt:lpstr>'WAHA 1 Price List'!Print_Area</vt:lpstr>
      <vt:lpstr>'AGOCO Price List'!Print_Titles</vt:lpstr>
      <vt:lpstr>'HOO Price List'!Print_Titles</vt:lpstr>
      <vt:lpstr>'SOC Price List'!Print_Titles</vt:lpstr>
      <vt:lpstr>'WAHA 1 Price List'!Print_Titles</vt:lpstr>
      <vt:lpstr>'WAHA 2 Price 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Lateri</dc:creator>
  <cp:lastModifiedBy>Mohamed Lateri</cp:lastModifiedBy>
  <cp:lastPrinted>2026-08-15T18:56:58Z</cp:lastPrinted>
  <dcterms:created xsi:type="dcterms:W3CDTF">2026-08-15T17:12:02Z</dcterms:created>
  <dcterms:modified xsi:type="dcterms:W3CDTF">2026-08-17T16:05:59Z</dcterms:modified>
</cp:coreProperties>
</file>